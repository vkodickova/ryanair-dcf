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viktorie/Library/Mobile Documents/com~apple~CloudDocs/Quant Portfolio/DCF Ryanair/"/>
    </mc:Choice>
  </mc:AlternateContent>
  <xr:revisionPtr revIDLastSave="0" documentId="13_ncr:1_{9E4BB690-0C1D-1A48-888A-48C47A47F37D}" xr6:coauthVersionLast="47" xr6:coauthVersionMax="47" xr10:uidLastSave="{00000000-0000-0000-0000-000000000000}"/>
  <bookViews>
    <workbookView xWindow="0" yWindow="500" windowWidth="22620" windowHeight="15940" tabRatio="500" activeTab="5" xr2:uid="{00000000-000D-0000-FFFF-FFFF00000000}"/>
  </bookViews>
  <sheets>
    <sheet name="DCF" sheetId="1" r:id="rId1"/>
    <sheet name="Notes" sheetId="2" r:id="rId2"/>
    <sheet name="Valuation" sheetId="3" r:id="rId3"/>
    <sheet name="WACC" sheetId="4" r:id="rId4"/>
    <sheet name="Sources &amp; Checks" sheetId="5" r:id="rId5"/>
    <sheet name="Ratios" sheetId="6" r:id="rId6"/>
    <sheet name="Calc" sheetId="7" r:id="rId7"/>
  </sheets>
  <definedNames>
    <definedName name="_xlnm.Print_Area" localSheetId="0">DCF!$A$1:$Y$101</definedName>
    <definedName name="_xlnm.Print_Area" localSheetId="5">Ratios!$A$1:$E$36</definedName>
    <definedName name="_xlnm.Print_Area" localSheetId="4">'Sources &amp; Checks'!$A$1:$D$25</definedName>
    <definedName name="_xlnm.Print_Area" localSheetId="2">Valuation!$A$1:$Z$30</definedName>
    <definedName name="_xlnm.Print_Area" localSheetId="3">WACC!$A$1:$J$22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54" i="7" l="1"/>
  <c r="B149" i="7"/>
  <c r="C135" i="7"/>
  <c r="B130" i="7"/>
  <c r="C116" i="7"/>
  <c r="B111" i="7"/>
  <c r="C97" i="7"/>
  <c r="B92" i="7"/>
  <c r="C78" i="7"/>
  <c r="B73" i="7"/>
  <c r="C58" i="7"/>
  <c r="C57" i="7"/>
  <c r="P58" i="7" s="1"/>
  <c r="C56" i="7"/>
  <c r="C55" i="7"/>
  <c r="F55" i="7" s="1"/>
  <c r="C39" i="7"/>
  <c r="P21" i="7"/>
  <c r="P20" i="7"/>
  <c r="C20" i="7"/>
  <c r="C19" i="7"/>
  <c r="C18" i="7"/>
  <c r="C17" i="7"/>
  <c r="C11" i="7"/>
  <c r="C10" i="7"/>
  <c r="C9" i="7"/>
  <c r="C8" i="7"/>
  <c r="C7" i="7"/>
  <c r="C6" i="7"/>
  <c r="C5" i="7"/>
  <c r="C4" i="7"/>
  <c r="E31" i="6"/>
  <c r="D31" i="6"/>
  <c r="C31" i="6"/>
  <c r="E30" i="6"/>
  <c r="D30" i="6"/>
  <c r="E29" i="6"/>
  <c r="D29" i="6"/>
  <c r="C29" i="6"/>
  <c r="E28" i="6"/>
  <c r="D28" i="6"/>
  <c r="C28" i="6"/>
  <c r="E27" i="6"/>
  <c r="D27" i="6"/>
  <c r="C27" i="6"/>
  <c r="E26" i="6"/>
  <c r="D26" i="6"/>
  <c r="C26" i="6"/>
  <c r="E25" i="6"/>
  <c r="D25" i="6"/>
  <c r="C25" i="6"/>
  <c r="E24" i="6"/>
  <c r="D24" i="6"/>
  <c r="E23" i="6"/>
  <c r="D23" i="6"/>
  <c r="C23" i="6"/>
  <c r="E19" i="6"/>
  <c r="D19" i="6"/>
  <c r="C19" i="6"/>
  <c r="C30" i="6" s="1"/>
  <c r="F18" i="4"/>
  <c r="F17" i="4"/>
  <c r="F15" i="4"/>
  <c r="F20" i="4" s="1"/>
  <c r="F14" i="4"/>
  <c r="F13" i="4"/>
  <c r="F10" i="4" s="1"/>
  <c r="F12" i="4"/>
  <c r="F11" i="4"/>
  <c r="F9" i="4"/>
  <c r="F8" i="4"/>
  <c r="F16" i="4" s="1"/>
  <c r="H28" i="3"/>
  <c r="I28" i="3" s="1"/>
  <c r="J28" i="3" s="1"/>
  <c r="G28" i="3"/>
  <c r="F28" i="3"/>
  <c r="D28" i="3"/>
  <c r="G27" i="3"/>
  <c r="F27" i="3"/>
  <c r="D27" i="3"/>
  <c r="G26" i="3"/>
  <c r="F26" i="3"/>
  <c r="Z21" i="3"/>
  <c r="C28" i="3" s="1"/>
  <c r="E28" i="3" s="1"/>
  <c r="Y21" i="3"/>
  <c r="X21" i="3"/>
  <c r="C27" i="3" s="1"/>
  <c r="W21" i="3"/>
  <c r="V21" i="3"/>
  <c r="U21" i="3"/>
  <c r="C26" i="3" s="1"/>
  <c r="T21" i="3"/>
  <c r="S21" i="3"/>
  <c r="R21" i="3"/>
  <c r="Q21" i="3"/>
  <c r="P21" i="3"/>
  <c r="O21" i="3"/>
  <c r="N21" i="3"/>
  <c r="Z20" i="3"/>
  <c r="Y20" i="3"/>
  <c r="X20" i="3"/>
  <c r="W20" i="3"/>
  <c r="V20" i="3"/>
  <c r="U20" i="3"/>
  <c r="T20" i="3"/>
  <c r="S20" i="3"/>
  <c r="R20" i="3"/>
  <c r="Q20" i="3"/>
  <c r="P20" i="3"/>
  <c r="O20" i="3"/>
  <c r="N20" i="3"/>
  <c r="Z8" i="3"/>
  <c r="O8" i="3"/>
  <c r="H8" i="3"/>
  <c r="J8" i="3" s="1"/>
  <c r="L8" i="3" s="1"/>
  <c r="J89" i="1"/>
  <c r="H89" i="1"/>
  <c r="F89" i="1"/>
  <c r="D89" i="1"/>
  <c r="J88" i="1"/>
  <c r="J87" i="1"/>
  <c r="H87" i="1"/>
  <c r="F87" i="1"/>
  <c r="D87" i="1"/>
  <c r="S80" i="1"/>
  <c r="S77" i="1"/>
  <c r="S76" i="1"/>
  <c r="P71" i="1"/>
  <c r="O63" i="1"/>
  <c r="N62" i="1"/>
  <c r="N63" i="1" s="1"/>
  <c r="M62" i="1"/>
  <c r="M63" i="1" s="1"/>
  <c r="L62" i="1"/>
  <c r="L63" i="1" s="1"/>
  <c r="K62" i="1"/>
  <c r="K63" i="1" s="1"/>
  <c r="J62" i="1"/>
  <c r="J63" i="1" s="1"/>
  <c r="I62" i="1"/>
  <c r="I63" i="1" s="1"/>
  <c r="H62" i="1"/>
  <c r="H63" i="1" s="1"/>
  <c r="G62" i="1"/>
  <c r="G63" i="1" s="1"/>
  <c r="F62" i="1"/>
  <c r="F63" i="1" s="1"/>
  <c r="E62" i="1"/>
  <c r="E63" i="1" s="1"/>
  <c r="O60" i="1"/>
  <c r="N59" i="1"/>
  <c r="N60" i="1" s="1"/>
  <c r="M59" i="1"/>
  <c r="M60" i="1" s="1"/>
  <c r="L59" i="1"/>
  <c r="L60" i="1" s="1"/>
  <c r="K59" i="1"/>
  <c r="K60" i="1" s="1"/>
  <c r="J59" i="1"/>
  <c r="J60" i="1" s="1"/>
  <c r="I59" i="1"/>
  <c r="I60" i="1" s="1"/>
  <c r="H59" i="1"/>
  <c r="H60" i="1" s="1"/>
  <c r="G59" i="1"/>
  <c r="G60" i="1" s="1"/>
  <c r="F59" i="1"/>
  <c r="F60" i="1" s="1"/>
  <c r="E59" i="1"/>
  <c r="E60" i="1" s="1"/>
  <c r="X57" i="1"/>
  <c r="W57" i="1"/>
  <c r="V57" i="1"/>
  <c r="U57" i="1"/>
  <c r="T57" i="1"/>
  <c r="S57" i="1"/>
  <c r="R57" i="1"/>
  <c r="Q57" i="1"/>
  <c r="P57" i="1"/>
  <c r="O57" i="1"/>
  <c r="N57" i="1"/>
  <c r="F57" i="1"/>
  <c r="N56" i="1"/>
  <c r="M56" i="1"/>
  <c r="M57" i="1" s="1"/>
  <c r="L56" i="1"/>
  <c r="L57" i="1" s="1"/>
  <c r="K56" i="1"/>
  <c r="K57" i="1" s="1"/>
  <c r="J56" i="1"/>
  <c r="J57" i="1" s="1"/>
  <c r="I56" i="1"/>
  <c r="I57" i="1" s="1"/>
  <c r="H56" i="1"/>
  <c r="H57" i="1" s="1"/>
  <c r="G56" i="1"/>
  <c r="G57" i="1" s="1"/>
  <c r="F56" i="1"/>
  <c r="E56" i="1"/>
  <c r="E57" i="1" s="1"/>
  <c r="X52" i="1"/>
  <c r="W52" i="1"/>
  <c r="V52" i="1"/>
  <c r="U52" i="1"/>
  <c r="T52" i="1"/>
  <c r="S52" i="1"/>
  <c r="R52" i="1"/>
  <c r="Q52" i="1"/>
  <c r="P52" i="1"/>
  <c r="O52" i="1"/>
  <c r="N51" i="1"/>
  <c r="M51" i="1"/>
  <c r="M52" i="1" s="1"/>
  <c r="L51" i="1"/>
  <c r="K51" i="1"/>
  <c r="K52" i="1" s="1"/>
  <c r="J51" i="1"/>
  <c r="I51" i="1"/>
  <c r="I52" i="1" s="1"/>
  <c r="H51" i="1"/>
  <c r="G51" i="1"/>
  <c r="G52" i="1" s="1"/>
  <c r="F51" i="1"/>
  <c r="E51" i="1"/>
  <c r="E52" i="1" s="1"/>
  <c r="X49" i="1"/>
  <c r="W49" i="1"/>
  <c r="V49" i="1"/>
  <c r="U49" i="1"/>
  <c r="T49" i="1"/>
  <c r="S49" i="1"/>
  <c r="R49" i="1"/>
  <c r="Q49" i="1"/>
  <c r="P49" i="1"/>
  <c r="O49" i="1"/>
  <c r="S48" i="1"/>
  <c r="S46" i="1" s="1"/>
  <c r="S24" i="1" s="1"/>
  <c r="X47" i="1"/>
  <c r="W47" i="1"/>
  <c r="V47" i="1"/>
  <c r="U47" i="1"/>
  <c r="T47" i="1"/>
  <c r="S47" i="1"/>
  <c r="R47" i="1"/>
  <c r="Q47" i="1"/>
  <c r="P47" i="1"/>
  <c r="O47" i="1"/>
  <c r="M46" i="1"/>
  <c r="G46" i="1"/>
  <c r="N45" i="1"/>
  <c r="N46" i="1" s="1"/>
  <c r="M45" i="1"/>
  <c r="L45" i="1"/>
  <c r="L46" i="1" s="1"/>
  <c r="K45" i="1"/>
  <c r="K46" i="1" s="1"/>
  <c r="J45" i="1"/>
  <c r="J46" i="1" s="1"/>
  <c r="I45" i="1"/>
  <c r="I46" i="1" s="1"/>
  <c r="H45" i="1"/>
  <c r="H46" i="1" s="1"/>
  <c r="G45" i="1"/>
  <c r="F45" i="1"/>
  <c r="F46" i="1" s="1"/>
  <c r="E45" i="1"/>
  <c r="E46" i="1" s="1"/>
  <c r="P43" i="1"/>
  <c r="Q43" i="1" s="1"/>
  <c r="R43" i="1" s="1"/>
  <c r="S43" i="1" s="1"/>
  <c r="T43" i="1" s="1"/>
  <c r="U43" i="1" s="1"/>
  <c r="V43" i="1" s="1"/>
  <c r="W43" i="1" s="1"/>
  <c r="X43" i="1" s="1"/>
  <c r="O43" i="1"/>
  <c r="P41" i="1"/>
  <c r="Q41" i="1" s="1"/>
  <c r="R41" i="1" s="1"/>
  <c r="S41" i="1" s="1"/>
  <c r="T41" i="1" s="1"/>
  <c r="U41" i="1" s="1"/>
  <c r="V41" i="1" s="1"/>
  <c r="W41" i="1" s="1"/>
  <c r="X41" i="1" s="1"/>
  <c r="O41" i="1"/>
  <c r="N39" i="1"/>
  <c r="N40" i="1" s="1"/>
  <c r="M39" i="1"/>
  <c r="L39" i="1"/>
  <c r="M40" i="1" s="1"/>
  <c r="K39" i="1"/>
  <c r="L40" i="1" s="1"/>
  <c r="J39" i="1"/>
  <c r="J40" i="1" s="1"/>
  <c r="I39" i="1"/>
  <c r="H39" i="1"/>
  <c r="I40" i="1" s="1"/>
  <c r="G39" i="1"/>
  <c r="H40" i="1" s="1"/>
  <c r="F39" i="1"/>
  <c r="F40" i="1" s="1"/>
  <c r="E39" i="1"/>
  <c r="N36" i="1"/>
  <c r="M36" i="1"/>
  <c r="L36" i="1"/>
  <c r="K36" i="1"/>
  <c r="J36" i="1"/>
  <c r="I36" i="1"/>
  <c r="H36" i="1"/>
  <c r="G36" i="1"/>
  <c r="F36" i="1"/>
  <c r="O35" i="1"/>
  <c r="N35" i="1"/>
  <c r="M35" i="1"/>
  <c r="L35" i="1"/>
  <c r="K35" i="1"/>
  <c r="J35" i="1"/>
  <c r="I35" i="1"/>
  <c r="H35" i="1"/>
  <c r="G35" i="1"/>
  <c r="F35" i="1"/>
  <c r="E35" i="1"/>
  <c r="O32" i="1"/>
  <c r="N32" i="1"/>
  <c r="M32" i="1"/>
  <c r="L32" i="1"/>
  <c r="K32" i="1"/>
  <c r="J32" i="1"/>
  <c r="I32" i="1"/>
  <c r="H32" i="1"/>
  <c r="G32" i="1"/>
  <c r="F32" i="1"/>
  <c r="E32" i="1"/>
  <c r="X29" i="1"/>
  <c r="W29" i="1"/>
  <c r="V29" i="1"/>
  <c r="U29" i="1"/>
  <c r="T29" i="1"/>
  <c r="S29" i="1"/>
  <c r="R29" i="1"/>
  <c r="Q29" i="1"/>
  <c r="P29" i="1"/>
  <c r="O29" i="1"/>
  <c r="N29" i="1"/>
  <c r="M29" i="1"/>
  <c r="L29" i="1"/>
  <c r="K29" i="1"/>
  <c r="J29" i="1"/>
  <c r="I29" i="1"/>
  <c r="H29" i="1"/>
  <c r="G29" i="1"/>
  <c r="F29" i="1"/>
  <c r="E29" i="1"/>
  <c r="E27" i="1"/>
  <c r="E38" i="1" s="1"/>
  <c r="F38" i="1" s="1"/>
  <c r="G38" i="1" s="1"/>
  <c r="H38" i="1" s="1"/>
  <c r="I38" i="1" s="1"/>
  <c r="J38" i="1" s="1"/>
  <c r="K38" i="1" s="1"/>
  <c r="L38" i="1" s="1"/>
  <c r="M38" i="1" s="1"/>
  <c r="N38" i="1" s="1"/>
  <c r="O38" i="1" s="1"/>
  <c r="X26" i="1"/>
  <c r="W26" i="1"/>
  <c r="V26" i="1"/>
  <c r="U26" i="1"/>
  <c r="T26" i="1"/>
  <c r="S26" i="1"/>
  <c r="R26" i="1"/>
  <c r="Q26" i="1"/>
  <c r="P26" i="1"/>
  <c r="O26" i="1"/>
  <c r="N26" i="1"/>
  <c r="M26" i="1"/>
  <c r="L26" i="1"/>
  <c r="K26" i="1"/>
  <c r="J26" i="1"/>
  <c r="I26" i="1"/>
  <c r="H26" i="1"/>
  <c r="G26" i="1"/>
  <c r="F26" i="1"/>
  <c r="E26" i="1"/>
  <c r="N24" i="1"/>
  <c r="R8" i="3" s="1"/>
  <c r="M24" i="1"/>
  <c r="Q8" i="3" s="1"/>
  <c r="L24" i="1"/>
  <c r="K24" i="1"/>
  <c r="J24" i="1"/>
  <c r="I24" i="1"/>
  <c r="H24" i="1"/>
  <c r="G24" i="1"/>
  <c r="F24" i="1"/>
  <c r="E24" i="1"/>
  <c r="N22" i="1"/>
  <c r="D26" i="3" s="1"/>
  <c r="M22" i="1"/>
  <c r="L22" i="1"/>
  <c r="K22" i="1"/>
  <c r="J22" i="1"/>
  <c r="I22" i="1"/>
  <c r="H22" i="1"/>
  <c r="G22" i="1"/>
  <c r="F22" i="1"/>
  <c r="E22" i="1"/>
  <c r="N21" i="1"/>
  <c r="M21" i="1"/>
  <c r="N8" i="3" s="1"/>
  <c r="L21" i="1"/>
  <c r="K21" i="1"/>
  <c r="J21" i="1"/>
  <c r="I21" i="1"/>
  <c r="H21" i="1"/>
  <c r="G21" i="1"/>
  <c r="F21" i="1"/>
  <c r="F19" i="1"/>
  <c r="G19" i="1" s="1"/>
  <c r="D18" i="1"/>
  <c r="C12" i="7" s="1"/>
  <c r="D17" i="1"/>
  <c r="Y40" i="1" s="1"/>
  <c r="L13" i="1"/>
  <c r="W48" i="1" s="1"/>
  <c r="W46" i="1" s="1"/>
  <c r="W24" i="1" s="1"/>
  <c r="L11" i="1"/>
  <c r="C113" i="7" s="1"/>
  <c r="I6" i="1"/>
  <c r="D6" i="1"/>
  <c r="O70" i="1" s="1"/>
  <c r="O71" i="1" s="1"/>
  <c r="F131" i="7" l="1"/>
  <c r="F150" i="7"/>
  <c r="F93" i="7"/>
  <c r="F112" i="7"/>
  <c r="F35" i="7"/>
  <c r="F16" i="7"/>
  <c r="F54" i="7"/>
  <c r="P38" i="1"/>
  <c r="F74" i="7"/>
  <c r="F113" i="7"/>
  <c r="G27" i="1"/>
  <c r="H19" i="1"/>
  <c r="F27" i="1"/>
  <c r="O42" i="1"/>
  <c r="F52" i="1"/>
  <c r="J52" i="1"/>
  <c r="N52" i="1"/>
  <c r="U8" i="3"/>
  <c r="C36" i="7"/>
  <c r="G55" i="7"/>
  <c r="G40" i="1"/>
  <c r="F20" i="7"/>
  <c r="G20" i="7" s="1"/>
  <c r="H20" i="7" s="1"/>
  <c r="I20" i="7" s="1"/>
  <c r="J20" i="7" s="1"/>
  <c r="K20" i="7" s="1"/>
  <c r="L20" i="7" s="1"/>
  <c r="M20" i="7" s="1"/>
  <c r="N20" i="7" s="1"/>
  <c r="O20" i="7" s="1"/>
  <c r="F17" i="7"/>
  <c r="E27" i="3"/>
  <c r="H27" i="3" s="1"/>
  <c r="I27" i="3" s="1"/>
  <c r="J27" i="3" s="1"/>
  <c r="F22" i="4"/>
  <c r="K40" i="1"/>
  <c r="G158" i="7"/>
  <c r="G101" i="7"/>
  <c r="G120" i="7"/>
  <c r="G82" i="7"/>
  <c r="G62" i="7"/>
  <c r="G43" i="7"/>
  <c r="G139" i="7"/>
  <c r="Q71" i="1"/>
  <c r="G24" i="7"/>
  <c r="C151" i="7"/>
  <c r="C132" i="7"/>
  <c r="C94" i="7"/>
  <c r="C75" i="7"/>
  <c r="D88" i="1"/>
  <c r="F120" i="7"/>
  <c r="F158" i="7"/>
  <c r="F139" i="7"/>
  <c r="F101" i="7"/>
  <c r="F82" i="7"/>
  <c r="F24" i="7"/>
  <c r="F62" i="7"/>
  <c r="F43" i="7"/>
  <c r="C114" i="7"/>
  <c r="F116" i="7" s="1"/>
  <c r="C133" i="7"/>
  <c r="C152" i="7"/>
  <c r="C76" i="7"/>
  <c r="C37" i="7"/>
  <c r="V48" i="1"/>
  <c r="V46" i="1" s="1"/>
  <c r="V24" i="1" s="1"/>
  <c r="R48" i="1"/>
  <c r="R46" i="1" s="1"/>
  <c r="R24" i="1" s="1"/>
  <c r="C95" i="7"/>
  <c r="U48" i="1"/>
  <c r="U46" i="1" s="1"/>
  <c r="U24" i="1" s="1"/>
  <c r="Q48" i="1"/>
  <c r="Q46" i="1" s="1"/>
  <c r="Q24" i="1" s="1"/>
  <c r="X48" i="1"/>
  <c r="X46" i="1" s="1"/>
  <c r="X24" i="1" s="1"/>
  <c r="T48" i="1"/>
  <c r="T46" i="1" s="1"/>
  <c r="T24" i="1" s="1"/>
  <c r="P48" i="1"/>
  <c r="P46" i="1" s="1"/>
  <c r="P24" i="1" s="1"/>
  <c r="O48" i="1"/>
  <c r="O46" i="1" s="1"/>
  <c r="O24" i="1" s="1"/>
  <c r="H52" i="1"/>
  <c r="L52" i="1"/>
  <c r="F88" i="1"/>
  <c r="Y8" i="3"/>
  <c r="T8" i="3"/>
  <c r="X8" i="3"/>
  <c r="W8" i="3"/>
  <c r="E26" i="3"/>
  <c r="H26" i="3" s="1"/>
  <c r="I26" i="3" s="1"/>
  <c r="J26" i="3" s="1"/>
  <c r="F114" i="7"/>
  <c r="F59" i="7"/>
  <c r="F56" i="7"/>
  <c r="P59" i="7"/>
  <c r="F58" i="7"/>
  <c r="G58" i="7" s="1"/>
  <c r="H58" i="7" s="1"/>
  <c r="I58" i="7" s="1"/>
  <c r="J58" i="7" s="1"/>
  <c r="K58" i="7" s="1"/>
  <c r="L58" i="7" s="1"/>
  <c r="M58" i="7" s="1"/>
  <c r="N58" i="7" s="1"/>
  <c r="O58" i="7" s="1"/>
  <c r="F115" i="7" l="1"/>
  <c r="H158" i="7"/>
  <c r="H139" i="7"/>
  <c r="H101" i="7"/>
  <c r="H120" i="7"/>
  <c r="H62" i="7"/>
  <c r="H43" i="7"/>
  <c r="R71" i="1"/>
  <c r="H82" i="7"/>
  <c r="H24" i="7"/>
  <c r="F132" i="7"/>
  <c r="F135" i="7"/>
  <c r="G113" i="7"/>
  <c r="F117" i="7"/>
  <c r="F151" i="7"/>
  <c r="F154" i="7"/>
  <c r="F21" i="7"/>
  <c r="G17" i="7"/>
  <c r="F18" i="7"/>
  <c r="H55" i="7"/>
  <c r="G59" i="7"/>
  <c r="P42" i="1"/>
  <c r="O40" i="1"/>
  <c r="F94" i="7"/>
  <c r="F97" i="7"/>
  <c r="G150" i="7"/>
  <c r="G131" i="7"/>
  <c r="G112" i="7"/>
  <c r="G93" i="7"/>
  <c r="G74" i="7"/>
  <c r="G35" i="7"/>
  <c r="G16" i="7"/>
  <c r="G54" i="7"/>
  <c r="Q38" i="1"/>
  <c r="G56" i="7"/>
  <c r="F57" i="7"/>
  <c r="F78" i="7"/>
  <c r="F75" i="7"/>
  <c r="B101" i="1"/>
  <c r="B96" i="1"/>
  <c r="H88" i="1"/>
  <c r="L16" i="1"/>
  <c r="F39" i="7"/>
  <c r="F36" i="7"/>
  <c r="H27" i="1"/>
  <c r="I19" i="1"/>
  <c r="I139" i="7" l="1"/>
  <c r="I120" i="7"/>
  <c r="I158" i="7"/>
  <c r="I101" i="7"/>
  <c r="I62" i="7"/>
  <c r="I43" i="7"/>
  <c r="S71" i="1"/>
  <c r="I82" i="7"/>
  <c r="I24" i="7"/>
  <c r="I27" i="1"/>
  <c r="J19" i="1"/>
  <c r="Q42" i="1"/>
  <c r="P40" i="1"/>
  <c r="G21" i="7"/>
  <c r="H17" i="7"/>
  <c r="F40" i="7"/>
  <c r="G36" i="7"/>
  <c r="F37" i="7"/>
  <c r="F60" i="7"/>
  <c r="F61" i="7" s="1"/>
  <c r="F63" i="7" s="1"/>
  <c r="F98" i="7"/>
  <c r="G94" i="7"/>
  <c r="F95" i="7"/>
  <c r="H59" i="7"/>
  <c r="I55" i="7"/>
  <c r="F119" i="7"/>
  <c r="F118" i="7"/>
  <c r="C134" i="7"/>
  <c r="P135" i="7" s="1"/>
  <c r="P136" i="7" s="1"/>
  <c r="C153" i="7"/>
  <c r="P154" i="7" s="1"/>
  <c r="P155" i="7" s="1"/>
  <c r="C115" i="7"/>
  <c r="C96" i="7"/>
  <c r="P97" i="7" s="1"/>
  <c r="P98" i="7" s="1"/>
  <c r="C38" i="7"/>
  <c r="P39" i="7" s="1"/>
  <c r="P40" i="7" s="1"/>
  <c r="C77" i="7"/>
  <c r="P78" i="7" s="1"/>
  <c r="P79" i="7" s="1"/>
  <c r="D16" i="1"/>
  <c r="Y65" i="1" s="1"/>
  <c r="Y64" i="1" s="1"/>
  <c r="G75" i="7"/>
  <c r="F79" i="7"/>
  <c r="F76" i="7"/>
  <c r="H150" i="7"/>
  <c r="H131" i="7"/>
  <c r="H112" i="7"/>
  <c r="H93" i="7"/>
  <c r="H74" i="7"/>
  <c r="H54" i="7"/>
  <c r="H35" i="7"/>
  <c r="H16" i="7"/>
  <c r="R38" i="1"/>
  <c r="G97" i="7"/>
  <c r="H97" i="7" s="1"/>
  <c r="I97" i="7" s="1"/>
  <c r="J97" i="7" s="1"/>
  <c r="K97" i="7" s="1"/>
  <c r="L97" i="7" s="1"/>
  <c r="M97" i="7" s="1"/>
  <c r="N97" i="7" s="1"/>
  <c r="O97" i="7" s="1"/>
  <c r="H113" i="7"/>
  <c r="G114" i="7"/>
  <c r="G57" i="7"/>
  <c r="H56" i="7"/>
  <c r="O64" i="1"/>
  <c r="O65" i="1"/>
  <c r="P65" i="1" s="1"/>
  <c r="Q65" i="1" s="1"/>
  <c r="R65" i="1" s="1"/>
  <c r="S65" i="1" s="1"/>
  <c r="T65" i="1" s="1"/>
  <c r="U65" i="1" s="1"/>
  <c r="V65" i="1" s="1"/>
  <c r="W65" i="1" s="1"/>
  <c r="X65" i="1" s="1"/>
  <c r="O21" i="1"/>
  <c r="O20" i="1" s="1"/>
  <c r="O39" i="1"/>
  <c r="F19" i="7"/>
  <c r="G18" i="7"/>
  <c r="F155" i="7"/>
  <c r="G151" i="7"/>
  <c r="F152" i="7"/>
  <c r="F136" i="7"/>
  <c r="G132" i="7"/>
  <c r="F133" i="7"/>
  <c r="G133" i="7" l="1"/>
  <c r="F134" i="7"/>
  <c r="H57" i="7"/>
  <c r="I56" i="7"/>
  <c r="F77" i="7"/>
  <c r="G76" i="7"/>
  <c r="H132" i="7"/>
  <c r="I59" i="7"/>
  <c r="J55" i="7"/>
  <c r="H36" i="7"/>
  <c r="P21" i="1"/>
  <c r="P20" i="1" s="1"/>
  <c r="P64" i="1"/>
  <c r="G39" i="7"/>
  <c r="H39" i="7" s="1"/>
  <c r="I39" i="7" s="1"/>
  <c r="J39" i="7" s="1"/>
  <c r="K39" i="7" s="1"/>
  <c r="L39" i="7" s="1"/>
  <c r="M39" i="7" s="1"/>
  <c r="N39" i="7" s="1"/>
  <c r="O39" i="7" s="1"/>
  <c r="H151" i="7"/>
  <c r="G154" i="7"/>
  <c r="H154" i="7" s="1"/>
  <c r="I154" i="7" s="1"/>
  <c r="J154" i="7" s="1"/>
  <c r="K154" i="7" s="1"/>
  <c r="L154" i="7" s="1"/>
  <c r="M154" i="7" s="1"/>
  <c r="N154" i="7" s="1"/>
  <c r="O154" i="7" s="1"/>
  <c r="G98" i="7"/>
  <c r="H94" i="7"/>
  <c r="G115" i="7"/>
  <c r="H114" i="7"/>
  <c r="G78" i="7"/>
  <c r="H78" i="7" s="1"/>
  <c r="I78" i="7" s="1"/>
  <c r="J78" i="7" s="1"/>
  <c r="K78" i="7" s="1"/>
  <c r="L78" i="7" s="1"/>
  <c r="M78" i="7" s="1"/>
  <c r="N78" i="7" s="1"/>
  <c r="O78" i="7" s="1"/>
  <c r="H75" i="7"/>
  <c r="Q40" i="1"/>
  <c r="R42" i="1"/>
  <c r="O62" i="1"/>
  <c r="O59" i="1"/>
  <c r="O56" i="1"/>
  <c r="O45" i="1"/>
  <c r="P39" i="1"/>
  <c r="F38" i="7"/>
  <c r="G37" i="7"/>
  <c r="J120" i="7"/>
  <c r="J158" i="7"/>
  <c r="J139" i="7"/>
  <c r="J82" i="7"/>
  <c r="J24" i="7"/>
  <c r="J101" i="7"/>
  <c r="J43" i="7"/>
  <c r="J62" i="7"/>
  <c r="T71" i="1"/>
  <c r="O31" i="1"/>
  <c r="O34" i="1"/>
  <c r="O28" i="1"/>
  <c r="O23" i="1"/>
  <c r="O25" i="1" s="1"/>
  <c r="G60" i="7"/>
  <c r="G61" i="7" s="1"/>
  <c r="G63" i="7" s="1"/>
  <c r="H18" i="7"/>
  <c r="G19" i="7"/>
  <c r="G152" i="7"/>
  <c r="F153" i="7"/>
  <c r="F23" i="7"/>
  <c r="F25" i="7" s="1"/>
  <c r="F22" i="7"/>
  <c r="I113" i="7"/>
  <c r="I150" i="7"/>
  <c r="I131" i="7"/>
  <c r="I93" i="7"/>
  <c r="I54" i="7"/>
  <c r="I112" i="7"/>
  <c r="I74" i="7"/>
  <c r="I35" i="7"/>
  <c r="I16" i="7"/>
  <c r="S38" i="1"/>
  <c r="P116" i="7"/>
  <c r="P117" i="7" s="1"/>
  <c r="G116" i="7"/>
  <c r="F121" i="7"/>
  <c r="G95" i="7"/>
  <c r="F96" i="7"/>
  <c r="H21" i="7"/>
  <c r="I17" i="7"/>
  <c r="K19" i="1"/>
  <c r="J27" i="1"/>
  <c r="G135" i="7"/>
  <c r="H135" i="7" s="1"/>
  <c r="I135" i="7" s="1"/>
  <c r="J135" i="7" s="1"/>
  <c r="K135" i="7" s="1"/>
  <c r="L135" i="7" s="1"/>
  <c r="M135" i="7" s="1"/>
  <c r="N135" i="7" s="1"/>
  <c r="O135" i="7" s="1"/>
  <c r="P28" i="1" l="1"/>
  <c r="P23" i="1"/>
  <c r="P25" i="1" s="1"/>
  <c r="G40" i="7"/>
  <c r="G136" i="7"/>
  <c r="H60" i="7"/>
  <c r="H61" i="7" s="1"/>
  <c r="H63" i="7" s="1"/>
  <c r="P63" i="1"/>
  <c r="P60" i="1"/>
  <c r="J59" i="7"/>
  <c r="K55" i="7"/>
  <c r="G77" i="7"/>
  <c r="H76" i="7"/>
  <c r="F137" i="7"/>
  <c r="F138" i="7"/>
  <c r="I18" i="7"/>
  <c r="H19" i="7"/>
  <c r="K158" i="7"/>
  <c r="K139" i="7"/>
  <c r="K101" i="7"/>
  <c r="K82" i="7"/>
  <c r="K62" i="7"/>
  <c r="K43" i="7"/>
  <c r="U71" i="1"/>
  <c r="K120" i="7"/>
  <c r="K24" i="7"/>
  <c r="R40" i="1"/>
  <c r="S42" i="1"/>
  <c r="K27" i="1"/>
  <c r="L19" i="1"/>
  <c r="G96" i="7"/>
  <c r="H95" i="7"/>
  <c r="F156" i="7"/>
  <c r="F157" i="7"/>
  <c r="H37" i="7"/>
  <c r="G38" i="7"/>
  <c r="Q64" i="1"/>
  <c r="Q21" i="1"/>
  <c r="Q20" i="1" s="1"/>
  <c r="I114" i="7"/>
  <c r="H115" i="7"/>
  <c r="I21" i="7"/>
  <c r="J17" i="7"/>
  <c r="H116" i="7"/>
  <c r="G117" i="7"/>
  <c r="J113" i="7"/>
  <c r="G153" i="7"/>
  <c r="H152" i="7"/>
  <c r="F41" i="7"/>
  <c r="F42" i="7" s="1"/>
  <c r="F44" i="7" s="1"/>
  <c r="H79" i="7"/>
  <c r="I75" i="7"/>
  <c r="G118" i="7"/>
  <c r="G119" i="7" s="1"/>
  <c r="G121" i="7" s="1"/>
  <c r="H155" i="7"/>
  <c r="I151" i="7"/>
  <c r="F80" i="7"/>
  <c r="F81" i="7" s="1"/>
  <c r="H133" i="7"/>
  <c r="G134" i="7"/>
  <c r="F99" i="7"/>
  <c r="F100" i="7"/>
  <c r="J131" i="7"/>
  <c r="J112" i="7"/>
  <c r="J74" i="7"/>
  <c r="J35" i="7"/>
  <c r="J16" i="7"/>
  <c r="J93" i="7"/>
  <c r="J54" i="7"/>
  <c r="T38" i="1"/>
  <c r="J150" i="7"/>
  <c r="O51" i="1"/>
  <c r="O22" i="1"/>
  <c r="O54" i="1"/>
  <c r="O66" i="1" s="1"/>
  <c r="O67" i="1" s="1"/>
  <c r="G22" i="7"/>
  <c r="G23" i="7" s="1"/>
  <c r="G25" i="7" s="1"/>
  <c r="P56" i="1"/>
  <c r="Q39" i="1"/>
  <c r="P45" i="1"/>
  <c r="G79" i="7"/>
  <c r="H98" i="7"/>
  <c r="I94" i="7"/>
  <c r="G155" i="7"/>
  <c r="H40" i="7"/>
  <c r="I36" i="7"/>
  <c r="I132" i="7"/>
  <c r="H136" i="7"/>
  <c r="J56" i="7"/>
  <c r="I57" i="7"/>
  <c r="F83" i="7" l="1"/>
  <c r="Q28" i="1"/>
  <c r="Q23" i="1"/>
  <c r="Q25" i="1" s="1"/>
  <c r="P51" i="1"/>
  <c r="P54" i="1"/>
  <c r="P22" i="1"/>
  <c r="H134" i="7"/>
  <c r="I133" i="7"/>
  <c r="G156" i="7"/>
  <c r="G157" i="7" s="1"/>
  <c r="G159" i="7" s="1"/>
  <c r="I116" i="7"/>
  <c r="H117" i="7"/>
  <c r="I115" i="7"/>
  <c r="J114" i="7"/>
  <c r="I37" i="7"/>
  <c r="H38" i="7"/>
  <c r="H96" i="7"/>
  <c r="I95" i="7"/>
  <c r="T42" i="1"/>
  <c r="S40" i="1"/>
  <c r="L158" i="7"/>
  <c r="L139" i="7"/>
  <c r="L101" i="7"/>
  <c r="L62" i="7"/>
  <c r="L43" i="7"/>
  <c r="L120" i="7"/>
  <c r="L82" i="7"/>
  <c r="V71" i="1"/>
  <c r="L24" i="7"/>
  <c r="I19" i="7"/>
  <c r="J18" i="7"/>
  <c r="I76" i="7"/>
  <c r="H77" i="7"/>
  <c r="P59" i="1"/>
  <c r="P32" i="1"/>
  <c r="P31" i="1" s="1"/>
  <c r="I136" i="7"/>
  <c r="J132" i="7"/>
  <c r="I98" i="7"/>
  <c r="J94" i="7"/>
  <c r="Q56" i="1"/>
  <c r="R39" i="1"/>
  <c r="Q45" i="1"/>
  <c r="K112" i="7"/>
  <c r="K131" i="7"/>
  <c r="K150" i="7"/>
  <c r="K74" i="7"/>
  <c r="K35" i="7"/>
  <c r="K16" i="7"/>
  <c r="K93" i="7"/>
  <c r="K54" i="7"/>
  <c r="U38" i="1"/>
  <c r="T27" i="1"/>
  <c r="F102" i="7"/>
  <c r="K113" i="7"/>
  <c r="J21" i="7"/>
  <c r="K17" i="7"/>
  <c r="F159" i="7"/>
  <c r="G99" i="7"/>
  <c r="G100" i="7" s="1"/>
  <c r="G102" i="7" s="1"/>
  <c r="R64" i="1"/>
  <c r="R21" i="1"/>
  <c r="R20" i="1" s="1"/>
  <c r="G80" i="7"/>
  <c r="G81" i="7" s="1"/>
  <c r="G83" i="7" s="1"/>
  <c r="P62" i="1"/>
  <c r="P35" i="1"/>
  <c r="P34" i="1" s="1"/>
  <c r="I60" i="7"/>
  <c r="I61" i="7"/>
  <c r="I63" i="7" s="1"/>
  <c r="I40" i="7"/>
  <c r="J36" i="7"/>
  <c r="Q63" i="1"/>
  <c r="Q60" i="1"/>
  <c r="L27" i="1"/>
  <c r="M19" i="1"/>
  <c r="F140" i="7"/>
  <c r="L55" i="7"/>
  <c r="K59" i="7"/>
  <c r="K56" i="7"/>
  <c r="J57" i="7"/>
  <c r="G137" i="7"/>
  <c r="G138" i="7"/>
  <c r="G140" i="7" s="1"/>
  <c r="I155" i="7"/>
  <c r="J151" i="7"/>
  <c r="J75" i="7"/>
  <c r="I79" i="7"/>
  <c r="H153" i="7"/>
  <c r="I152" i="7"/>
  <c r="H118" i="7"/>
  <c r="H119" i="7"/>
  <c r="H121" i="7" s="1"/>
  <c r="G41" i="7"/>
  <c r="G42" i="7"/>
  <c r="G44" i="7" s="1"/>
  <c r="H22" i="7"/>
  <c r="H23" i="7"/>
  <c r="H25" i="7" s="1"/>
  <c r="R28" i="1" l="1"/>
  <c r="R23" i="1"/>
  <c r="R25" i="1" s="1"/>
  <c r="Q59" i="1"/>
  <c r="Q32" i="1"/>
  <c r="Q31" i="1" s="1"/>
  <c r="J95" i="7"/>
  <c r="I96" i="7"/>
  <c r="J115" i="7"/>
  <c r="K114" i="7"/>
  <c r="J79" i="7"/>
  <c r="K75" i="7"/>
  <c r="L59" i="7"/>
  <c r="M55" i="7"/>
  <c r="Q62" i="1"/>
  <c r="Q35" i="1"/>
  <c r="Q34" i="1" s="1"/>
  <c r="J136" i="7"/>
  <c r="K132" i="7"/>
  <c r="J152" i="7"/>
  <c r="I153" i="7"/>
  <c r="K151" i="7"/>
  <c r="J155" i="7"/>
  <c r="J60" i="7"/>
  <c r="J61" i="7"/>
  <c r="J63" i="7" s="1"/>
  <c r="N19" i="1"/>
  <c r="M27" i="1"/>
  <c r="J40" i="7"/>
  <c r="K36" i="7"/>
  <c r="K21" i="7"/>
  <c r="L17" i="7"/>
  <c r="J76" i="7"/>
  <c r="I77" i="7"/>
  <c r="M139" i="7"/>
  <c r="M158" i="7"/>
  <c r="M120" i="7"/>
  <c r="M101" i="7"/>
  <c r="W71" i="1"/>
  <c r="M43" i="7"/>
  <c r="M24" i="7"/>
  <c r="M62" i="7"/>
  <c r="M82" i="7"/>
  <c r="S64" i="1"/>
  <c r="S21" i="1"/>
  <c r="S20" i="1" s="1"/>
  <c r="H41" i="7"/>
  <c r="H42" i="7" s="1"/>
  <c r="H44" i="7" s="1"/>
  <c r="I134" i="7"/>
  <c r="J133" i="7"/>
  <c r="L113" i="7"/>
  <c r="Q51" i="1"/>
  <c r="Q54" i="1" s="1"/>
  <c r="Q66" i="1" s="1"/>
  <c r="Q67" i="1" s="1"/>
  <c r="Q22" i="1"/>
  <c r="I22" i="7"/>
  <c r="I23" i="7" s="1"/>
  <c r="I25" i="7" s="1"/>
  <c r="R45" i="1"/>
  <c r="R56" i="1"/>
  <c r="S39" i="1"/>
  <c r="H80" i="7"/>
  <c r="H81" i="7"/>
  <c r="H83" i="7" s="1"/>
  <c r="H99" i="7"/>
  <c r="H100" i="7" s="1"/>
  <c r="H102" i="7" s="1"/>
  <c r="P66" i="1"/>
  <c r="P67" i="1" s="1"/>
  <c r="H156" i="7"/>
  <c r="H157" i="7" s="1"/>
  <c r="H159" i="7" s="1"/>
  <c r="K57" i="7"/>
  <c r="L56" i="7"/>
  <c r="R63" i="1"/>
  <c r="R60" i="1"/>
  <c r="L150" i="7"/>
  <c r="L112" i="7"/>
  <c r="L93" i="7"/>
  <c r="L131" i="7"/>
  <c r="L74" i="7"/>
  <c r="L54" i="7"/>
  <c r="L16" i="7"/>
  <c r="V38" i="1"/>
  <c r="U27" i="1"/>
  <c r="L35" i="7"/>
  <c r="K94" i="7"/>
  <c r="J98" i="7"/>
  <c r="J19" i="7"/>
  <c r="K18" i="7"/>
  <c r="U42" i="1"/>
  <c r="T40" i="1"/>
  <c r="I38" i="7"/>
  <c r="J37" i="7"/>
  <c r="J116" i="7"/>
  <c r="I117" i="7"/>
  <c r="I118" i="7" s="1"/>
  <c r="I119" i="7" s="1"/>
  <c r="I121" i="7" s="1"/>
  <c r="H137" i="7"/>
  <c r="H138" i="7" s="1"/>
  <c r="H140" i="7" s="1"/>
  <c r="S28" i="1" l="1"/>
  <c r="S23" i="1"/>
  <c r="S25" i="1" s="1"/>
  <c r="J38" i="7"/>
  <c r="K37" i="7"/>
  <c r="L18" i="7"/>
  <c r="K19" i="7"/>
  <c r="I80" i="7"/>
  <c r="I81" i="7"/>
  <c r="I83" i="7" s="1"/>
  <c r="N27" i="1"/>
  <c r="O19" i="1"/>
  <c r="K79" i="7"/>
  <c r="L75" i="7"/>
  <c r="J22" i="7"/>
  <c r="J23" i="7" s="1"/>
  <c r="J25" i="7" s="1"/>
  <c r="K60" i="7"/>
  <c r="K61" i="7" s="1"/>
  <c r="K63" i="7" s="1"/>
  <c r="I156" i="7"/>
  <c r="I157" i="7" s="1"/>
  <c r="I159" i="7" s="1"/>
  <c r="T21" i="1"/>
  <c r="T64" i="1"/>
  <c r="M150" i="7"/>
  <c r="M131" i="7"/>
  <c r="M112" i="7"/>
  <c r="M93" i="7"/>
  <c r="M54" i="7"/>
  <c r="M74" i="7"/>
  <c r="M35" i="7"/>
  <c r="M16" i="7"/>
  <c r="W38" i="1"/>
  <c r="V27" i="1"/>
  <c r="R59" i="1"/>
  <c r="R32" i="1"/>
  <c r="R31" i="1" s="1"/>
  <c r="S56" i="1"/>
  <c r="S45" i="1"/>
  <c r="T39" i="1"/>
  <c r="I138" i="7"/>
  <c r="I140" i="7" s="1"/>
  <c r="I137" i="7"/>
  <c r="S63" i="1"/>
  <c r="S60" i="1"/>
  <c r="K152" i="7"/>
  <c r="J153" i="7"/>
  <c r="M59" i="7"/>
  <c r="N55" i="7"/>
  <c r="L114" i="7"/>
  <c r="K115" i="7"/>
  <c r="L57" i="7"/>
  <c r="M56" i="7"/>
  <c r="R54" i="1"/>
  <c r="R66" i="1" s="1"/>
  <c r="R67" i="1" s="1"/>
  <c r="R51" i="1"/>
  <c r="R22" i="1"/>
  <c r="L151" i="7"/>
  <c r="K155" i="7"/>
  <c r="I99" i="7"/>
  <c r="I100" i="7"/>
  <c r="I102" i="7" s="1"/>
  <c r="I41" i="7"/>
  <c r="I42" i="7" s="1"/>
  <c r="I44" i="7" s="1"/>
  <c r="K133" i="7"/>
  <c r="J134" i="7"/>
  <c r="J77" i="7"/>
  <c r="K76" i="7"/>
  <c r="K40" i="7"/>
  <c r="L36" i="7"/>
  <c r="L132" i="7"/>
  <c r="K136" i="7"/>
  <c r="K95" i="7"/>
  <c r="J96" i="7"/>
  <c r="K116" i="7"/>
  <c r="J117" i="7"/>
  <c r="J118" i="7" s="1"/>
  <c r="J119" i="7" s="1"/>
  <c r="J121" i="7" s="1"/>
  <c r="V42" i="1"/>
  <c r="U40" i="1"/>
  <c r="L94" i="7"/>
  <c r="K98" i="7"/>
  <c r="R35" i="1"/>
  <c r="R34" i="1" s="1"/>
  <c r="R62" i="1"/>
  <c r="M113" i="7"/>
  <c r="N120" i="7"/>
  <c r="N158" i="7"/>
  <c r="N139" i="7"/>
  <c r="N101" i="7"/>
  <c r="N82" i="7"/>
  <c r="N43" i="7"/>
  <c r="N24" i="7"/>
  <c r="N62" i="7"/>
  <c r="X71" i="1"/>
  <c r="M17" i="7"/>
  <c r="L21" i="7"/>
  <c r="K77" i="7" l="1"/>
  <c r="L76" i="7"/>
  <c r="K153" i="7"/>
  <c r="L152" i="7"/>
  <c r="L98" i="7"/>
  <c r="M94" i="7"/>
  <c r="M132" i="7"/>
  <c r="L136" i="7"/>
  <c r="L155" i="7"/>
  <c r="M151" i="7"/>
  <c r="N59" i="7"/>
  <c r="O55" i="7"/>
  <c r="O59" i="7" s="1"/>
  <c r="S59" i="1"/>
  <c r="S32" i="1"/>
  <c r="S31" i="1" s="1"/>
  <c r="M21" i="7"/>
  <c r="N17" i="7"/>
  <c r="O158" i="7"/>
  <c r="O120" i="7"/>
  <c r="O101" i="7"/>
  <c r="O139" i="7"/>
  <c r="O82" i="7"/>
  <c r="O62" i="7"/>
  <c r="O43" i="7"/>
  <c r="O24" i="7"/>
  <c r="V40" i="1"/>
  <c r="W42" i="1"/>
  <c r="K96" i="7"/>
  <c r="L95" i="7"/>
  <c r="L133" i="7"/>
  <c r="K134" i="7"/>
  <c r="J156" i="7"/>
  <c r="J157" i="7" s="1"/>
  <c r="J159" i="7" s="1"/>
  <c r="N131" i="7"/>
  <c r="N150" i="7"/>
  <c r="N93" i="7"/>
  <c r="N112" i="7"/>
  <c r="N54" i="7"/>
  <c r="N35" i="7"/>
  <c r="N16" i="7"/>
  <c r="N74" i="7"/>
  <c r="X38" i="1"/>
  <c r="W27" i="1"/>
  <c r="M18" i="7"/>
  <c r="L19" i="7"/>
  <c r="M114" i="7"/>
  <c r="L115" i="7"/>
  <c r="T63" i="1"/>
  <c r="L79" i="7"/>
  <c r="M75" i="7"/>
  <c r="L37" i="7"/>
  <c r="K38" i="7"/>
  <c r="N113" i="7"/>
  <c r="L116" i="7"/>
  <c r="K117" i="7"/>
  <c r="K118" i="7" s="1"/>
  <c r="K119" i="7" s="1"/>
  <c r="K121" i="7" s="1"/>
  <c r="J81" i="7"/>
  <c r="J83" i="7" s="1"/>
  <c r="J80" i="7"/>
  <c r="M57" i="7"/>
  <c r="N56" i="7"/>
  <c r="T56" i="1"/>
  <c r="T28" i="1" s="1"/>
  <c r="T45" i="1"/>
  <c r="U39" i="1"/>
  <c r="T20" i="1"/>
  <c r="J42" i="7"/>
  <c r="J44" i="7" s="1"/>
  <c r="J41" i="7"/>
  <c r="U64" i="1"/>
  <c r="U21" i="1"/>
  <c r="J99" i="7"/>
  <c r="J100" i="7" s="1"/>
  <c r="J102" i="7" s="1"/>
  <c r="L40" i="7"/>
  <c r="M36" i="7"/>
  <c r="J137" i="7"/>
  <c r="J138" i="7" s="1"/>
  <c r="J140" i="7" s="1"/>
  <c r="L61" i="7"/>
  <c r="L63" i="7" s="1"/>
  <c r="L60" i="7"/>
  <c r="S62" i="1"/>
  <c r="S35" i="1"/>
  <c r="S34" i="1" s="1"/>
  <c r="S51" i="1"/>
  <c r="S54" i="1" s="1"/>
  <c r="S66" i="1" s="1"/>
  <c r="S67" i="1" s="1"/>
  <c r="S22" i="1"/>
  <c r="O27" i="1"/>
  <c r="P19" i="1"/>
  <c r="K22" i="7"/>
  <c r="K23" i="7"/>
  <c r="K25" i="7" s="1"/>
  <c r="U63" i="1" l="1"/>
  <c r="U60" i="1"/>
  <c r="U56" i="1"/>
  <c r="U28" i="1" s="1"/>
  <c r="V39" i="1"/>
  <c r="U45" i="1"/>
  <c r="U20" i="1"/>
  <c r="M60" i="7"/>
  <c r="M61" i="7" s="1"/>
  <c r="M63" i="7" s="1"/>
  <c r="M116" i="7"/>
  <c r="L117" i="7"/>
  <c r="M37" i="7"/>
  <c r="L38" i="7"/>
  <c r="T62" i="1"/>
  <c r="T34" i="1" s="1"/>
  <c r="T35" i="1"/>
  <c r="M19" i="7"/>
  <c r="N18" i="7"/>
  <c r="L134" i="7"/>
  <c r="M133" i="7"/>
  <c r="V64" i="1"/>
  <c r="V21" i="1"/>
  <c r="K80" i="7"/>
  <c r="K81" i="7" s="1"/>
  <c r="K83" i="7" s="1"/>
  <c r="T51" i="1"/>
  <c r="T25" i="1" s="1"/>
  <c r="T22" i="1"/>
  <c r="T23" i="1"/>
  <c r="O113" i="7"/>
  <c r="M79" i="7"/>
  <c r="N75" i="7"/>
  <c r="L118" i="7"/>
  <c r="L119" i="7" s="1"/>
  <c r="L121" i="7" s="1"/>
  <c r="L96" i="7"/>
  <c r="M95" i="7"/>
  <c r="N21" i="7"/>
  <c r="O17" i="7"/>
  <c r="O21" i="7" s="1"/>
  <c r="L153" i="7"/>
  <c r="M152" i="7"/>
  <c r="P27" i="1"/>
  <c r="Q19" i="1"/>
  <c r="N114" i="7"/>
  <c r="M115" i="7"/>
  <c r="O112" i="7"/>
  <c r="O150" i="7"/>
  <c r="O131" i="7"/>
  <c r="O93" i="7"/>
  <c r="O74" i="7"/>
  <c r="O35" i="7"/>
  <c r="O16" i="7"/>
  <c r="X27" i="1"/>
  <c r="O54" i="7"/>
  <c r="K99" i="7"/>
  <c r="K100" i="7" s="1"/>
  <c r="K102" i="7" s="1"/>
  <c r="M136" i="7"/>
  <c r="N132" i="7"/>
  <c r="K156" i="7"/>
  <c r="K157" i="7" s="1"/>
  <c r="K159" i="7" s="1"/>
  <c r="M40" i="7"/>
  <c r="N36" i="7"/>
  <c r="O56" i="7"/>
  <c r="O57" i="7" s="1"/>
  <c r="N57" i="7"/>
  <c r="K41" i="7"/>
  <c r="K42" i="7"/>
  <c r="K44" i="7" s="1"/>
  <c r="T60" i="1"/>
  <c r="L22" i="7"/>
  <c r="L23" i="7"/>
  <c r="L25" i="7" s="1"/>
  <c r="K137" i="7"/>
  <c r="K138" i="7" s="1"/>
  <c r="K140" i="7" s="1"/>
  <c r="W40" i="1"/>
  <c r="X42" i="1"/>
  <c r="X40" i="1" s="1"/>
  <c r="M155" i="7"/>
  <c r="N151" i="7"/>
  <c r="M98" i="7"/>
  <c r="N94" i="7"/>
  <c r="M76" i="7"/>
  <c r="L77" i="7"/>
  <c r="N76" i="7" l="1"/>
  <c r="M77" i="7"/>
  <c r="N40" i="7"/>
  <c r="O36" i="7"/>
  <c r="O40" i="7" s="1"/>
  <c r="M23" i="7"/>
  <c r="M25" i="7" s="1"/>
  <c r="M22" i="7"/>
  <c r="X64" i="1"/>
  <c r="X21" i="1"/>
  <c r="N152" i="7"/>
  <c r="M153" i="7"/>
  <c r="W64" i="1"/>
  <c r="W21" i="1"/>
  <c r="N60" i="7"/>
  <c r="N61" i="7" s="1"/>
  <c r="N63" i="7" s="1"/>
  <c r="N115" i="7"/>
  <c r="O114" i="7"/>
  <c r="O115" i="7" s="1"/>
  <c r="L157" i="7"/>
  <c r="L159" i="7" s="1"/>
  <c r="L156" i="7"/>
  <c r="L99" i="7"/>
  <c r="L100" i="7" s="1"/>
  <c r="L102" i="7" s="1"/>
  <c r="L138" i="7"/>
  <c r="L140" i="7" s="1"/>
  <c r="L137" i="7"/>
  <c r="N116" i="7"/>
  <c r="M117" i="7"/>
  <c r="U54" i="1"/>
  <c r="U51" i="1"/>
  <c r="U25" i="1" s="1"/>
  <c r="U23" i="1"/>
  <c r="U22" i="1"/>
  <c r="U62" i="1"/>
  <c r="U34" i="1" s="1"/>
  <c r="U35" i="1"/>
  <c r="N136" i="7"/>
  <c r="O132" i="7"/>
  <c r="O136" i="7" s="1"/>
  <c r="V63" i="1"/>
  <c r="V60" i="1" s="1"/>
  <c r="M38" i="7"/>
  <c r="N37" i="7"/>
  <c r="N98" i="7"/>
  <c r="O94" i="7"/>
  <c r="O98" i="7" s="1"/>
  <c r="M118" i="7"/>
  <c r="M119" i="7" s="1"/>
  <c r="M121" i="7" s="1"/>
  <c r="N95" i="7"/>
  <c r="M96" i="7"/>
  <c r="O75" i="7"/>
  <c r="O79" i="7" s="1"/>
  <c r="N79" i="7"/>
  <c r="M134" i="7"/>
  <c r="N133" i="7"/>
  <c r="U59" i="1"/>
  <c r="U31" i="1" s="1"/>
  <c r="U32" i="1"/>
  <c r="L80" i="7"/>
  <c r="L81" i="7" s="1"/>
  <c r="L83" i="7" s="1"/>
  <c r="N155" i="7"/>
  <c r="O151" i="7"/>
  <c r="O155" i="7" s="1"/>
  <c r="T59" i="1"/>
  <c r="T31" i="1" s="1"/>
  <c r="T32" i="1"/>
  <c r="P57" i="7"/>
  <c r="P61" i="7" s="1"/>
  <c r="O61" i="7"/>
  <c r="O63" i="7" s="1"/>
  <c r="O60" i="7"/>
  <c r="Q27" i="1"/>
  <c r="R19" i="1"/>
  <c r="T54" i="1"/>
  <c r="T66" i="1" s="1"/>
  <c r="T67" i="1" s="1"/>
  <c r="N19" i="7"/>
  <c r="O18" i="7"/>
  <c r="O19" i="7" s="1"/>
  <c r="L42" i="7"/>
  <c r="L44" i="7" s="1"/>
  <c r="L41" i="7"/>
  <c r="V45" i="1"/>
  <c r="V20" i="1"/>
  <c r="W39" i="1"/>
  <c r="V56" i="1"/>
  <c r="V28" i="1" s="1"/>
  <c r="V59" i="1" l="1"/>
  <c r="V31" i="1" s="1"/>
  <c r="V32" i="1"/>
  <c r="C62" i="7"/>
  <c r="C65" i="7" s="1"/>
  <c r="C66" i="7" s="1"/>
  <c r="C67" i="7" s="1"/>
  <c r="L89" i="1" s="1"/>
  <c r="N89" i="1" s="1"/>
  <c r="N38" i="7"/>
  <c r="O37" i="7"/>
  <c r="O38" i="7" s="1"/>
  <c r="O22" i="7"/>
  <c r="P19" i="7"/>
  <c r="P23" i="7" s="1"/>
  <c r="O23" i="7"/>
  <c r="O25" i="7" s="1"/>
  <c r="C63" i="7"/>
  <c r="C64" i="7" s="1"/>
  <c r="C68" i="7"/>
  <c r="M41" i="7"/>
  <c r="M42" i="7" s="1"/>
  <c r="M44" i="7" s="1"/>
  <c r="O116" i="7"/>
  <c r="O117" i="7" s="1"/>
  <c r="N117" i="7"/>
  <c r="N118" i="7"/>
  <c r="N119" i="7" s="1"/>
  <c r="W63" i="1"/>
  <c r="W60" i="1"/>
  <c r="X63" i="1"/>
  <c r="X60" i="1"/>
  <c r="V51" i="1"/>
  <c r="V25" i="1" s="1"/>
  <c r="V23" i="1"/>
  <c r="V22" i="1"/>
  <c r="N22" i="7"/>
  <c r="N23" i="7" s="1"/>
  <c r="N25" i="7" s="1"/>
  <c r="O133" i="7"/>
  <c r="O134" i="7" s="1"/>
  <c r="N134" i="7"/>
  <c r="M99" i="7"/>
  <c r="M100" i="7"/>
  <c r="M102" i="7" s="1"/>
  <c r="M156" i="7"/>
  <c r="M157" i="7"/>
  <c r="M159" i="7" s="1"/>
  <c r="M80" i="7"/>
  <c r="M81" i="7"/>
  <c r="M83" i="7" s="1"/>
  <c r="W56" i="1"/>
  <c r="W28" i="1" s="1"/>
  <c r="W20" i="1"/>
  <c r="X39" i="1"/>
  <c r="W45" i="1"/>
  <c r="O118" i="7"/>
  <c r="O119" i="7"/>
  <c r="O121" i="7" s="1"/>
  <c r="P115" i="7"/>
  <c r="P119" i="7" s="1"/>
  <c r="S19" i="1"/>
  <c r="R27" i="1"/>
  <c r="M137" i="7"/>
  <c r="M138" i="7" s="1"/>
  <c r="M140" i="7" s="1"/>
  <c r="O95" i="7"/>
  <c r="O96" i="7" s="1"/>
  <c r="N96" i="7"/>
  <c r="V35" i="1"/>
  <c r="V62" i="1"/>
  <c r="V34" i="1" s="1"/>
  <c r="U66" i="1"/>
  <c r="U67" i="1" s="1"/>
  <c r="O152" i="7"/>
  <c r="O153" i="7" s="1"/>
  <c r="N153" i="7"/>
  <c r="N77" i="7"/>
  <c r="O76" i="7"/>
  <c r="O77" i="7" s="1"/>
  <c r="N121" i="7" l="1"/>
  <c r="H96" i="1"/>
  <c r="H97" i="1"/>
  <c r="H99" i="1"/>
  <c r="H94" i="1"/>
  <c r="H95" i="1"/>
  <c r="H93" i="1"/>
  <c r="H98" i="1"/>
  <c r="P153" i="7"/>
  <c r="P157" i="7" s="1"/>
  <c r="O157" i="7"/>
  <c r="O159" i="7" s="1"/>
  <c r="O156" i="7"/>
  <c r="N99" i="7"/>
  <c r="N100" i="7"/>
  <c r="N102" i="7" s="1"/>
  <c r="W51" i="1"/>
  <c r="W25" i="1" s="1"/>
  <c r="W54" i="1"/>
  <c r="W66" i="1" s="1"/>
  <c r="W67" i="1" s="1"/>
  <c r="W22" i="1"/>
  <c r="W23" i="1"/>
  <c r="W59" i="1"/>
  <c r="W31" i="1" s="1"/>
  <c r="W32" i="1"/>
  <c r="N80" i="7"/>
  <c r="N81" i="7" s="1"/>
  <c r="C120" i="7"/>
  <c r="N137" i="7"/>
  <c r="N138" i="7" s="1"/>
  <c r="X59" i="1"/>
  <c r="X31" i="1" s="1"/>
  <c r="X32" i="1"/>
  <c r="C24" i="7"/>
  <c r="C27" i="7" s="1"/>
  <c r="C28" i="7" s="1"/>
  <c r="C29" i="7" s="1"/>
  <c r="L87" i="1" s="1"/>
  <c r="N87" i="1" s="1"/>
  <c r="N41" i="7"/>
  <c r="N42" i="7" s="1"/>
  <c r="N44" i="7" s="1"/>
  <c r="N156" i="7"/>
  <c r="N157" i="7"/>
  <c r="N159" i="7" s="1"/>
  <c r="O137" i="7"/>
  <c r="P134" i="7"/>
  <c r="P138" i="7" s="1"/>
  <c r="O138" i="7"/>
  <c r="O140" i="7" s="1"/>
  <c r="X62" i="1"/>
  <c r="X34" i="1" s="1"/>
  <c r="X35" i="1"/>
  <c r="C25" i="7"/>
  <c r="C26" i="7" s="1"/>
  <c r="C30" i="7"/>
  <c r="O80" i="7"/>
  <c r="O81" i="7" s="1"/>
  <c r="O83" i="7" s="1"/>
  <c r="P77" i="7"/>
  <c r="P81" i="7" s="1"/>
  <c r="P96" i="7"/>
  <c r="P100" i="7" s="1"/>
  <c r="O100" i="7"/>
  <c r="O102" i="7" s="1"/>
  <c r="C101" i="7" s="1"/>
  <c r="O99" i="7"/>
  <c r="F97" i="1"/>
  <c r="F98" i="1"/>
  <c r="S27" i="1"/>
  <c r="T19" i="1"/>
  <c r="U19" i="1" s="1"/>
  <c r="V19" i="1" s="1"/>
  <c r="W19" i="1" s="1"/>
  <c r="X19" i="1" s="1"/>
  <c r="C126" i="7"/>
  <c r="C121" i="7"/>
  <c r="C122" i="7" s="1"/>
  <c r="X56" i="1"/>
  <c r="X28" i="1" s="1"/>
  <c r="X45" i="1"/>
  <c r="X20" i="1"/>
  <c r="V54" i="1"/>
  <c r="V66" i="1" s="1"/>
  <c r="V67" i="1" s="1"/>
  <c r="W62" i="1"/>
  <c r="W34" i="1" s="1"/>
  <c r="W35" i="1"/>
  <c r="C69" i="7"/>
  <c r="O42" i="7"/>
  <c r="O44" i="7" s="1"/>
  <c r="O41" i="7"/>
  <c r="P38" i="7"/>
  <c r="P42" i="7" s="1"/>
  <c r="N83" i="7" l="1"/>
  <c r="C82" i="7" s="1"/>
  <c r="C85" i="7" s="1"/>
  <c r="C86" i="7" s="1"/>
  <c r="C87" i="7" s="1"/>
  <c r="D98" i="1"/>
  <c r="D97" i="1"/>
  <c r="D99" i="1"/>
  <c r="D94" i="1"/>
  <c r="D93" i="1"/>
  <c r="D96" i="1"/>
  <c r="D95" i="1"/>
  <c r="N140" i="7"/>
  <c r="J96" i="1"/>
  <c r="J94" i="1"/>
  <c r="J95" i="1"/>
  <c r="J98" i="1"/>
  <c r="J97" i="1"/>
  <c r="J93" i="1"/>
  <c r="J99" i="1"/>
  <c r="C104" i="7"/>
  <c r="C105" i="7" s="1"/>
  <c r="C106" i="7" s="1"/>
  <c r="C140" i="7"/>
  <c r="C141" i="7" s="1"/>
  <c r="C145" i="7"/>
  <c r="L99" i="1"/>
  <c r="L93" i="1"/>
  <c r="F99" i="1"/>
  <c r="F96" i="1"/>
  <c r="C102" i="7"/>
  <c r="C103" i="7" s="1"/>
  <c r="C107" i="7"/>
  <c r="C88" i="7"/>
  <c r="C83" i="7"/>
  <c r="C84" i="7" s="1"/>
  <c r="C31" i="7"/>
  <c r="L95" i="1"/>
  <c r="C43" i="7"/>
  <c r="C46" i="7" s="1"/>
  <c r="C47" i="7" s="1"/>
  <c r="C48" i="7" s="1"/>
  <c r="L88" i="1" s="1"/>
  <c r="N88" i="1" s="1"/>
  <c r="C44" i="7"/>
  <c r="C45" i="7" s="1"/>
  <c r="C49" i="7"/>
  <c r="X51" i="1"/>
  <c r="X25" i="1" s="1"/>
  <c r="X54" i="1"/>
  <c r="X22" i="1"/>
  <c r="X23" i="1"/>
  <c r="F93" i="1"/>
  <c r="F95" i="1"/>
  <c r="L96" i="1"/>
  <c r="L98" i="1"/>
  <c r="C158" i="7"/>
  <c r="C161" i="7" s="1"/>
  <c r="C162" i="7" s="1"/>
  <c r="C163" i="7" s="1"/>
  <c r="F94" i="1"/>
  <c r="C139" i="7"/>
  <c r="C123" i="7"/>
  <c r="C124" i="7" s="1"/>
  <c r="C125" i="7" s="1"/>
  <c r="L94" i="1"/>
  <c r="L97" i="1"/>
  <c r="C159" i="7"/>
  <c r="C160" i="7" s="1"/>
  <c r="C164" i="7"/>
  <c r="X66" i="1" l="1"/>
  <c r="X67" i="1" s="1"/>
  <c r="Y54" i="1"/>
  <c r="Y66" i="1" s="1"/>
  <c r="X73" i="1" s="1"/>
  <c r="X74" i="1" s="1"/>
  <c r="S75" i="1" s="1"/>
  <c r="S78" i="1" s="1"/>
  <c r="S81" i="1" s="1"/>
  <c r="I5" i="1" s="1"/>
  <c r="I7" i="1" s="1"/>
  <c r="C108" i="7"/>
  <c r="C127" i="7"/>
  <c r="C165" i="7"/>
  <c r="C142" i="7"/>
  <c r="C143" i="7" s="1"/>
  <c r="C144" i="7" s="1"/>
  <c r="C50" i="7"/>
  <c r="C89" i="7"/>
  <c r="C146"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Viktorie Kodickova</author>
  </authors>
  <commentList>
    <comment ref="D6" authorId="0" shapeId="0" xr:uid="{00000000-0006-0000-0000-000001000000}">
      <text>
        <r>
          <rPr>
            <sz val="10"/>
            <rFont val="Arial"/>
            <family val="2"/>
          </rPr>
          <t>Valuation date aligned to current market price date.</t>
        </r>
      </text>
    </comment>
    <comment ref="I6" authorId="0" shapeId="0" xr:uid="{00000000-0006-0000-0000-000002000000}">
      <text>
        <r>
          <rPr>
            <sz val="10"/>
            <rFont val="Arial"/>
            <family val="2"/>
          </rPr>
          <t>Linked to verified source sheet (market price on 06/03/2026).</t>
        </r>
      </text>
    </comment>
    <comment ref="L16" authorId="0" shapeId="0" xr:uid="{00000000-0006-0000-0000-000003000000}">
      <text>
        <r>
          <rPr>
            <sz val="10"/>
            <rFont val="Arial"/>
            <family val="2"/>
          </rPr>
          <t>Base case WACC linked to WACC!F22. Conservative / Optimistic cases use 9.2% / 8.2%.</t>
        </r>
      </text>
    </comment>
    <comment ref="L17" authorId="1" shapeId="0" xr:uid="{00000000-0006-0000-0000-000004000000}">
      <text>
        <r>
          <rPr>
            <sz val="10"/>
            <rFont val="Arial"/>
            <family val="2"/>
          </rPr>
          <t>Base terminal growth rate = 1.5% for a mature airline. Scenarios use 1.0% to 2.0%, the sensitivity table 0.5% to 2.5%.</t>
        </r>
      </text>
    </comment>
    <comment ref="O41" authorId="1" shapeId="0" xr:uid="{00000000-0006-0000-0000-000005000000}">
      <text>
        <r>
          <rPr>
            <sz val="10"/>
            <rFont val="Arial"/>
            <family val="2"/>
          </rPr>
          <t>Conservative case revenue growth: 7.0% in FY26, falling in equal steps to the 1.0% terminal growth rate in FY35.</t>
        </r>
      </text>
    </comment>
    <comment ref="O42" authorId="1" shapeId="0" xr:uid="{00000000-0006-0000-0000-000006000000}">
      <text>
        <r>
          <rPr>
            <sz val="10"/>
            <rFont val="Arial"/>
            <family val="2"/>
          </rPr>
          <t>Base case revenue growth: 9.09% in FY26 (average of FY17-19 and FY24-25), falling in equal steps to the 1.5% terminal growth rate in FY35.</t>
        </r>
      </text>
    </comment>
    <comment ref="O47" authorId="1" shapeId="0" xr:uid="{00000000-0006-0000-0000-000007000000}">
      <text>
        <r>
          <rPr>
            <sz val="10"/>
            <rFont val="Arial"/>
            <family val="2"/>
          </rPr>
          <t>Conservative EBIT margin: 16.0%, flat in all years.</t>
        </r>
      </text>
    </comment>
    <comment ref="O48" authorId="1" shapeId="0" xr:uid="{00000000-0006-0000-0000-000008000000}">
      <text>
        <r>
          <rPr>
            <sz val="10"/>
            <rFont val="Arial"/>
            <family val="2"/>
          </rPr>
          <t>Base EBIT margin: 17.2% (average of FY17-19 and FY24-25), flat in all years.</t>
        </r>
      </text>
    </comment>
    <comment ref="O57" authorId="1" shapeId="0" xr:uid="{00000000-0006-0000-0000-000009000000}">
      <text>
        <r>
          <rPr>
            <sz val="10"/>
            <rFont val="Arial"/>
            <family val="2"/>
          </rPr>
          <t>D&amp;A: 8.05% of sales (average of FY17-19 and FY24-25), flat in all years.</t>
        </r>
      </text>
    </comment>
    <comment ref="O60" authorId="1" shapeId="0" xr:uid="{00000000-0006-0000-0000-00000A000000}">
      <text>
        <r>
          <rPr>
            <sz val="10"/>
            <rFont val="Arial"/>
            <family val="2"/>
          </rPr>
          <t>CapEx: 18.28% of sales in FY26 (average of FY17-19 and FY24-25). From FY27 CapEx = D&amp;A + net reinvestment (rows 64 and 65), so it follows growth.</t>
        </r>
      </text>
    </comment>
    <comment ref="O63" authorId="1" shapeId="0" xr:uid="{00000000-0006-0000-0000-00000B000000}">
      <text>
        <r>
          <rPr>
            <sz val="10"/>
            <rFont val="Arial"/>
            <family val="2"/>
          </rPr>
          <t>Change in NWC: -2.87% of sales in FY26 (average of FY17-19 and FY24-25). Negative means a cash source. From FY27 it keeps its share of net reinvestment, so the inflow shrinks with growth.</t>
        </r>
      </text>
    </comment>
    <comment ref="O67" authorId="1" shapeId="0" xr:uid="{00000000-0006-0000-0000-00000C000000}">
      <text>
        <r>
          <rPr>
            <sz val="10"/>
            <rFont val="Arial"/>
            <family val="2"/>
          </rPr>
          <t>FY26 FCF is prorated for the 25 days between the valuation date and the FY26 year end.</t>
        </r>
      </text>
    </comment>
    <comment ref="S76" authorId="0" shapeId="0" xr:uid="{00000000-0006-0000-0000-00000D000000}">
      <text>
        <r>
          <rPr>
            <sz val="10"/>
            <rFont val="Arial"/>
            <family val="2"/>
          </rPr>
          <t>Linked to verified source sheet (gross cash at 31 Dec 2025).</t>
        </r>
      </text>
    </comment>
    <comment ref="S77" authorId="1" shapeId="0" xr:uid="{00000000-0006-0000-0000-00000E000000}">
      <text>
        <r>
          <rPr>
            <sz val="10"/>
            <rFont val="Arial"/>
            <family val="2"/>
          </rPr>
          <t>Gross debt of 1,500 at 31 Dec 2025, which includes lease liabilities, linked to the Sources &amp; Checks sheet.</t>
        </r>
      </text>
    </comment>
    <comment ref="S78" authorId="0" shapeId="0" xr:uid="{00000000-0006-0000-0000-00000F000000}">
      <text>
        <r>
          <rPr>
            <sz val="10"/>
            <rFont val="Arial"/>
            <family val="2"/>
          </rPr>
          <t>Equity value = enterprise value + cash - debt.</t>
        </r>
      </text>
    </comment>
    <comment ref="S80" authorId="0" shapeId="0" xr:uid="{00000000-0006-0000-0000-000010000000}">
      <text>
        <r>
          <rPr>
            <sz val="10"/>
            <rFont val="Arial"/>
            <family val="2"/>
          </rPr>
          <t>Linked to verified source sheet (diluted shares).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8" authorId="0" shapeId="0" xr:uid="{00000000-0006-0000-0200-000001000000}">
      <text>
        <r>
          <rPr>
            <sz val="10"/>
            <rFont val="Arial"/>
            <family val="2"/>
          </rPr>
          <t>Linked to verified current share price.</t>
        </r>
      </text>
    </comment>
    <comment ref="J8" authorId="0" shapeId="0" xr:uid="{00000000-0006-0000-0200-000002000000}">
      <text>
        <r>
          <rPr>
            <sz val="10"/>
            <rFont val="Arial"/>
            <family val="2"/>
          </rPr>
          <t>Market cap calculated using basic shares outstanding (not diluted).</t>
        </r>
      </text>
    </comment>
    <comment ref="L8" authorId="0" shapeId="0" xr:uid="{00000000-0006-0000-0200-000003000000}">
      <text>
        <r>
          <rPr>
            <sz val="10"/>
            <rFont val="Arial"/>
            <family val="2"/>
          </rPr>
          <t>Enterprise value calculated as market cap - cash + debt using verified latest balance sheet inputs.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Viktorie Kodickova</author>
    <author>Unknown Author</author>
  </authors>
  <commentList>
    <comment ref="F8" authorId="0" shapeId="0" xr:uid="{00000000-0006-0000-0300-000001000000}">
      <text>
        <r>
          <rPr>
            <sz val="10"/>
            <rFont val="Arial"/>
            <family val="2"/>
          </rPr>
          <t>Market cap linked to the verified share price and basic shares outstanding.</t>
        </r>
      </text>
    </comment>
    <comment ref="F11" authorId="1" shapeId="0" xr:uid="{00000000-0006-0000-0300-000002000000}">
      <text>
        <r>
          <rPr>
            <sz val="10"/>
            <rFont val="Arial"/>
            <family val="2"/>
          </rPr>
          <t>Source: https://www.ecb.europa.eu/stats/html/index.en.html (10-year AAA government bond yield 2.89% on 05-Mar-2026).</t>
        </r>
      </text>
    </comment>
    <comment ref="F12" authorId="1" shapeId="0" xr:uid="{00000000-0006-0000-0300-000003000000}">
      <text>
        <r>
          <rPr>
            <sz val="10"/>
            <rFont val="Arial"/>
            <family val="2"/>
          </rPr>
          <t>Source: https://finance.yahoo.com/quote/RYA.IR/ (Beta (5Y Monthly) = 1.01, accessed Mar-2026).</t>
        </r>
      </text>
    </comment>
    <comment ref="F13" authorId="1" shapeId="0" xr:uid="{00000000-0006-0000-0300-000004000000}">
      <text>
        <r>
          <rPr>
            <sz val="10"/>
            <rFont val="Arial"/>
            <family val="2"/>
          </rPr>
          <t>Source: https://www.kroll.com/en/reports/cost-of-capital/recommended-eurozone-equity-risk-premium-corresponding-risk-free-rates (Kroll notes a Eurozone ERP range of 5.5% to 6.0%; model uses 6.0% as a prudent upper-end assumption).</t>
        </r>
      </text>
    </comment>
    <comment ref="F15" authorId="1" shapeId="0" xr:uid="{00000000-0006-0000-0300-000005000000}">
      <text>
        <r>
          <rPr>
            <sz val="10"/>
            <rFont val="Arial"/>
            <family val="2"/>
          </rPr>
          <t>Source: https://investor.ryanair.com/wp-content/uploads/2026/01/Q3-FY26-Ryanair-Results.pdf (gross debt c. €1.5bn at 31-Dec-2025).</t>
        </r>
      </text>
    </comment>
    <comment ref="F17" authorId="1" shapeId="0" xr:uid="{00000000-0006-0000-0300-000006000000}">
      <text>
        <r>
          <rPr>
            <sz val="10"/>
            <rFont val="Arial"/>
            <family val="2"/>
          </rPr>
          <t>Analyst assumption: 3.0% pre-tax cost of debt. Ryanair is close to debt-free after the final bond maturity due May-2026; debt weighting in WACC is small.</t>
        </r>
      </text>
    </comment>
    <comment ref="F18" authorId="1" shapeId="0" xr:uid="{00000000-0006-0000-0300-000007000000}">
      <text>
        <r>
          <rPr>
            <sz val="10"/>
            <rFont val="Arial"/>
            <family val="2"/>
          </rPr>
          <t>Source: https://investor.ryanair.com/wp-content/uploads/2025/05/Ryanair-2025-Annual-Report.pdf (FY25 effective tax rate ~10%).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400-000001000000}">
      <text>
        <r>
          <rPr>
            <sz val="10"/>
            <rFont val="Arial"/>
            <family val="2"/>
          </rPr>
          <t>Source: https://live.euronext.com/en/product/equities/IE00BYTBXV33-XMSM
Cross-check: https://www.marketscreener.com/quote/stock/RYANAIR-HOLDINGS-PLC-1412410/quotes/</t>
        </r>
      </text>
    </comment>
    <comment ref="B6" authorId="0" shapeId="0" xr:uid="{00000000-0006-0000-0400-000002000000}">
      <text>
        <r>
          <rPr>
            <sz val="10"/>
            <rFont val="Arial"/>
            <family val="2"/>
          </rPr>
          <t>Source: https://investor.ryanair.com/wp-content/uploads/2026/01/Q3-FY26-Ryanair-Results.pdf</t>
        </r>
      </text>
    </comment>
    <comment ref="B7" authorId="0" shapeId="0" xr:uid="{00000000-0006-0000-0400-000003000000}">
      <text>
        <r>
          <rPr>
            <sz val="10"/>
            <rFont val="Arial"/>
            <family val="2"/>
          </rPr>
          <t>Source: https://investor.ryanair.com/wp-content/uploads/2026/01/Q3-FY26-Ryanair-Results.pdf</t>
        </r>
      </text>
    </comment>
    <comment ref="B8" authorId="0" shapeId="0" xr:uid="{00000000-0006-0000-0400-000004000000}">
      <text>
        <r>
          <rPr>
            <sz val="10"/>
            <rFont val="Arial"/>
            <family val="2"/>
          </rPr>
          <t>Source: https://investor.ryanair.com/wp-content/uploads/2026/01/Q3-FY26-Ryanair-Results.pdf</t>
        </r>
      </text>
    </comment>
    <comment ref="B9" authorId="0" shapeId="0" xr:uid="{00000000-0006-0000-0400-000005000000}">
      <text>
        <r>
          <rPr>
            <sz val="10"/>
            <rFont val="Arial"/>
            <family val="2"/>
          </rPr>
          <t>Source: https://investor.ryanair.com/wp-content/uploads/2026/01/Q3-FY26-Ryanair-Results.pdf</t>
        </r>
      </text>
    </comment>
    <comment ref="B10" authorId="0" shapeId="0" xr:uid="{00000000-0006-0000-0400-000006000000}">
      <text>
        <r>
          <rPr>
            <sz val="10"/>
            <rFont val="Arial"/>
            <family val="2"/>
          </rPr>
          <t>Source: https://www.investing.com/rates-bonds/germany-10-year-bond-yield-forecasts</t>
        </r>
      </text>
    </comment>
  </commentList>
</comments>
</file>

<file path=xl/sharedStrings.xml><?xml version="1.0" encoding="utf-8"?>
<sst xmlns="http://schemas.openxmlformats.org/spreadsheetml/2006/main" count="535" uniqueCount="247">
  <si>
    <t>DCF Model - Ryanair</t>
  </si>
  <si>
    <t>Ticker</t>
  </si>
  <si>
    <t>RYA.IR</t>
  </si>
  <si>
    <t>Implied Price Per Share</t>
  </si>
  <si>
    <t>Date</t>
  </si>
  <si>
    <t>Current Share Price</t>
  </si>
  <si>
    <t>Year end</t>
  </si>
  <si>
    <t>Implied Upside/Downside</t>
  </si>
  <si>
    <t>X</t>
  </si>
  <si>
    <t>Assumption</t>
  </si>
  <si>
    <t>Switches</t>
  </si>
  <si>
    <t>Conservative</t>
  </si>
  <si>
    <t>Street/Base</t>
  </si>
  <si>
    <t>Optimistic</t>
  </si>
  <si>
    <t>Revenue</t>
  </si>
  <si>
    <t>Revenue Growth (Norm.)</t>
  </si>
  <si>
    <t>EBIT</t>
  </si>
  <si>
    <t>Norm. Years: FY17-19, FY24-25</t>
  </si>
  <si>
    <t>Fades to TGR</t>
  </si>
  <si>
    <t>WACC</t>
  </si>
  <si>
    <t>EBIT Margin (Norm.)</t>
  </si>
  <si>
    <t>TGR</t>
  </si>
  <si>
    <t>FY26: D&amp;A 8.0% | CapEx 18.3% | WC -2.9%</t>
  </si>
  <si>
    <t>Normalized avg</t>
  </si>
  <si>
    <t>Fade steps (FY27-FY35)</t>
  </si>
  <si>
    <t xml:space="preserve">Income Statement </t>
  </si>
  <si>
    <t>% growth</t>
  </si>
  <si>
    <t xml:space="preserve"> </t>
  </si>
  <si>
    <t>EBITDA</t>
  </si>
  <si>
    <t>% of Sales</t>
  </si>
  <si>
    <t>Taxes</t>
  </si>
  <si>
    <t>Tax rate</t>
  </si>
  <si>
    <t>Cash Flow Items</t>
  </si>
  <si>
    <t>D&amp;A</t>
  </si>
  <si>
    <t>CapEx</t>
  </si>
  <si>
    <t>Change in NW</t>
  </si>
  <si>
    <t>% of Change in Sales</t>
  </si>
  <si>
    <t>DCF</t>
  </si>
  <si>
    <t>TV year</t>
  </si>
  <si>
    <t>Conservative Case</t>
  </si>
  <si>
    <t>Street Case</t>
  </si>
  <si>
    <t>Optimistic Case</t>
  </si>
  <si>
    <t>EBIAT</t>
  </si>
  <si>
    <t>Reinvestment rate (% of NOPAT)</t>
  </si>
  <si>
    <t>RONIC</t>
  </si>
  <si>
    <t>Unlevered FCF</t>
  </si>
  <si>
    <t>Present Value of FCF</t>
  </si>
  <si>
    <t>Period</t>
  </si>
  <si>
    <t>Discount Period</t>
  </si>
  <si>
    <t>Terminal Value</t>
  </si>
  <si>
    <t>Present Value of Terminal Value</t>
  </si>
  <si>
    <t>Enterprise Value</t>
  </si>
  <si>
    <t>(+) Cash</t>
  </si>
  <si>
    <t>(-) Debt (incl. leases)</t>
  </si>
  <si>
    <t>Equity Value</t>
  </si>
  <si>
    <t>Diluted Shares</t>
  </si>
  <si>
    <t>Implied Stock Price</t>
  </si>
  <si>
    <t>Scenario Analysis - Implied Share Price (€)</t>
  </si>
  <si>
    <t>Scenario</t>
  </si>
  <si>
    <t>Rev Growth</t>
  </si>
  <si>
    <t>EBIT Margin</t>
  </si>
  <si>
    <t>Implied Price</t>
  </si>
  <si>
    <t>Upside / Downside</t>
  </si>
  <si>
    <t>Base / Street</t>
  </si>
  <si>
    <t>Current Market Price (€26.19)</t>
  </si>
  <si>
    <t>Sensitivity Analysis - Implied Price (€)  |  Base-case drivers (Street: 9.1% growth fading to the TGR of each column, 17.2% EBIT margin)</t>
  </si>
  <si>
    <t>WACC \ TGR →</t>
  </si>
  <si>
    <t>Model notes</t>
  </si>
  <si>
    <t>Method</t>
  </si>
  <si>
    <t>Cost of equity</t>
  </si>
  <si>
    <t>Blume adjusted beta = 1/3 x 1 + 2/3 x raw beta, used in the cost of equity.</t>
  </si>
  <si>
    <t>Revenue growth</t>
  </si>
  <si>
    <t>FY26 growth is the scenario rate. From FY27 growth falls by (start growth - TGR) / 9 a year, so FY35 growth equals the terminal growth rate.</t>
  </si>
  <si>
    <t>Reinvestment</t>
  </si>
  <si>
    <t>Reinvestment rate = growth / RONIC. FY26 is implied by the CapEx, D&amp;A and working capital assumptions. From FY27 RONIC fades in equal steps to WACC in FY35. CapEx and working capital follow it.</t>
  </si>
  <si>
    <t>Terminal value</t>
  </si>
  <si>
    <t>Terminal FCF = NOPAT FY35 x (1+g) x (1 - g/WACC), TV = terminal FCF / (WACC - g). RONIC = WACC, so the terminal year continues the FY35 reinvestment rate.</t>
  </si>
  <si>
    <t>Effective tax rate of 12%, as reported in the Q3 FY26 results (note 4).</t>
  </si>
  <si>
    <t>FY26 cash flow</t>
  </si>
  <si>
    <t>Only the 25 days between the valuation date and the FY26 year end are counted.</t>
  </si>
  <si>
    <t>Comps</t>
  </si>
  <si>
    <t>Financial Data</t>
  </si>
  <si>
    <t>Multiples</t>
  </si>
  <si>
    <t>Multiples (EBIT basis)</t>
  </si>
  <si>
    <t>Price</t>
  </si>
  <si>
    <t>Market Cap</t>
  </si>
  <si>
    <t>EV</t>
  </si>
  <si>
    <t>Growth 24</t>
  </si>
  <si>
    <t>Growth 25</t>
  </si>
  <si>
    <t>EBIT Margin 24</t>
  </si>
  <si>
    <t>EBIT Margin 25</t>
  </si>
  <si>
    <t>EV/EBITDA 24</t>
  </si>
  <si>
    <t>EV/EBITDA 25</t>
  </si>
  <si>
    <t>EV/Sales 24</t>
  </si>
  <si>
    <t>EV/Sales 25</t>
  </si>
  <si>
    <t>EV/EBIT 24</t>
  </si>
  <si>
    <t>EV/EBIT 25</t>
  </si>
  <si>
    <t>Name</t>
  </si>
  <si>
    <t>(Local CCY)</t>
  </si>
  <si>
    <t>(Local CCY M)</t>
  </si>
  <si>
    <t>(%)</t>
  </si>
  <si>
    <t>(x)</t>
  </si>
  <si>
    <t>EUR / GBP</t>
  </si>
  <si>
    <t>EUR M / GBP M</t>
  </si>
  <si>
    <t>Ryanair Holdings plc</t>
  </si>
  <si>
    <t>EZJ.L</t>
  </si>
  <si>
    <t>easyJet plc</t>
  </si>
  <si>
    <t>WIZZ.L</t>
  </si>
  <si>
    <t>Wizz Air Holdings plc</t>
  </si>
  <si>
    <t>IAG.MC</t>
  </si>
  <si>
    <t>International Airlines Group</t>
  </si>
  <si>
    <t>LHA.DE</t>
  </si>
  <si>
    <t>Deutsche Lufthansa AG</t>
  </si>
  <si>
    <t>AF.PA</t>
  </si>
  <si>
    <t>Air France-KLM</t>
  </si>
  <si>
    <t>PEER AVG (EX-RYA)</t>
  </si>
  <si>
    <t>PEER MEDIAN (EX-RYA)</t>
  </si>
  <si>
    <t>Implied Valuation from Peer Medians (Ryanair)</t>
  </si>
  <si>
    <t>Metric</t>
  </si>
  <si>
    <t>Peer Median Multiple (FY25)</t>
  </si>
  <si>
    <t>Ryanair Metric (FY25, EUR M)</t>
  </si>
  <si>
    <t>Implied EV (EUR M)</t>
  </si>
  <si>
    <t>(-) Debt</t>
  </si>
  <si>
    <t>Implied Equity (EUR M)</t>
  </si>
  <si>
    <t>Implied Price (€)</t>
  </si>
  <si>
    <t>vs. Mkt €26.19</t>
  </si>
  <si>
    <t>EV/EBITDA (FY25)</t>
  </si>
  <si>
    <t>EV/Sales (FY25)</t>
  </si>
  <si>
    <t>EV/EBIT (FY25)</t>
  </si>
  <si>
    <t>Note: Peer medians exclude Ryanair (EX-RYA). Implied EV = Multiple × Ryanair metric. Net Debt Bridge: (+) Cash €2,400M, (−) Debt €1,500M. Shares: 1,066.8M diluted. Large discount vs DCF reflects Ryanair's structurally superior margins vs legacy carriers — direct comps multiples understate intrinsic value.</t>
  </si>
  <si>
    <t>WACC = % of equity x cost of equity + % of debt x cost of debt x (1- Tax Rate)</t>
  </si>
  <si>
    <t>Cost of equity = Risk Free rate + Adjusted Beta x Market Risk Premium</t>
  </si>
  <si>
    <t>% of Equity</t>
  </si>
  <si>
    <t>Cost of Equity</t>
  </si>
  <si>
    <t>Risk Free Rate</t>
  </si>
  <si>
    <t>Beta (raw)</t>
  </si>
  <si>
    <t>Market Risk Premium</t>
  </si>
  <si>
    <t>Adjusted Beta (Blume: 1/3 x 1.0 + 2/3 x raw beta)</t>
  </si>
  <si>
    <t>Debt</t>
  </si>
  <si>
    <t>% of Debt</t>
  </si>
  <si>
    <t>Cost of Debt</t>
  </si>
  <si>
    <t>Tax Rate</t>
  </si>
  <si>
    <t>Total</t>
  </si>
  <si>
    <t>Verified Inputs &amp; Sources</t>
  </si>
  <si>
    <t>Value</t>
  </si>
  <si>
    <t>Units</t>
  </si>
  <si>
    <t>Source / Note</t>
  </si>
  <si>
    <t>Valuation date</t>
  </si>
  <si>
    <t>date</t>
  </si>
  <si>
    <t>Aligned to market price date used in the model.</t>
  </si>
  <si>
    <t>Current share price</t>
  </si>
  <si>
    <t>EUR/share</t>
  </si>
  <si>
    <t>Euronext Dublin last traded price on 06/03/2026.</t>
  </si>
  <si>
    <t>Gross cash</t>
  </si>
  <si>
    <t>EUR m</t>
  </si>
  <si>
    <t>Ryanair Q3 FY26 results: gross cash at 31 Dec 2025.</t>
  </si>
  <si>
    <t>Gross debt</t>
  </si>
  <si>
    <t>Q3 FY26 results: gross debt of €1.5bn at 31 Dec 2025, which includes lease liabilities (balance sheet: debt 1,346.4 + leases 111.2 = 1,457.6).</t>
  </si>
  <si>
    <t>Basic shares outstanding</t>
  </si>
  <si>
    <t>m shares</t>
  </si>
  <si>
    <t>Balance at 31 Dec 2025; used for market cap and EV bridge.</t>
  </si>
  <si>
    <t>Diluted shares</t>
  </si>
  <si>
    <t>9M FY26 diluted weighted average shares; used for per-share DCF.</t>
  </si>
  <si>
    <t>Risk-free rate</t>
  </si>
  <si>
    <t>%</t>
  </si>
  <si>
    <t>Germany 10Y government bond yield on 06/03/2026.</t>
  </si>
  <si>
    <t>Beta</t>
  </si>
  <si>
    <t>x</t>
  </si>
  <si>
    <t>Analyst assumption.</t>
  </si>
  <si>
    <t>Market risk premium</t>
  </si>
  <si>
    <t>Pre-tax cost of debt</t>
  </si>
  <si>
    <t>Q3 FY26 results, note 4: effective tax rate approx. 12% for the nine months to 31 Dec 2025 (prior year approx. 12%).</t>
  </si>
  <si>
    <t>Control note</t>
  </si>
  <si>
    <t>Market cap uses basic shares; DCF per-share output uses diluted shares.</t>
  </si>
  <si>
    <t>DCF Forecast Methodology</t>
  </si>
  <si>
    <t>Normalized Historical Average</t>
  </si>
  <si>
    <t>-</t>
  </si>
  <si>
    <t>Starting levels use the normalised average of FY2017-2019 and FY2024-2025 (FY2020-2023 excluded for Covid disruption and rebound). Revenue growth starts at the normalised rate in FY26 and fades in equal steps to the terminal growth rate by FY35. EBIT margin is held flat. From FY27 the reinvestment rate equals growth / RONIC, with RONIC fading from its FY26 implied level to WACC.</t>
  </si>
  <si>
    <t>Normalized Revenue Growth</t>
  </si>
  <si>
    <t>Avg of FY17(1.7%), FY18(7.6%), FY19(7.6%), FY24(24.8%), FY25(3.8%) excl. Covid years</t>
  </si>
  <si>
    <t>Normalized EBIT Margin</t>
  </si>
  <si>
    <t>Avg of FY17(23.1%), FY18(23.3%), FY19(13.2%), FY24(15.3%), FY25(11.2%) excl. Covid years</t>
  </si>
  <si>
    <t>Normalized D&amp;A %</t>
  </si>
  <si>
    <t>Avg of FY17-FY19 + FY24-FY25 D&amp;A as % of Revenue</t>
  </si>
  <si>
    <t>Normalized CapEx %</t>
  </si>
  <si>
    <t>Avg of FY17-FY19 + FY24-FY25 CapEx as % of Revenue</t>
  </si>
  <si>
    <t>Normalized ΔWC %</t>
  </si>
  <si>
    <t>Avg of FY17-FY19 + FY24-FY25 change in net working capital as % of Revenue (negative = cash source, typical for airlines)</t>
  </si>
  <si>
    <t>Data note</t>
  </si>
  <si>
    <t>FY2016 historical revenue (€6,535.8M) is taken from the database used. Some sources report FY2016 total revenues of about €5,654M (ex-ancillary supplements); if restated, the normalised growth average would adjust from 9.09% to approx. 9.5%.</t>
  </si>
  <si>
    <t>Income Statement Data (€ million)</t>
  </si>
  <si>
    <t>FY23</t>
  </si>
  <si>
    <t>FY24</t>
  </si>
  <si>
    <t>FY25</t>
  </si>
  <si>
    <t>Total Revenue1</t>
  </si>
  <si>
    <t>Total Operating Costs1</t>
  </si>
  <si>
    <t>Profit Before Tax1</t>
  </si>
  <si>
    <t>Profit After Tax (Net Income)1</t>
  </si>
  <si>
    <t>Balance Sheet Data (€ million)</t>
  </si>
  <si>
    <t>Total Assets1</t>
  </si>
  <si>
    <t>Shareholder Equity1</t>
  </si>
  <si>
    <t>Gross Cash1</t>
  </si>
  <si>
    <t>Liabilities</t>
  </si>
  <si>
    <t>Current Liabilities1</t>
  </si>
  <si>
    <t>Non-Current Liabilities1</t>
  </si>
  <si>
    <t>Total Liabilities</t>
  </si>
  <si>
    <t>Ratio</t>
  </si>
  <si>
    <t>Revenue Growth</t>
  </si>
  <si>
    <t>Net Income Growth</t>
  </si>
  <si>
    <t>n.m</t>
  </si>
  <si>
    <t>Net Profit Margin</t>
  </si>
  <si>
    <t>Operating Margin</t>
  </si>
  <si>
    <t>Cost-to-Revenue</t>
  </si>
  <si>
    <t>ROA</t>
  </si>
  <si>
    <t>ROE</t>
  </si>
  <si>
    <t>Liabilities Ratio</t>
  </si>
  <si>
    <t>Equity Ratio</t>
  </si>
  <si>
    <t>1 Ryanair Holdings plc. (2025). Ryanair 2025 annual report. Retrieved 6 March 2026</t>
  </si>
  <si>
    <t>Note: Revenue Growth (FY23) - Calculated using FY22 revenue of €4,800.9m and FY23 revenue of €10,775m, resulting in growth of 124.40%. FY22 is used only as a base year.</t>
  </si>
  <si>
    <t>Note: Net Income Growth (FY23) - FY22 net income was a loss of €240.8m, while FY23 net income was €1,313.8m. Because the base year is negative, the growth rate is not meaningful and reflects a turnaround from loss to profit.</t>
  </si>
  <si>
    <t>Calc</t>
  </si>
  <si>
    <t>Inputs</t>
  </si>
  <si>
    <t>D&amp;A (% of sales)</t>
  </si>
  <si>
    <t>CapEx (% of sales, FY26 level)</t>
  </si>
  <si>
    <t>Change in NWC (% of sales, FY26 level, negative = cash source)</t>
  </si>
  <si>
    <t>Revenue FY25 (base year, EUR m)</t>
  </si>
  <si>
    <t>Cash (EUR m)</t>
  </si>
  <si>
    <t>Debt incl. leases (EUR m)</t>
  </si>
  <si>
    <t>Diluted shares (m)</t>
  </si>
  <si>
    <t>Scenarios</t>
  </si>
  <si>
    <t>Parameter</t>
  </si>
  <si>
    <t>Line</t>
  </si>
  <si>
    <t>Start growth (FY26)</t>
  </si>
  <si>
    <t>EBIT margin</t>
  </si>
  <si>
    <t>NOPAT = EBIT x (1 - tax)</t>
  </si>
  <si>
    <t>Terminal growth rate</t>
  </si>
  <si>
    <t>Net reinvestment (CapEx - D&amp;A + change in NWC)</t>
  </si>
  <si>
    <t>Sum of PV of FCF FY26 to FY35</t>
  </si>
  <si>
    <t>Discount period (years)</t>
  </si>
  <si>
    <t>PV of FCF</t>
  </si>
  <si>
    <t>PV of terminal value</t>
  </si>
  <si>
    <t>Enterprise value</t>
  </si>
  <si>
    <t>Equity value (EV + cash - debt)</t>
  </si>
  <si>
    <t>Implied price per share (EUR)</t>
  </si>
  <si>
    <t>Terminal reinvestment (% of NOPAT)</t>
  </si>
  <si>
    <t>PV of terminal value (% of EV)</t>
  </si>
  <si>
    <t>Sensitivity table cash flows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</si>
</sst>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00_);_(* \(#,##0.00\);_(* \-??_);_(@_)"/>
    <numFmt numFmtId="165" formatCode="\€#,##0.00"/>
    <numFmt numFmtId="166" formatCode="m/d/yyyy"/>
    <numFmt numFmtId="167" formatCode="dd\-mmm\-yyyy"/>
    <numFmt numFmtId="168" formatCode="\+0.0%;\(0.0%\)"/>
    <numFmt numFmtId="169" formatCode="0.0%"/>
    <numFmt numFmtId="170" formatCode="#,##0.0;\(#,##0.0\);\-"/>
    <numFmt numFmtId="171" formatCode="0.0%;\(0.0%\);\-"/>
    <numFmt numFmtId="172" formatCode="_(* #,##0_);_(* \(#,##0\);_(* \-??_);_(@_)"/>
    <numFmt numFmtId="173" formatCode="0.000"/>
    <numFmt numFmtId="174" formatCode="#,##0;\(#,##0\);\-"/>
    <numFmt numFmtId="175" formatCode="_-* #,##0.00_-;\-* #,##0.00_-;_-* \-??_-;_-@_-"/>
    <numFmt numFmtId="176" formatCode="0.00\x"/>
    <numFmt numFmtId="177" formatCode="0.000\x"/>
    <numFmt numFmtId="178" formatCode="0.0"/>
    <numFmt numFmtId="179" formatCode="0.0\x"/>
    <numFmt numFmtId="180" formatCode="0.0000\x"/>
    <numFmt numFmtId="181" formatCode="#,##0.0"/>
    <numFmt numFmtId="182" formatCode="_-* #,##0_-;\-* #,##0_-;_-* \-??_-;_-@_-"/>
    <numFmt numFmtId="183" formatCode="0.000%"/>
  </numFmts>
  <fonts count="54" x14ac:knownFonts="1">
    <font>
      <sz val="11"/>
      <color theme="1"/>
      <name val="Calibri"/>
      <family val="2"/>
      <charset val="1"/>
    </font>
    <font>
      <sz val="10"/>
      <name val="Arial"/>
      <family val="2"/>
    </font>
    <font>
      <b/>
      <sz val="14"/>
      <color theme="1"/>
      <name val="Arial"/>
      <family val="2"/>
      <charset val="1"/>
    </font>
    <font>
      <i/>
      <sz val="9"/>
      <color theme="1"/>
      <name val="Calibri"/>
      <family val="2"/>
      <charset val="1"/>
    </font>
    <font>
      <i/>
      <sz val="10"/>
      <color rgb="FF0015FF"/>
      <name val="Arial"/>
      <family val="2"/>
      <charset val="1"/>
    </font>
    <font>
      <i/>
      <sz val="10"/>
      <color theme="1"/>
      <name val="Arial"/>
      <family val="2"/>
      <charset val="1"/>
    </font>
    <font>
      <b/>
      <sz val="10"/>
      <color theme="1"/>
      <name val="Calibri"/>
      <family val="2"/>
      <charset val="1"/>
    </font>
    <font>
      <sz val="12"/>
      <color theme="1"/>
      <name val="Calibri"/>
      <family val="2"/>
      <charset val="1"/>
    </font>
    <font>
      <sz val="8"/>
      <color theme="1"/>
      <name val="Arial"/>
      <family val="2"/>
      <charset val="1"/>
    </font>
    <font>
      <sz val="8"/>
      <color theme="1"/>
      <name val="Calibri"/>
      <family val="2"/>
      <charset val="1"/>
    </font>
    <font>
      <b/>
      <i/>
      <sz val="14"/>
      <color theme="1"/>
      <name val="Calibri"/>
      <family val="2"/>
      <charset val="1"/>
    </font>
    <font>
      <sz val="10"/>
      <color theme="1"/>
      <name val="Calibri"/>
      <family val="2"/>
      <charset val="1"/>
    </font>
    <font>
      <b/>
      <u/>
      <sz val="10"/>
      <color rgb="FF0015FF"/>
      <name val="Calibri"/>
      <family val="2"/>
      <charset val="1"/>
    </font>
    <font>
      <u/>
      <sz val="11"/>
      <color rgb="FF0000FF"/>
      <name val="Calibri"/>
      <family val="2"/>
      <charset val="1"/>
    </font>
    <font>
      <sz val="11"/>
      <color rgb="FF3F3F76"/>
      <name val="Calibri"/>
      <family val="2"/>
      <charset val="1"/>
    </font>
    <font>
      <sz val="11"/>
      <color rgb="FF9C5700"/>
      <name val="Calibri"/>
      <family val="2"/>
      <charset val="1"/>
    </font>
    <font>
      <sz val="10"/>
      <color rgb="FF000000"/>
      <name val="Calibri"/>
      <family val="2"/>
      <charset val="1"/>
    </font>
    <font>
      <b/>
      <sz val="10"/>
      <color rgb="FF000000"/>
      <name val="Calibri"/>
      <family val="2"/>
      <charset val="1"/>
    </font>
    <font>
      <b/>
      <sz val="16"/>
      <color rgb="FF000000"/>
      <name val="Calibri"/>
      <family val="2"/>
      <charset val="1"/>
    </font>
    <font>
      <sz val="8"/>
      <color rgb="FF0015FF"/>
      <name val="Calibri"/>
      <family val="2"/>
      <charset val="1"/>
    </font>
    <font>
      <b/>
      <sz val="9"/>
      <color theme="1"/>
      <name val="Arial"/>
      <family val="2"/>
      <charset val="1"/>
    </font>
    <font>
      <sz val="14"/>
      <color theme="1"/>
      <name val="Calibri"/>
      <family val="2"/>
      <charset val="1"/>
    </font>
    <font>
      <sz val="9"/>
      <color theme="1"/>
      <name val="Arial"/>
      <family val="2"/>
      <charset val="1"/>
    </font>
    <font>
      <sz val="9"/>
      <color rgb="FF0000FF"/>
      <name val="Arial"/>
      <family val="2"/>
      <charset val="1"/>
    </font>
    <font>
      <b/>
      <sz val="10"/>
      <name val="Arial"/>
      <family val="2"/>
      <charset val="1"/>
    </font>
    <font>
      <sz val="9"/>
      <color rgb="FF008000"/>
      <name val="Arial"/>
      <family val="2"/>
      <charset val="1"/>
    </font>
    <font>
      <b/>
      <sz val="9"/>
      <color rgb="FFFFFFFF"/>
      <name val="Arial"/>
      <family val="2"/>
      <charset val="1"/>
    </font>
    <font>
      <b/>
      <sz val="9"/>
      <name val="Arial"/>
      <family val="2"/>
      <charset val="1"/>
    </font>
    <font>
      <sz val="11"/>
      <color theme="0"/>
      <name val="Calibri"/>
      <family val="2"/>
      <charset val="1"/>
    </font>
    <font>
      <sz val="9"/>
      <color theme="0"/>
      <name val="Arial"/>
      <family val="2"/>
      <charset val="1"/>
    </font>
    <font>
      <sz val="9"/>
      <color rgb="FF000000"/>
      <name val="Arial"/>
      <family val="2"/>
      <charset val="1"/>
    </font>
    <font>
      <i/>
      <sz val="11"/>
      <color theme="1"/>
      <name val="Calibri"/>
      <family val="2"/>
      <charset val="1"/>
    </font>
    <font>
      <i/>
      <sz val="9"/>
      <color theme="1"/>
      <name val="Arial"/>
      <family val="2"/>
      <charset val="1"/>
    </font>
    <font>
      <b/>
      <sz val="10"/>
      <color theme="0"/>
      <name val="Arial"/>
      <family val="2"/>
      <charset val="1"/>
    </font>
    <font>
      <b/>
      <sz val="9"/>
      <color theme="0"/>
      <name val="Arial"/>
      <family val="2"/>
      <charset val="1"/>
    </font>
    <font>
      <i/>
      <sz val="8"/>
      <color theme="1"/>
      <name val="Arial"/>
      <family val="2"/>
      <charset val="1"/>
    </font>
    <font>
      <sz val="10"/>
      <color rgb="FF14181F"/>
      <name val="Calibri"/>
      <family val="2"/>
      <charset val="1"/>
    </font>
    <font>
      <b/>
      <sz val="12"/>
      <name val="Arial"/>
      <family val="2"/>
    </font>
    <font>
      <b/>
      <sz val="9"/>
      <color rgb="FFFFFFFF"/>
      <name val="Arial"/>
      <family val="2"/>
    </font>
    <font>
      <b/>
      <sz val="9"/>
      <name val="Arial"/>
      <family val="2"/>
    </font>
    <font>
      <sz val="9"/>
      <name val="Arial"/>
      <family val="2"/>
    </font>
    <font>
      <sz val="9"/>
      <name val="Arial"/>
      <family val="2"/>
      <charset val="1"/>
    </font>
    <font>
      <b/>
      <sz val="11"/>
      <color theme="0"/>
      <name val="Calibri"/>
      <family val="2"/>
      <charset val="1"/>
    </font>
    <font>
      <i/>
      <sz val="8"/>
      <color theme="0"/>
      <name val="Arial"/>
      <family val="2"/>
      <charset val="1"/>
    </font>
    <font>
      <sz val="9"/>
      <color rgb="FFFF0000"/>
      <name val="Arial"/>
      <family val="2"/>
      <charset val="1"/>
    </font>
    <font>
      <i/>
      <sz val="8"/>
      <name val="Arial"/>
      <family val="2"/>
      <charset val="1"/>
    </font>
    <font>
      <sz val="6"/>
      <color rgb="FF232A31"/>
      <name val="Arial"/>
      <family val="2"/>
      <charset val="1"/>
    </font>
    <font>
      <b/>
      <sz val="10"/>
      <color theme="1"/>
      <name val="Arial"/>
      <family val="2"/>
      <charset val="1"/>
    </font>
    <font>
      <b/>
      <sz val="11"/>
      <color theme="0"/>
      <name val="Arial"/>
      <family val="2"/>
      <charset val="1"/>
    </font>
    <font>
      <b/>
      <sz val="9"/>
      <color rgb="FFFF0000"/>
      <name val="Arial"/>
      <family val="2"/>
      <charset val="1"/>
    </font>
    <font>
      <i/>
      <sz val="8"/>
      <color rgb="FFFF0000"/>
      <name val="Arial"/>
      <family val="2"/>
      <charset val="1"/>
    </font>
    <font>
      <b/>
      <sz val="12"/>
      <color theme="1"/>
      <name val="Calibri"/>
      <family val="2"/>
      <charset val="1"/>
    </font>
    <font>
      <b/>
      <sz val="11"/>
      <name val="Arial"/>
      <family val="2"/>
    </font>
    <font>
      <sz val="11"/>
      <color theme="1"/>
      <name val="Calibri"/>
      <family val="2"/>
      <charset val="1"/>
    </font>
  </fonts>
  <fills count="15">
    <fill>
      <patternFill patternType="none"/>
    </fill>
    <fill>
      <patternFill patternType="gray125"/>
    </fill>
    <fill>
      <patternFill patternType="solid">
        <fgColor rgb="FFFFCC99"/>
        <bgColor rgb="FFFFEB9C"/>
      </patternFill>
    </fill>
    <fill>
      <patternFill patternType="solid">
        <fgColor rgb="FFFFEB9C"/>
        <bgColor rgb="FFFFCC99"/>
      </patternFill>
    </fill>
    <fill>
      <patternFill patternType="solid">
        <fgColor rgb="FFD6E4F0"/>
        <bgColor rgb="FFDEEBF7"/>
      </patternFill>
    </fill>
    <fill>
      <patternFill patternType="solid">
        <fgColor rgb="FF1F3864"/>
        <bgColor rgb="FF333F4F"/>
      </patternFill>
    </fill>
    <fill>
      <patternFill patternType="solid">
        <fgColor theme="3" tint="-0.249977111117893"/>
        <bgColor rgb="FF1F3864"/>
      </patternFill>
    </fill>
    <fill>
      <patternFill patternType="solid">
        <fgColor rgb="FFFFFF00"/>
        <bgColor rgb="FFFFFF00"/>
      </patternFill>
    </fill>
    <fill>
      <patternFill patternType="solid">
        <fgColor rgb="FF2F75B6"/>
        <bgColor rgb="FF008080"/>
      </patternFill>
    </fill>
    <fill>
      <patternFill patternType="solid">
        <fgColor rgb="FFF2F2F2"/>
        <bgColor rgb="FFE7E6E6"/>
      </patternFill>
    </fill>
    <fill>
      <patternFill patternType="solid">
        <fgColor rgb="FFFFFFFF"/>
        <bgColor rgb="FFF2F2F2"/>
      </patternFill>
    </fill>
    <fill>
      <patternFill patternType="solid">
        <fgColor theme="2"/>
        <bgColor rgb="FFDEEBF7"/>
      </patternFill>
    </fill>
    <fill>
      <patternFill patternType="solid">
        <fgColor rgb="FF1F4E78"/>
        <bgColor rgb="FF1F3864"/>
      </patternFill>
    </fill>
    <fill>
      <patternFill patternType="solid">
        <fgColor theme="8" tint="0.39988402966399123"/>
        <bgColor rgb="FFB7C9D6"/>
      </patternFill>
    </fill>
    <fill>
      <patternFill patternType="solid">
        <fgColor theme="8" tint="0.79989013336588644"/>
        <bgColor rgb="FFD6E4F0"/>
      </patternFill>
    </fill>
  </fills>
  <borders count="23">
    <border>
      <left/>
      <right/>
      <top/>
      <bottom/>
      <diagonal/>
    </border>
    <border>
      <left style="thin">
        <color rgb="FF7F7F7F"/>
      </left>
      <right style="thin">
        <color rgb="FF7F7F7F"/>
      </right>
      <top style="thin">
        <color rgb="FF7F7F7F"/>
      </top>
      <bottom style="thin">
        <color rgb="FF7F7F7F"/>
      </bottom>
      <diagonal/>
    </border>
    <border>
      <left/>
      <right/>
      <top/>
      <bottom style="thin">
        <color auto="1"/>
      </bottom>
      <diagonal/>
    </border>
    <border>
      <left style="medium">
        <color rgb="FF595959"/>
      </left>
      <right style="medium">
        <color rgb="FF595959"/>
      </right>
      <top style="medium">
        <color rgb="FF595959"/>
      </top>
      <bottom style="medium">
        <color rgb="FF595959"/>
      </bottom>
      <diagonal/>
    </border>
    <border>
      <left/>
      <right/>
      <top style="thin">
        <color auto="1"/>
      </top>
      <bottom style="double">
        <color auto="1"/>
      </bottom>
      <diagonal/>
    </border>
    <border>
      <left style="thin">
        <color auto="1"/>
      </left>
      <right/>
      <top style="thin">
        <color auto="1"/>
      </top>
      <bottom/>
      <diagonal/>
    </border>
    <border>
      <left/>
      <right/>
      <top style="thin">
        <color auto="1"/>
      </top>
      <bottom/>
      <diagonal/>
    </border>
    <border>
      <left style="thin">
        <color auto="1"/>
      </left>
      <right/>
      <top/>
      <bottom style="thin">
        <color auto="1"/>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rgb="FFBFBFBF"/>
      </left>
      <right/>
      <top style="thin">
        <color rgb="FFBFBFBF"/>
      </top>
      <bottom style="thin">
        <color rgb="FFBFBFBF"/>
      </bottom>
      <diagonal/>
    </border>
    <border>
      <left style="thin">
        <color rgb="FFBFBFBF"/>
      </left>
      <right/>
      <top/>
      <bottom style="thin">
        <color rgb="FFBFBFBF"/>
      </bottom>
      <diagonal/>
    </border>
    <border>
      <left/>
      <right/>
      <top style="thin">
        <color rgb="FFB7C9D6"/>
      </top>
      <bottom style="thin">
        <color rgb="FFB7C9D6"/>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26">
    <xf numFmtId="0" fontId="0" fillId="0" borderId="0"/>
    <xf numFmtId="0" fontId="2" fillId="0" borderId="0"/>
    <xf numFmtId="0" fontId="3" fillId="0" borderId="0"/>
    <xf numFmtId="0" fontId="4" fillId="0" borderId="0"/>
    <xf numFmtId="0" fontId="5" fillId="0" borderId="0"/>
    <xf numFmtId="0" fontId="6" fillId="0" borderId="0">
      <alignment horizontal="right"/>
    </xf>
    <xf numFmtId="164" fontId="7" fillId="0" borderId="0"/>
    <xf numFmtId="0" fontId="8" fillId="0" borderId="0"/>
    <xf numFmtId="0" fontId="8" fillId="0" borderId="0"/>
    <xf numFmtId="0" fontId="9" fillId="0" borderId="0">
      <alignment horizontal="right"/>
    </xf>
    <xf numFmtId="0" fontId="6" fillId="0" borderId="0">
      <alignment horizontal="left"/>
    </xf>
    <xf numFmtId="0" fontId="10" fillId="0" borderId="0"/>
    <xf numFmtId="0" fontId="11" fillId="0" borderId="0">
      <alignment horizontal="left"/>
    </xf>
    <xf numFmtId="0" fontId="11" fillId="0" borderId="0">
      <alignment horizontal="right"/>
    </xf>
    <xf numFmtId="0" fontId="8" fillId="0" borderId="0"/>
    <xf numFmtId="0" fontId="12" fillId="0" borderId="0">
      <alignment horizontal="right" vertical="top" wrapText="1"/>
    </xf>
    <xf numFmtId="0" fontId="13" fillId="0" borderId="0"/>
    <xf numFmtId="0" fontId="14" fillId="2" borderId="1"/>
    <xf numFmtId="0" fontId="15" fillId="3" borderId="0"/>
    <xf numFmtId="0" fontId="7" fillId="0" borderId="0"/>
    <xf numFmtId="0" fontId="16" fillId="0" borderId="0"/>
    <xf numFmtId="9" fontId="7" fillId="0" borderId="0"/>
    <xf numFmtId="0" fontId="53" fillId="0" borderId="0"/>
    <xf numFmtId="0" fontId="17" fillId="0" borderId="0">
      <alignment horizontal="right" vertical="top" wrapText="1"/>
    </xf>
    <xf numFmtId="0" fontId="18" fillId="0" borderId="0"/>
    <xf numFmtId="0" fontId="19" fillId="0" borderId="0">
      <alignment horizontal="right"/>
    </xf>
  </cellStyleXfs>
  <cellXfs count="196">
    <xf numFmtId="0" fontId="0" fillId="0" borderId="0" xfId="0"/>
    <xf numFmtId="0" fontId="48" fillId="12" borderId="0" xfId="0" applyFont="1" applyFill="1" applyAlignment="1">
      <alignment horizontal="left" vertical="center"/>
    </xf>
    <xf numFmtId="0" fontId="41" fillId="0" borderId="0" xfId="0" applyFont="1" applyAlignment="1">
      <alignment horizontal="center"/>
    </xf>
    <xf numFmtId="0" fontId="41" fillId="4" borderId="0" xfId="0" applyFont="1" applyFill="1" applyAlignment="1">
      <alignment horizontal="center"/>
    </xf>
    <xf numFmtId="0" fontId="43" fillId="6" borderId="0" xfId="0" applyFont="1" applyFill="1" applyAlignment="1">
      <alignment horizontal="center" vertical="center"/>
    </xf>
    <xf numFmtId="0" fontId="26" fillId="5" borderId="11" xfId="0" applyFont="1" applyFill="1" applyBorder="1" applyAlignment="1">
      <alignment horizontal="center" vertical="center"/>
    </xf>
    <xf numFmtId="0" fontId="26" fillId="5" borderId="10" xfId="0" applyFont="1" applyFill="1" applyBorder="1" applyAlignment="1">
      <alignment horizontal="center" vertical="center"/>
    </xf>
    <xf numFmtId="0" fontId="0" fillId="0" borderId="2" xfId="0" applyBorder="1"/>
    <xf numFmtId="0" fontId="20" fillId="0" borderId="2" xfId="0" applyFont="1" applyBorder="1"/>
    <xf numFmtId="0" fontId="21" fillId="0" borderId="2" xfId="0" applyFont="1" applyBorder="1"/>
    <xf numFmtId="0" fontId="21" fillId="0" borderId="0" xfId="0" applyFont="1" applyAlignment="1">
      <alignment horizontal="center"/>
    </xf>
    <xf numFmtId="0" fontId="22" fillId="0" borderId="0" xfId="0" applyFont="1" applyAlignment="1">
      <alignment horizontal="left"/>
    </xf>
    <xf numFmtId="0" fontId="23" fillId="2" borderId="1" xfId="0" applyFont="1" applyFill="1" applyBorder="1"/>
    <xf numFmtId="0" fontId="22" fillId="0" borderId="0" xfId="0" applyFont="1"/>
    <xf numFmtId="165" fontId="24" fillId="4" borderId="3" xfId="0" applyNumberFormat="1" applyFont="1" applyFill="1" applyBorder="1"/>
    <xf numFmtId="166" fontId="25" fillId="2" borderId="1" xfId="0" applyNumberFormat="1" applyFont="1" applyFill="1" applyBorder="1"/>
    <xf numFmtId="167" fontId="23" fillId="2" borderId="1" xfId="0" applyNumberFormat="1" applyFont="1" applyFill="1" applyBorder="1"/>
    <xf numFmtId="168" fontId="24" fillId="4" borderId="3" xfId="0" applyNumberFormat="1" applyFont="1" applyFill="1" applyBorder="1"/>
    <xf numFmtId="0" fontId="26" fillId="5" borderId="0" xfId="0" applyFont="1" applyFill="1" applyAlignment="1">
      <alignment horizontal="center" vertical="center"/>
    </xf>
    <xf numFmtId="0" fontId="27" fillId="4" borderId="0" xfId="0" applyFont="1" applyFill="1"/>
    <xf numFmtId="0" fontId="28" fillId="6" borderId="0" xfId="0" applyFont="1" applyFill="1"/>
    <xf numFmtId="0" fontId="22" fillId="7" borderId="1" xfId="0" applyFont="1" applyFill="1" applyBorder="1" applyAlignment="1">
      <alignment horizontal="center"/>
    </xf>
    <xf numFmtId="169" fontId="22" fillId="7" borderId="1" xfId="0" applyNumberFormat="1" applyFont="1" applyFill="1" applyBorder="1"/>
    <xf numFmtId="10" fontId="22" fillId="3" borderId="1" xfId="0" applyNumberFormat="1" applyFont="1" applyFill="1" applyBorder="1"/>
    <xf numFmtId="169" fontId="22" fillId="3" borderId="1" xfId="0" applyNumberFormat="1" applyFont="1" applyFill="1" applyBorder="1"/>
    <xf numFmtId="1" fontId="22" fillId="3" borderId="1" xfId="0" applyNumberFormat="1" applyFont="1" applyFill="1" applyBorder="1"/>
    <xf numFmtId="1" fontId="26" fillId="5" borderId="0" xfId="0" applyNumberFormat="1" applyFont="1" applyFill="1" applyAlignment="1">
      <alignment horizontal="center" vertical="center"/>
    </xf>
    <xf numFmtId="1" fontId="27" fillId="4" borderId="0" xfId="0" applyNumberFormat="1" applyFont="1" applyFill="1"/>
    <xf numFmtId="1" fontId="29" fillId="6" borderId="0" xfId="0" applyNumberFormat="1" applyFont="1" applyFill="1"/>
    <xf numFmtId="170" fontId="20" fillId="0" borderId="0" xfId="0" applyNumberFormat="1" applyFont="1"/>
    <xf numFmtId="170" fontId="22" fillId="0" borderId="0" xfId="0" applyNumberFormat="1" applyFont="1"/>
    <xf numFmtId="170" fontId="30" fillId="0" borderId="0" xfId="0" applyNumberFormat="1" applyFont="1"/>
    <xf numFmtId="171" fontId="22" fillId="0" borderId="0" xfId="0" applyNumberFormat="1" applyFont="1"/>
    <xf numFmtId="0" fontId="31" fillId="0" borderId="0" xfId="0" applyFont="1"/>
    <xf numFmtId="171" fontId="30" fillId="0" borderId="0" xfId="0" applyNumberFormat="1" applyFont="1"/>
    <xf numFmtId="9" fontId="31" fillId="0" borderId="0" xfId="0" applyNumberFormat="1" applyFont="1"/>
    <xf numFmtId="9" fontId="22" fillId="0" borderId="0" xfId="0" applyNumberFormat="1" applyFont="1"/>
    <xf numFmtId="1" fontId="20" fillId="4" borderId="0" xfId="0" applyNumberFormat="1" applyFont="1" applyFill="1"/>
    <xf numFmtId="0" fontId="0" fillId="6" borderId="0" xfId="0" applyFill="1"/>
    <xf numFmtId="1" fontId="22" fillId="6" borderId="0" xfId="0" applyNumberFormat="1" applyFont="1" applyFill="1"/>
    <xf numFmtId="0" fontId="29" fillId="6" borderId="0" xfId="0" applyFont="1" applyFill="1" applyAlignment="1">
      <alignment horizontal="right"/>
    </xf>
    <xf numFmtId="0" fontId="32" fillId="0" borderId="0" xfId="0" applyFont="1"/>
    <xf numFmtId="169" fontId="22" fillId="2" borderId="1" xfId="0" applyNumberFormat="1" applyFont="1" applyFill="1" applyBorder="1"/>
    <xf numFmtId="171" fontId="22" fillId="2" borderId="1" xfId="0" applyNumberFormat="1" applyFont="1" applyFill="1" applyBorder="1"/>
    <xf numFmtId="170" fontId="26" fillId="5" borderId="0" xfId="0" applyNumberFormat="1" applyFont="1" applyFill="1" applyAlignment="1">
      <alignment horizontal="center" vertical="center"/>
    </xf>
    <xf numFmtId="170" fontId="20" fillId="4" borderId="4" xfId="0" applyNumberFormat="1" applyFont="1" applyFill="1" applyBorder="1"/>
    <xf numFmtId="0" fontId="0" fillId="0" borderId="4" xfId="0" applyBorder="1"/>
    <xf numFmtId="170" fontId="22" fillId="0" borderId="4" xfId="0" applyNumberFormat="1" applyFont="1" applyBorder="1"/>
    <xf numFmtId="171" fontId="22" fillId="0" borderId="1" xfId="0" applyNumberFormat="1" applyFont="1" applyBorder="1"/>
    <xf numFmtId="170" fontId="20" fillId="4" borderId="5" xfId="0" applyNumberFormat="1" applyFont="1" applyFill="1" applyBorder="1"/>
    <xf numFmtId="0" fontId="0" fillId="0" borderId="6" xfId="0" applyBorder="1"/>
    <xf numFmtId="170" fontId="22" fillId="0" borderId="6" xfId="0" applyNumberFormat="1" applyFont="1" applyBorder="1"/>
    <xf numFmtId="0" fontId="20" fillId="0" borderId="7" xfId="0" applyFont="1" applyBorder="1"/>
    <xf numFmtId="172" fontId="22" fillId="0" borderId="2" xfId="0" applyNumberFormat="1" applyFont="1" applyBorder="1"/>
    <xf numFmtId="0" fontId="20" fillId="4" borderId="0" xfId="0" applyFont="1" applyFill="1"/>
    <xf numFmtId="2" fontId="22" fillId="0" borderId="0" xfId="0" applyNumberFormat="1" applyFont="1"/>
    <xf numFmtId="173" fontId="22" fillId="0" borderId="0" xfId="0" applyNumberFormat="1" applyFont="1"/>
    <xf numFmtId="172" fontId="0" fillId="0" borderId="0" xfId="0" applyNumberFormat="1"/>
    <xf numFmtId="170" fontId="20" fillId="4" borderId="0" xfId="0" applyNumberFormat="1" applyFont="1" applyFill="1"/>
    <xf numFmtId="174" fontId="22" fillId="0" borderId="0" xfId="0" applyNumberFormat="1" applyFont="1"/>
    <xf numFmtId="165" fontId="26" fillId="5" borderId="0" xfId="0" applyNumberFormat="1" applyFont="1" applyFill="1" applyAlignment="1">
      <alignment horizontal="center" vertical="center"/>
    </xf>
    <xf numFmtId="165" fontId="20" fillId="4" borderId="0" xfId="0" applyNumberFormat="1" applyFont="1" applyFill="1"/>
    <xf numFmtId="165" fontId="22" fillId="0" borderId="0" xfId="0" applyNumberFormat="1" applyFont="1"/>
    <xf numFmtId="175" fontId="0" fillId="0" borderId="0" xfId="0" applyNumberFormat="1"/>
    <xf numFmtId="0" fontId="28" fillId="5" borderId="0" xfId="0" applyFont="1" applyFill="1"/>
    <xf numFmtId="0" fontId="33" fillId="5" borderId="0" xfId="0" applyFont="1" applyFill="1"/>
    <xf numFmtId="0" fontId="0" fillId="5" borderId="0" xfId="0" applyFill="1"/>
    <xf numFmtId="0" fontId="34" fillId="8" borderId="8" xfId="0" applyFont="1" applyFill="1" applyBorder="1" applyAlignment="1">
      <alignment horizontal="center" vertical="center"/>
    </xf>
    <xf numFmtId="0" fontId="20" fillId="9" borderId="8" xfId="0" applyFont="1" applyFill="1" applyBorder="1" applyAlignment="1">
      <alignment horizontal="right" vertical="center"/>
    </xf>
    <xf numFmtId="169" fontId="22" fillId="9" borderId="8" xfId="0" applyNumberFormat="1" applyFont="1" applyFill="1" applyBorder="1" applyAlignment="1">
      <alignment horizontal="right" vertical="center"/>
    </xf>
    <xf numFmtId="171" fontId="22" fillId="9" borderId="8" xfId="0" applyNumberFormat="1" applyFont="1" applyFill="1" applyBorder="1" applyAlignment="1">
      <alignment horizontal="right" vertical="center"/>
    </xf>
    <xf numFmtId="10" fontId="22" fillId="9" borderId="8" xfId="0" applyNumberFormat="1" applyFont="1" applyFill="1" applyBorder="1" applyAlignment="1">
      <alignment horizontal="right" vertical="center"/>
    </xf>
    <xf numFmtId="165" fontId="20" fillId="9" borderId="8" xfId="0" applyNumberFormat="1" applyFont="1" applyFill="1" applyBorder="1" applyAlignment="1">
      <alignment horizontal="right" vertical="center"/>
    </xf>
    <xf numFmtId="0" fontId="20" fillId="10" borderId="8" xfId="0" applyFont="1" applyFill="1" applyBorder="1" applyAlignment="1">
      <alignment horizontal="right" vertical="center"/>
    </xf>
    <xf numFmtId="169" fontId="22" fillId="10" borderId="8" xfId="0" applyNumberFormat="1" applyFont="1" applyFill="1" applyBorder="1" applyAlignment="1">
      <alignment horizontal="right" vertical="center"/>
    </xf>
    <xf numFmtId="171" fontId="22" fillId="10" borderId="8" xfId="0" applyNumberFormat="1" applyFont="1" applyFill="1" applyBorder="1" applyAlignment="1">
      <alignment horizontal="right" vertical="center"/>
    </xf>
    <xf numFmtId="10" fontId="22" fillId="10" borderId="8" xfId="0" applyNumberFormat="1" applyFont="1" applyFill="1" applyBorder="1" applyAlignment="1">
      <alignment horizontal="right" vertical="center"/>
    </xf>
    <xf numFmtId="165" fontId="20" fillId="10" borderId="8" xfId="0" applyNumberFormat="1" applyFont="1" applyFill="1" applyBorder="1" applyAlignment="1">
      <alignment horizontal="right" vertical="center"/>
    </xf>
    <xf numFmtId="0" fontId="35" fillId="7" borderId="0" xfId="0" applyFont="1" applyFill="1"/>
    <xf numFmtId="0" fontId="34" fillId="5" borderId="0" xfId="0" applyFont="1" applyFill="1"/>
    <xf numFmtId="169" fontId="34" fillId="8" borderId="9" xfId="0" applyNumberFormat="1" applyFont="1" applyFill="1" applyBorder="1" applyAlignment="1">
      <alignment horizontal="center" vertical="center"/>
    </xf>
    <xf numFmtId="169" fontId="22" fillId="9" borderId="8" xfId="0" applyNumberFormat="1" applyFont="1" applyFill="1" applyBorder="1" applyAlignment="1">
      <alignment horizontal="center" vertical="center"/>
    </xf>
    <xf numFmtId="165" fontId="36" fillId="0" borderId="9" xfId="0" applyNumberFormat="1" applyFont="1" applyBorder="1"/>
    <xf numFmtId="169" fontId="34" fillId="8" borderId="8" xfId="0" applyNumberFormat="1" applyFont="1" applyFill="1" applyBorder="1" applyAlignment="1">
      <alignment horizontal="center" vertical="center"/>
    </xf>
    <xf numFmtId="0" fontId="35" fillId="0" borderId="0" xfId="0" applyFont="1"/>
    <xf numFmtId="0" fontId="37" fillId="0" borderId="0" xfId="0" applyFont="1"/>
    <xf numFmtId="0" fontId="38" fillId="5" borderId="0" xfId="0" applyFont="1" applyFill="1"/>
    <xf numFmtId="0" fontId="39" fillId="0" borderId="0" xfId="0" applyFont="1"/>
    <xf numFmtId="0" fontId="40" fillId="0" borderId="0" xfId="0" applyFont="1"/>
    <xf numFmtId="0" fontId="41" fillId="0" borderId="2" xfId="0" applyFont="1" applyBorder="1"/>
    <xf numFmtId="0" fontId="26" fillId="8" borderId="8" xfId="0" applyFont="1" applyFill="1" applyBorder="1" applyAlignment="1">
      <alignment horizontal="center" vertical="center"/>
    </xf>
    <xf numFmtId="0" fontId="42" fillId="6" borderId="0" xfId="0" applyFont="1" applyFill="1" applyAlignment="1">
      <alignment horizontal="center"/>
    </xf>
    <xf numFmtId="0" fontId="42" fillId="6" borderId="0" xfId="0" applyFont="1" applyFill="1"/>
    <xf numFmtId="0" fontId="43" fillId="6" borderId="0" xfId="0" applyFont="1" applyFill="1" applyAlignment="1">
      <alignment horizontal="center" vertical="center"/>
    </xf>
    <xf numFmtId="0" fontId="41" fillId="0" borderId="0" xfId="0" applyFont="1" applyAlignment="1">
      <alignment horizontal="center" vertical="center"/>
    </xf>
    <xf numFmtId="0" fontId="41" fillId="4" borderId="0" xfId="0" applyFont="1" applyFill="1" applyAlignment="1">
      <alignment horizontal="center"/>
    </xf>
    <xf numFmtId="0" fontId="0" fillId="4" borderId="0" xfId="0" applyFill="1" applyAlignment="1">
      <alignment horizontal="center"/>
    </xf>
    <xf numFmtId="165" fontId="41" fillId="4" borderId="0" xfId="0" applyNumberFormat="1" applyFont="1" applyFill="1" applyAlignment="1">
      <alignment horizontal="center"/>
    </xf>
    <xf numFmtId="3" fontId="41" fillId="4" borderId="0" xfId="0" applyNumberFormat="1" applyFont="1" applyFill="1" applyAlignment="1">
      <alignment horizontal="center"/>
    </xf>
    <xf numFmtId="171" fontId="41" fillId="4" borderId="0" xfId="0" applyNumberFormat="1" applyFont="1" applyFill="1" applyAlignment="1">
      <alignment horizontal="center"/>
    </xf>
    <xf numFmtId="176" fontId="41" fillId="4" borderId="0" xfId="0" applyNumberFormat="1" applyFont="1" applyFill="1" applyAlignment="1">
      <alignment horizontal="center"/>
    </xf>
    <xf numFmtId="177" fontId="41" fillId="4" borderId="0" xfId="0" applyNumberFormat="1" applyFont="1" applyFill="1" applyAlignment="1">
      <alignment horizontal="center"/>
    </xf>
    <xf numFmtId="176" fontId="41" fillId="4" borderId="0" xfId="0" applyNumberFormat="1" applyFont="1" applyFill="1"/>
    <xf numFmtId="0" fontId="0" fillId="0" borderId="0" xfId="0" applyAlignment="1">
      <alignment horizontal="center"/>
    </xf>
    <xf numFmtId="2" fontId="0" fillId="0" borderId="0" xfId="0" applyNumberFormat="1" applyAlignment="1">
      <alignment horizontal="center"/>
    </xf>
    <xf numFmtId="178" fontId="0" fillId="0" borderId="0" xfId="0" applyNumberFormat="1" applyAlignment="1">
      <alignment horizontal="center"/>
    </xf>
    <xf numFmtId="169" fontId="0" fillId="0" borderId="0" xfId="0" applyNumberFormat="1" applyAlignment="1">
      <alignment horizontal="center"/>
    </xf>
    <xf numFmtId="179" fontId="0" fillId="0" borderId="0" xfId="0" applyNumberFormat="1" applyAlignment="1">
      <alignment horizontal="center"/>
    </xf>
    <xf numFmtId="0" fontId="41" fillId="0" borderId="0" xfId="0" applyFont="1" applyAlignment="1">
      <alignment horizontal="center"/>
    </xf>
    <xf numFmtId="165" fontId="41" fillId="0" borderId="0" xfId="0" applyNumberFormat="1" applyFont="1" applyAlignment="1">
      <alignment horizontal="center"/>
    </xf>
    <xf numFmtId="3" fontId="41" fillId="0" borderId="0" xfId="0" applyNumberFormat="1" applyFont="1" applyAlignment="1">
      <alignment horizontal="center"/>
    </xf>
    <xf numFmtId="171" fontId="41" fillId="0" borderId="0" xfId="0" applyNumberFormat="1" applyFont="1" applyAlignment="1">
      <alignment horizontal="center"/>
    </xf>
    <xf numFmtId="176" fontId="41" fillId="0" borderId="0" xfId="0" applyNumberFormat="1" applyFont="1" applyAlignment="1">
      <alignment horizontal="center"/>
    </xf>
    <xf numFmtId="177" fontId="41" fillId="0" borderId="0" xfId="0" applyNumberFormat="1" applyFont="1" applyAlignment="1">
      <alignment horizontal="center"/>
    </xf>
    <xf numFmtId="176" fontId="41" fillId="0" borderId="0" xfId="0" applyNumberFormat="1" applyFont="1"/>
    <xf numFmtId="3" fontId="0" fillId="0" borderId="0" xfId="0" applyNumberFormat="1" applyAlignment="1">
      <alignment horizontal="center"/>
    </xf>
    <xf numFmtId="9" fontId="0" fillId="0" borderId="0" xfId="0" applyNumberFormat="1" applyAlignment="1">
      <alignment horizontal="center"/>
    </xf>
    <xf numFmtId="0" fontId="27" fillId="4" borderId="0" xfId="0" applyFont="1" applyFill="1" applyAlignment="1">
      <alignment horizontal="center"/>
    </xf>
    <xf numFmtId="0" fontId="0" fillId="11" borderId="0" xfId="0" applyFill="1"/>
    <xf numFmtId="171" fontId="27" fillId="4" borderId="0" xfId="0" applyNumberFormat="1" applyFont="1" applyFill="1" applyAlignment="1">
      <alignment horizontal="center"/>
    </xf>
    <xf numFmtId="176" fontId="27" fillId="4" borderId="0" xfId="0" applyNumberFormat="1" applyFont="1" applyFill="1" applyAlignment="1">
      <alignment horizontal="center"/>
    </xf>
    <xf numFmtId="177" fontId="27" fillId="4" borderId="0" xfId="0" applyNumberFormat="1" applyFont="1" applyFill="1" applyAlignment="1">
      <alignment horizontal="center"/>
    </xf>
    <xf numFmtId="176" fontId="27" fillId="4" borderId="0" xfId="0" applyNumberFormat="1" applyFont="1" applyFill="1"/>
    <xf numFmtId="0" fontId="26" fillId="5" borderId="0" xfId="0" applyFont="1" applyFill="1"/>
    <xf numFmtId="170" fontId="41" fillId="9" borderId="0" xfId="0" applyNumberFormat="1" applyFont="1" applyFill="1" applyAlignment="1">
      <alignment horizontal="right" vertical="center"/>
    </xf>
    <xf numFmtId="176" fontId="41" fillId="9" borderId="0" xfId="0" applyNumberFormat="1" applyFont="1" applyFill="1" applyAlignment="1">
      <alignment horizontal="right" vertical="center"/>
    </xf>
    <xf numFmtId="3" fontId="41" fillId="9" borderId="0" xfId="0" applyNumberFormat="1" applyFont="1" applyFill="1" applyAlignment="1">
      <alignment horizontal="right" vertical="center"/>
    </xf>
    <xf numFmtId="165" fontId="41" fillId="9" borderId="0" xfId="0" applyNumberFormat="1" applyFont="1" applyFill="1" applyAlignment="1">
      <alignment horizontal="right" vertical="center"/>
    </xf>
    <xf numFmtId="168" fontId="44" fillId="9" borderId="0" xfId="0" applyNumberFormat="1" applyFont="1" applyFill="1" applyAlignment="1">
      <alignment horizontal="right" vertical="center"/>
    </xf>
    <xf numFmtId="170" fontId="41" fillId="10" borderId="0" xfId="0" applyNumberFormat="1" applyFont="1" applyFill="1" applyAlignment="1">
      <alignment horizontal="right" vertical="center"/>
    </xf>
    <xf numFmtId="176" fontId="41" fillId="10" borderId="0" xfId="0" applyNumberFormat="1" applyFont="1" applyFill="1" applyAlignment="1">
      <alignment horizontal="right" vertical="center"/>
    </xf>
    <xf numFmtId="3" fontId="41" fillId="10" borderId="0" xfId="0" applyNumberFormat="1" applyFont="1" applyFill="1" applyAlignment="1">
      <alignment horizontal="right" vertical="center"/>
    </xf>
    <xf numFmtId="165" fontId="41" fillId="10" borderId="0" xfId="0" applyNumberFormat="1" applyFont="1" applyFill="1" applyAlignment="1">
      <alignment horizontal="right" vertical="center"/>
    </xf>
    <xf numFmtId="168" fontId="44" fillId="10" borderId="0" xfId="0" applyNumberFormat="1" applyFont="1" applyFill="1" applyAlignment="1">
      <alignment horizontal="right" vertical="center"/>
    </xf>
    <xf numFmtId="0" fontId="45" fillId="0" borderId="0" xfId="0" applyFont="1"/>
    <xf numFmtId="0" fontId="46" fillId="0" borderId="0" xfId="0" applyFont="1"/>
    <xf numFmtId="10" fontId="22" fillId="0" borderId="0" xfId="0" applyNumberFormat="1" applyFont="1"/>
    <xf numFmtId="176" fontId="22" fillId="2" borderId="1" xfId="0" applyNumberFormat="1" applyFont="1" applyFill="1" applyBorder="1"/>
    <xf numFmtId="180" fontId="22" fillId="0" borderId="1" xfId="0" applyNumberFormat="1" applyFont="1" applyBorder="1"/>
    <xf numFmtId="174" fontId="22" fillId="2" borderId="1" xfId="0" applyNumberFormat="1" applyFont="1" applyFill="1" applyBorder="1"/>
    <xf numFmtId="10" fontId="47" fillId="4" borderId="3" xfId="0" applyNumberFormat="1" applyFont="1" applyFill="1" applyBorder="1"/>
    <xf numFmtId="0" fontId="41" fillId="0" borderId="12" xfId="0" applyFont="1" applyBorder="1" applyAlignment="1">
      <alignment horizontal="left" vertical="center"/>
    </xf>
    <xf numFmtId="166" fontId="41" fillId="0" borderId="12" xfId="0" applyNumberFormat="1" applyFont="1" applyBorder="1" applyAlignment="1">
      <alignment horizontal="left" vertical="center"/>
    </xf>
    <xf numFmtId="165" fontId="41" fillId="0" borderId="12" xfId="0" applyNumberFormat="1" applyFont="1" applyBorder="1" applyAlignment="1">
      <alignment horizontal="left" vertical="center"/>
    </xf>
    <xf numFmtId="181" fontId="41" fillId="0" borderId="12" xfId="0" applyNumberFormat="1" applyFont="1" applyBorder="1" applyAlignment="1">
      <alignment horizontal="left" vertical="center"/>
    </xf>
    <xf numFmtId="171" fontId="41" fillId="0" borderId="12" xfId="0" applyNumberFormat="1" applyFont="1" applyBorder="1" applyAlignment="1">
      <alignment horizontal="left" vertical="center"/>
    </xf>
    <xf numFmtId="176" fontId="41" fillId="0" borderId="12" xfId="0" applyNumberFormat="1" applyFont="1" applyBorder="1" applyAlignment="1">
      <alignment horizontal="left" vertical="center"/>
    </xf>
    <xf numFmtId="0" fontId="41" fillId="0" borderId="0" xfId="0" applyFont="1" applyAlignment="1">
      <alignment horizontal="left" vertical="center"/>
    </xf>
    <xf numFmtId="171" fontId="41" fillId="0" borderId="0" xfId="0" applyNumberFormat="1" applyFont="1" applyAlignment="1">
      <alignment horizontal="left" vertical="center"/>
    </xf>
    <xf numFmtId="0" fontId="49" fillId="0" borderId="0" xfId="0" applyFont="1"/>
    <xf numFmtId="0" fontId="50" fillId="0" borderId="0" xfId="0" applyFont="1"/>
    <xf numFmtId="0" fontId="7" fillId="0" borderId="0" xfId="0" applyFont="1"/>
    <xf numFmtId="3" fontId="7" fillId="0" borderId="0" xfId="0" applyNumberFormat="1" applyFont="1"/>
    <xf numFmtId="0" fontId="51" fillId="13" borderId="9" xfId="0" applyFont="1" applyFill="1" applyBorder="1"/>
    <xf numFmtId="0" fontId="7" fillId="14" borderId="13" xfId="0" applyFont="1" applyFill="1" applyBorder="1"/>
    <xf numFmtId="0" fontId="7" fillId="14" borderId="14" xfId="0" applyFont="1" applyFill="1" applyBorder="1"/>
    <xf numFmtId="0" fontId="7" fillId="14" borderId="15" xfId="0" applyFont="1" applyFill="1" applyBorder="1"/>
    <xf numFmtId="0" fontId="7" fillId="11" borderId="16" xfId="0" applyFont="1" applyFill="1" applyBorder="1"/>
    <xf numFmtId="182" fontId="0" fillId="0" borderId="5" xfId="0" applyNumberFormat="1" applyBorder="1"/>
    <xf numFmtId="182" fontId="0" fillId="0" borderId="6" xfId="0" applyNumberFormat="1" applyBorder="1"/>
    <xf numFmtId="182" fontId="0" fillId="0" borderId="17" xfId="0" applyNumberFormat="1" applyBorder="1"/>
    <xf numFmtId="0" fontId="7" fillId="11" borderId="18" xfId="0" applyFont="1" applyFill="1" applyBorder="1"/>
    <xf numFmtId="182" fontId="0" fillId="0" borderId="19" xfId="0" applyNumberFormat="1" applyBorder="1"/>
    <xf numFmtId="182" fontId="0" fillId="0" borderId="0" xfId="0" applyNumberFormat="1"/>
    <xf numFmtId="182" fontId="0" fillId="0" borderId="20" xfId="0" applyNumberFormat="1" applyBorder="1"/>
    <xf numFmtId="0" fontId="7" fillId="11" borderId="21" xfId="0" applyFont="1" applyFill="1" applyBorder="1"/>
    <xf numFmtId="182" fontId="0" fillId="0" borderId="7" xfId="0" applyNumberFormat="1" applyBorder="1"/>
    <xf numFmtId="182" fontId="0" fillId="0" borderId="2" xfId="0" applyNumberFormat="1" applyBorder="1"/>
    <xf numFmtId="182" fontId="0" fillId="0" borderId="22" xfId="0" applyNumberFormat="1" applyBorder="1"/>
    <xf numFmtId="0" fontId="7" fillId="14" borderId="9" xfId="0" applyFont="1" applyFill="1" applyBorder="1"/>
    <xf numFmtId="182" fontId="0" fillId="0" borderId="13" xfId="0" applyNumberFormat="1" applyBorder="1"/>
    <xf numFmtId="182" fontId="0" fillId="0" borderId="14" xfId="0" applyNumberFormat="1" applyBorder="1"/>
    <xf numFmtId="182" fontId="0" fillId="0" borderId="15" xfId="0" applyNumberFormat="1" applyBorder="1"/>
    <xf numFmtId="10" fontId="0" fillId="0" borderId="6" xfId="0" applyNumberFormat="1" applyBorder="1"/>
    <xf numFmtId="10" fontId="0" fillId="0" borderId="17" xfId="0" applyNumberFormat="1" applyBorder="1"/>
    <xf numFmtId="0" fontId="7" fillId="0" borderId="19" xfId="0" applyFont="1" applyBorder="1" applyAlignment="1">
      <alignment horizontal="right"/>
    </xf>
    <xf numFmtId="10" fontId="0" fillId="0" borderId="0" xfId="0" applyNumberFormat="1"/>
    <xf numFmtId="10" fontId="0" fillId="0" borderId="20" xfId="0" applyNumberFormat="1" applyBorder="1"/>
    <xf numFmtId="10" fontId="0" fillId="0" borderId="19" xfId="0" applyNumberFormat="1" applyBorder="1"/>
    <xf numFmtId="10" fontId="0" fillId="0" borderId="7" xfId="0" applyNumberFormat="1" applyBorder="1"/>
    <xf numFmtId="10" fontId="0" fillId="0" borderId="2" xfId="0" applyNumberFormat="1" applyBorder="1"/>
    <xf numFmtId="10" fontId="0" fillId="0" borderId="22" xfId="0" applyNumberFormat="1" applyBorder="1"/>
    <xf numFmtId="171" fontId="40" fillId="0" borderId="0" xfId="0" applyNumberFormat="1" applyFont="1" applyAlignment="1">
      <alignment horizontal="right"/>
    </xf>
    <xf numFmtId="10" fontId="40" fillId="0" borderId="0" xfId="0" applyNumberFormat="1" applyFont="1" applyAlignment="1">
      <alignment horizontal="right"/>
    </xf>
    <xf numFmtId="170" fontId="40" fillId="0" borderId="0" xfId="0" applyNumberFormat="1" applyFont="1" applyAlignment="1">
      <alignment horizontal="right"/>
    </xf>
    <xf numFmtId="1" fontId="40" fillId="0" borderId="0" xfId="0" applyNumberFormat="1" applyFont="1" applyAlignment="1">
      <alignment horizontal="right"/>
    </xf>
    <xf numFmtId="0" fontId="52" fillId="0" borderId="0" xfId="0" applyFont="1"/>
    <xf numFmtId="0" fontId="39" fillId="4" borderId="0" xfId="0" applyFont="1" applyFill="1"/>
    <xf numFmtId="0" fontId="39" fillId="4" borderId="0" xfId="0" applyFont="1" applyFill="1" applyAlignment="1">
      <alignment horizontal="right"/>
    </xf>
    <xf numFmtId="10" fontId="40" fillId="0" borderId="0" xfId="0" applyNumberFormat="1" applyFont="1"/>
    <xf numFmtId="170" fontId="40" fillId="0" borderId="0" xfId="0" applyNumberFormat="1" applyFont="1"/>
    <xf numFmtId="183" fontId="40" fillId="0" borderId="0" xfId="0" applyNumberFormat="1" applyFont="1" applyAlignment="1">
      <alignment horizontal="right"/>
    </xf>
    <xf numFmtId="171" fontId="40" fillId="0" borderId="0" xfId="0" applyNumberFormat="1" applyFont="1"/>
    <xf numFmtId="170" fontId="39" fillId="0" borderId="0" xfId="0" applyNumberFormat="1" applyFont="1"/>
    <xf numFmtId="173" fontId="40" fillId="0" borderId="0" xfId="0" applyNumberFormat="1" applyFont="1"/>
    <xf numFmtId="165" fontId="39" fillId="4" borderId="0" xfId="0" applyNumberFormat="1" applyFont="1" applyFill="1" applyAlignment="1">
      <alignment horizontal="right"/>
    </xf>
  </cellXfs>
  <cellStyles count="26">
    <cellStyle name="AllDataCopyrightStyle" xfId="1" xr:uid="{00000000-0005-0000-0000-000006000000}"/>
    <cellStyle name="amountsStyle" xfId="2" xr:uid="{00000000-0005-0000-0000-000007000000}"/>
    <cellStyle name="Arial10ItalicBlueStyle" xfId="3" xr:uid="{00000000-0005-0000-0000-000008000000}"/>
    <cellStyle name="Arial10ItalicStyle" xfId="4" xr:uid="{00000000-0005-0000-0000-000009000000}"/>
    <cellStyle name="bondFinValueStyle" xfId="5" xr:uid="{00000000-0005-0000-0000-00000A000000}"/>
    <cellStyle name="Comma 2" xfId="6" xr:uid="{00000000-0005-0000-0000-00000B000000}"/>
    <cellStyle name="companyNameStyle" xfId="7" xr:uid="{00000000-0005-0000-0000-00000C000000}"/>
    <cellStyle name="downloadOnStyle" xfId="8" xr:uid="{00000000-0005-0000-0000-00000D000000}"/>
    <cellStyle name="filedDateStyle" xfId="9" xr:uid="{00000000-0005-0000-0000-00000E000000}"/>
    <cellStyle name="finCategoryStyle" xfId="10" xr:uid="{00000000-0005-0000-0000-00000F000000}"/>
    <cellStyle name="finHeaderTitleStyle" xfId="11" xr:uid="{00000000-0005-0000-0000-000010000000}"/>
    <cellStyle name="finItemStyle" xfId="12" xr:uid="{00000000-0005-0000-0000-000011000000}"/>
    <cellStyle name="finValueStyle" xfId="13" xr:uid="{00000000-0005-0000-0000-000012000000}"/>
    <cellStyle name="FooterStyle" xfId="14" xr:uid="{00000000-0005-0000-0000-000013000000}"/>
    <cellStyle name="headerLinkStyle" xfId="15" xr:uid="{00000000-0005-0000-0000-000014000000}"/>
    <cellStyle name="hyperLinkStyle" xfId="16" xr:uid="{00000000-0005-0000-0000-000015000000}"/>
    <cellStyle name="Input" xfId="17" xr:uid="{00000000-0005-0000-0000-000016000000}"/>
    <cellStyle name="Neutrale" xfId="18" xr:uid="{00000000-0005-0000-0000-000017000000}"/>
    <cellStyle name="Normal" xfId="0" builtinId="0"/>
    <cellStyle name="Normal 2" xfId="19" xr:uid="{00000000-0005-0000-0000-000018000000}"/>
    <cellStyle name="Normal 3" xfId="20" xr:uid="{00000000-0005-0000-0000-000019000000}"/>
    <cellStyle name="Percent 2" xfId="21" xr:uid="{00000000-0005-0000-0000-00001A000000}"/>
    <cellStyle name="SourcingSheetBaseStyle" xfId="22" xr:uid="{00000000-0005-0000-0000-00001B000000}"/>
    <cellStyle name="summaryStatsHeaderStyle" xfId="23" xr:uid="{00000000-0005-0000-0000-00001C000000}"/>
    <cellStyle name="summaryStatsHeaderTitleStyle" xfId="24" xr:uid="{00000000-0005-0000-0000-00001D000000}"/>
    <cellStyle name="viewHeaderStyle" xfId="25" xr:uid="{00000000-0005-0000-0000-00001E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DEEBF7"/>
      <rgbColor rgb="FF660066"/>
      <rgbColor rgb="FFFF8080"/>
      <rgbColor rgb="FF1F4E78"/>
      <rgbColor rgb="FFB7C9D6"/>
      <rgbColor rgb="FF000080"/>
      <rgbColor rgb="FFFF00FF"/>
      <rgbColor rgb="FFFFFF00"/>
      <rgbColor rgb="FF00FFFF"/>
      <rgbColor rgb="FF800080"/>
      <rgbColor rgb="FF800000"/>
      <rgbColor rgb="FF008080"/>
      <rgbColor rgb="FF0015FF"/>
      <rgbColor rgb="FF00CCFF"/>
      <rgbColor rgb="FFD6E4F0"/>
      <rgbColor rgb="FFE7E6E6"/>
      <rgbColor rgb="FFFFEB9C"/>
      <rgbColor rgb="FF9DC3E6"/>
      <rgbColor rgb="FFFF99CC"/>
      <rgbColor rgb="FFCC99FF"/>
      <rgbColor rgb="FFFFCC99"/>
      <rgbColor rgb="FF2F75B6"/>
      <rgbColor rgb="FF33CCCC"/>
      <rgbColor rgb="FF99CC00"/>
      <rgbColor rgb="FFFFCC00"/>
      <rgbColor rgb="FFFF9900"/>
      <rgbColor rgb="FFFF6600"/>
      <rgbColor rgb="FF595959"/>
      <rgbColor rgb="FF969696"/>
      <rgbColor rgb="FF1F3864"/>
      <rgbColor rgb="FF339966"/>
      <rgbColor rgb="FF14181F"/>
      <rgbColor rgb="FF333F4F"/>
      <rgbColor rgb="FF9C5700"/>
      <rgbColor rgb="FF993366"/>
      <rgbColor rgb="FF3F3F76"/>
      <rgbColor rgb="FF232A3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3:Y101"/>
  <sheetViews>
    <sheetView showGridLines="0" topLeftCell="A74" zoomScaleNormal="100" workbookViewId="0">
      <selection activeCell="F1" sqref="F1"/>
    </sheetView>
  </sheetViews>
  <sheetFormatPr baseColWidth="10" defaultColWidth="8.83203125" defaultRowHeight="15" x14ac:dyDescent="0.2"/>
  <cols>
    <col min="1" max="1" width="4" customWidth="1"/>
    <col min="2" max="2" width="26" customWidth="1"/>
    <col min="3" max="3" width="4" customWidth="1"/>
    <col min="4" max="4" width="16" customWidth="1"/>
    <col min="5" max="5" width="11" customWidth="1"/>
    <col min="6" max="6" width="27.5" customWidth="1"/>
    <col min="7" max="7" width="11" customWidth="1"/>
    <col min="8" max="8" width="14.33203125" customWidth="1"/>
    <col min="9" max="9" width="11" customWidth="1"/>
    <col min="10" max="10" width="27.5" customWidth="1"/>
    <col min="11" max="11" width="11" customWidth="1"/>
    <col min="12" max="12" width="14.33203125" customWidth="1"/>
    <col min="13" max="13" width="24.83203125" customWidth="1"/>
    <col min="14" max="14" width="27.5" customWidth="1"/>
    <col min="15" max="15" width="11" customWidth="1"/>
    <col min="16" max="16" width="14.33203125" customWidth="1"/>
    <col min="17" max="25" width="11" customWidth="1"/>
  </cols>
  <sheetData>
    <row r="3" spans="1:24" s="7" customFormat="1" ht="21" customHeight="1" x14ac:dyDescent="0.25">
      <c r="B3" s="8" t="s">
        <v>0</v>
      </c>
      <c r="C3" s="9"/>
    </row>
    <row r="4" spans="1:24" ht="18.75" customHeight="1" x14ac:dyDescent="0.25">
      <c r="B4" s="10"/>
      <c r="C4" s="10"/>
    </row>
    <row r="5" spans="1:24" ht="18.75" customHeight="1" x14ac:dyDescent="0.25">
      <c r="B5" s="11" t="s">
        <v>1</v>
      </c>
      <c r="C5" s="10"/>
      <c r="D5" s="12" t="s">
        <v>2</v>
      </c>
      <c r="F5" s="13" t="s">
        <v>3</v>
      </c>
      <c r="I5" s="14">
        <f>S81</f>
        <v>31.724037976441885</v>
      </c>
      <c r="K5" s="13"/>
    </row>
    <row r="6" spans="1:24" ht="18.75" customHeight="1" x14ac:dyDescent="0.25">
      <c r="B6" s="11" t="s">
        <v>4</v>
      </c>
      <c r="C6" s="10"/>
      <c r="D6" s="15">
        <f>'Sources &amp; Checks'!$B$4</f>
        <v>46087</v>
      </c>
      <c r="F6" s="13" t="s">
        <v>5</v>
      </c>
      <c r="I6" s="14">
        <f>'Sources &amp; Checks'!$B$5</f>
        <v>26.19</v>
      </c>
      <c r="K6" s="13"/>
    </row>
    <row r="7" spans="1:24" ht="18.75" customHeight="1" x14ac:dyDescent="0.25">
      <c r="B7" s="11" t="s">
        <v>6</v>
      </c>
      <c r="C7" s="10"/>
      <c r="D7" s="16">
        <v>46112</v>
      </c>
      <c r="F7" s="13" t="s">
        <v>7</v>
      </c>
      <c r="I7" s="17">
        <f>I5/I6-1</f>
        <v>0.21130347370912106</v>
      </c>
    </row>
    <row r="9" spans="1:24" ht="15" customHeight="1" x14ac:dyDescent="0.2">
      <c r="A9" s="18" t="s">
        <v>8</v>
      </c>
      <c r="B9" s="19" t="s">
        <v>9</v>
      </c>
      <c r="C9" s="20"/>
      <c r="D9" s="20"/>
      <c r="E9" s="20"/>
      <c r="F9" s="20"/>
      <c r="G9" s="20"/>
      <c r="H9" s="20"/>
      <c r="I9" s="20"/>
      <c r="J9" s="20"/>
      <c r="K9" s="20"/>
      <c r="L9" s="20"/>
      <c r="M9" s="20"/>
      <c r="N9" s="20"/>
      <c r="O9" s="20"/>
      <c r="P9" s="20"/>
      <c r="Q9" s="20"/>
      <c r="R9" s="20"/>
      <c r="S9" s="20"/>
      <c r="T9" s="20"/>
      <c r="U9" s="20"/>
      <c r="V9" s="20"/>
      <c r="W9" s="20"/>
      <c r="X9" s="20"/>
    </row>
    <row r="10" spans="1:24" ht="15" customHeight="1" x14ac:dyDescent="0.2">
      <c r="B10" s="13" t="s">
        <v>10</v>
      </c>
      <c r="F10" s="13" t="s">
        <v>11</v>
      </c>
      <c r="J10" s="13" t="s">
        <v>12</v>
      </c>
      <c r="N10" s="13" t="s">
        <v>13</v>
      </c>
    </row>
    <row r="11" spans="1:24" ht="15" customHeight="1" x14ac:dyDescent="0.2">
      <c r="B11" s="13" t="s">
        <v>14</v>
      </c>
      <c r="D11" s="21">
        <v>2</v>
      </c>
      <c r="F11" s="13" t="s">
        <v>15</v>
      </c>
      <c r="H11" s="22">
        <v>7.0000000000000007E-2</v>
      </c>
      <c r="J11" s="13" t="s">
        <v>15</v>
      </c>
      <c r="L11" s="22">
        <f>'Sources &amp; Checks'!$B$19</f>
        <v>9.0899999999999995E-2</v>
      </c>
      <c r="N11" s="13" t="s">
        <v>15</v>
      </c>
      <c r="P11" s="22">
        <v>0.11</v>
      </c>
    </row>
    <row r="12" spans="1:24" ht="15" customHeight="1" x14ac:dyDescent="0.2">
      <c r="B12" s="13" t="s">
        <v>16</v>
      </c>
      <c r="D12" s="21">
        <v>2</v>
      </c>
      <c r="F12" s="13" t="s">
        <v>17</v>
      </c>
      <c r="H12" s="22" t="s">
        <v>18</v>
      </c>
      <c r="J12" s="13" t="s">
        <v>17</v>
      </c>
      <c r="L12" s="22" t="s">
        <v>18</v>
      </c>
      <c r="N12" s="13" t="s">
        <v>17</v>
      </c>
      <c r="P12" s="22" t="s">
        <v>18</v>
      </c>
    </row>
    <row r="13" spans="1:24" ht="15" customHeight="1" x14ac:dyDescent="0.2">
      <c r="B13" s="13" t="s">
        <v>19</v>
      </c>
      <c r="D13" s="21">
        <v>2</v>
      </c>
      <c r="F13" s="13" t="s">
        <v>20</v>
      </c>
      <c r="H13" s="22">
        <v>0.16</v>
      </c>
      <c r="J13" s="13" t="s">
        <v>20</v>
      </c>
      <c r="L13" s="22">
        <f>'Sources &amp; Checks'!$B$20</f>
        <v>0.17219999999999999</v>
      </c>
      <c r="N13" s="13" t="s">
        <v>20</v>
      </c>
      <c r="P13" s="22">
        <v>0.185</v>
      </c>
    </row>
    <row r="14" spans="1:24" ht="15" customHeight="1" x14ac:dyDescent="0.2">
      <c r="B14" s="13" t="s">
        <v>21</v>
      </c>
      <c r="D14" s="21">
        <v>2</v>
      </c>
      <c r="F14" s="13" t="s">
        <v>22</v>
      </c>
      <c r="H14" s="22" t="s">
        <v>23</v>
      </c>
      <c r="J14" s="13" t="s">
        <v>22</v>
      </c>
      <c r="L14" s="22" t="s">
        <v>23</v>
      </c>
      <c r="N14" s="13" t="s">
        <v>22</v>
      </c>
      <c r="P14" s="22" t="s">
        <v>23</v>
      </c>
    </row>
    <row r="15" spans="1:24" ht="15" customHeight="1" x14ac:dyDescent="0.2">
      <c r="F15" s="13"/>
    </row>
    <row r="16" spans="1:24" ht="15" customHeight="1" x14ac:dyDescent="0.2">
      <c r="B16" s="13" t="s">
        <v>19</v>
      </c>
      <c r="D16" s="23">
        <f>CHOOSE(D13,H16,L16,P16)</f>
        <v>8.5802788961878651E-2</v>
      </c>
      <c r="F16" s="13" t="s">
        <v>19</v>
      </c>
      <c r="H16" s="24">
        <v>9.1999999999999998E-2</v>
      </c>
      <c r="J16" s="13" t="s">
        <v>19</v>
      </c>
      <c r="L16" s="23">
        <f>WACC!F22</f>
        <v>8.5802788961878651E-2</v>
      </c>
      <c r="N16" s="13" t="s">
        <v>19</v>
      </c>
      <c r="P16" s="24">
        <v>8.2000000000000003E-2</v>
      </c>
    </row>
    <row r="17" spans="1:24" ht="15" customHeight="1" x14ac:dyDescent="0.2">
      <c r="B17" s="13" t="s">
        <v>21</v>
      </c>
      <c r="D17" s="24">
        <f>CHOOSE(D14,H17,L17,P17)</f>
        <v>1.4999999999999999E-2</v>
      </c>
      <c r="F17" s="13" t="s">
        <v>21</v>
      </c>
      <c r="H17" s="24">
        <v>0.01</v>
      </c>
      <c r="J17" s="13" t="s">
        <v>21</v>
      </c>
      <c r="L17" s="24">
        <v>1.4999999999999999E-2</v>
      </c>
      <c r="N17" s="13" t="s">
        <v>21</v>
      </c>
      <c r="P17" s="24">
        <v>0.02</v>
      </c>
    </row>
    <row r="18" spans="1:24" ht="15" customHeight="1" x14ac:dyDescent="0.2">
      <c r="B18" s="13" t="s">
        <v>24</v>
      </c>
      <c r="D18" s="25">
        <f>COLUMNS(P40:X40)</f>
        <v>9</v>
      </c>
    </row>
    <row r="19" spans="1:24" ht="15" customHeight="1" x14ac:dyDescent="0.2">
      <c r="A19" s="26" t="s">
        <v>8</v>
      </c>
      <c r="B19" s="27" t="s">
        <v>25</v>
      </c>
      <c r="C19" s="20"/>
      <c r="D19" s="20"/>
      <c r="E19" s="28">
        <v>2016</v>
      </c>
      <c r="F19" s="28">
        <f t="shared" ref="F19:X19" si="0">E19+1</f>
        <v>2017</v>
      </c>
      <c r="G19" s="28">
        <f t="shared" si="0"/>
        <v>2018</v>
      </c>
      <c r="H19" s="28">
        <f t="shared" si="0"/>
        <v>2019</v>
      </c>
      <c r="I19" s="28">
        <f t="shared" si="0"/>
        <v>2020</v>
      </c>
      <c r="J19" s="28">
        <f t="shared" si="0"/>
        <v>2021</v>
      </c>
      <c r="K19" s="28">
        <f t="shared" si="0"/>
        <v>2022</v>
      </c>
      <c r="L19" s="28">
        <f t="shared" si="0"/>
        <v>2023</v>
      </c>
      <c r="M19" s="28">
        <f t="shared" si="0"/>
        <v>2024</v>
      </c>
      <c r="N19" s="28">
        <f t="shared" si="0"/>
        <v>2025</v>
      </c>
      <c r="O19" s="28">
        <f t="shared" si="0"/>
        <v>2026</v>
      </c>
      <c r="P19" s="28">
        <f t="shared" si="0"/>
        <v>2027</v>
      </c>
      <c r="Q19" s="28">
        <f t="shared" si="0"/>
        <v>2028</v>
      </c>
      <c r="R19" s="28">
        <f t="shared" si="0"/>
        <v>2029</v>
      </c>
      <c r="S19" s="28">
        <f t="shared" si="0"/>
        <v>2030</v>
      </c>
      <c r="T19" s="28">
        <f t="shared" si="0"/>
        <v>2031</v>
      </c>
      <c r="U19" s="28">
        <f t="shared" si="0"/>
        <v>2032</v>
      </c>
      <c r="V19" s="28">
        <f t="shared" si="0"/>
        <v>2033</v>
      </c>
      <c r="W19" s="28">
        <f t="shared" si="0"/>
        <v>2034</v>
      </c>
      <c r="X19" s="28">
        <f t="shared" si="0"/>
        <v>2035</v>
      </c>
    </row>
    <row r="20" spans="1:24" ht="15" customHeight="1" x14ac:dyDescent="0.2">
      <c r="B20" s="29" t="s">
        <v>14</v>
      </c>
      <c r="E20" s="30">
        <v>6535.8</v>
      </c>
      <c r="F20" s="30">
        <v>6647.8</v>
      </c>
      <c r="G20" s="30">
        <v>7151</v>
      </c>
      <c r="H20" s="30">
        <v>7697.4</v>
      </c>
      <c r="I20" s="30">
        <v>8494.7999999999993</v>
      </c>
      <c r="J20" s="30">
        <v>1635.8</v>
      </c>
      <c r="K20" s="30">
        <v>4800.8999999999996</v>
      </c>
      <c r="L20" s="30">
        <v>10775.2</v>
      </c>
      <c r="M20" s="30">
        <v>13443.8</v>
      </c>
      <c r="N20" s="30">
        <v>13948.5</v>
      </c>
      <c r="O20" s="30">
        <f>N20*(1+O21)</f>
        <v>15216.41865</v>
      </c>
      <c r="P20" s="30">
        <f>O20*(1+P21)</f>
        <v>16471.265974670001</v>
      </c>
      <c r="Q20" s="30">
        <f>P20*(1+Q21)</f>
        <v>17690.688698994738</v>
      </c>
      <c r="R20" s="30">
        <f>Q20*(1+R21)</f>
        <v>18851.197877648792</v>
      </c>
      <c r="S20" s="30">
        <f>R20*(1+S21)</f>
        <v>19928.858022987712</v>
      </c>
      <c r="T20" s="30">
        <f t="shared" ref="T20:X21" si="1">T39</f>
        <v>20900.057703974646</v>
      </c>
      <c r="U20" s="30">
        <f t="shared" si="1"/>
        <v>21742.330029444824</v>
      </c>
      <c r="V20" s="30">
        <f t="shared" si="1"/>
        <v>22435.185613049798</v>
      </c>
      <c r="W20" s="30">
        <f t="shared" si="1"/>
        <v>22960.9167959156</v>
      </c>
      <c r="X20" s="31">
        <f t="shared" si="1"/>
        <v>23305.330547854333</v>
      </c>
    </row>
    <row r="21" spans="1:24" ht="15" customHeight="1" x14ac:dyDescent="0.2">
      <c r="B21" s="32" t="s">
        <v>26</v>
      </c>
      <c r="C21" s="33"/>
      <c r="D21" s="33"/>
      <c r="E21" s="32" t="s">
        <v>27</v>
      </c>
      <c r="F21" s="32">
        <f t="shared" ref="F21:N21" si="2">F20/E20-1</f>
        <v>1.7136387282352672E-2</v>
      </c>
      <c r="G21" s="32">
        <f t="shared" si="2"/>
        <v>7.5694214627395562E-2</v>
      </c>
      <c r="H21" s="32">
        <f t="shared" si="2"/>
        <v>7.6408893860998361E-2</v>
      </c>
      <c r="I21" s="32">
        <f t="shared" si="2"/>
        <v>0.10359342115519521</v>
      </c>
      <c r="J21" s="32">
        <f t="shared" si="2"/>
        <v>-0.80743513678956536</v>
      </c>
      <c r="K21" s="32">
        <f t="shared" si="2"/>
        <v>1.9348942413497983</v>
      </c>
      <c r="L21" s="32">
        <f t="shared" si="2"/>
        <v>1.244412505988461</v>
      </c>
      <c r="M21" s="32">
        <f t="shared" si="2"/>
        <v>0.24766129631004508</v>
      </c>
      <c r="N21" s="32">
        <f t="shared" si="2"/>
        <v>3.7541468929915611E-2</v>
      </c>
      <c r="O21" s="32">
        <f>O40</f>
        <v>9.0899999999999995E-2</v>
      </c>
      <c r="P21" s="32">
        <f>P40</f>
        <v>8.246666666666666E-2</v>
      </c>
      <c r="Q21" s="32">
        <f>Q40</f>
        <v>7.4033333333333326E-2</v>
      </c>
      <c r="R21" s="32">
        <f>R40</f>
        <v>6.5599999999999992E-2</v>
      </c>
      <c r="S21" s="32">
        <f>S40</f>
        <v>5.7166666666666657E-2</v>
      </c>
      <c r="T21" s="32">
        <f t="shared" si="1"/>
        <v>4.8733333333333323E-2</v>
      </c>
      <c r="U21" s="32">
        <f t="shared" si="1"/>
        <v>4.0299999999999989E-2</v>
      </c>
      <c r="V21" s="32">
        <f t="shared" si="1"/>
        <v>3.1866666666666654E-2</v>
      </c>
      <c r="W21" s="32">
        <f t="shared" si="1"/>
        <v>2.343333333333332E-2</v>
      </c>
      <c r="X21" s="34">
        <f t="shared" si="1"/>
        <v>1.4999999999999987E-2</v>
      </c>
    </row>
    <row r="22" spans="1:24" ht="15" customHeight="1" x14ac:dyDescent="0.2">
      <c r="B22" s="29" t="s">
        <v>28</v>
      </c>
      <c r="E22" s="30">
        <f t="shared" ref="E22:N22" si="3">E23+E28</f>
        <v>1887.3999999999999</v>
      </c>
      <c r="F22" s="30">
        <f t="shared" si="3"/>
        <v>2031.5</v>
      </c>
      <c r="G22" s="30">
        <f t="shared" si="3"/>
        <v>2228.3000000000002</v>
      </c>
      <c r="H22" s="30">
        <f t="shared" si="3"/>
        <v>1657.3</v>
      </c>
      <c r="I22" s="30">
        <f t="shared" si="3"/>
        <v>1876.1000000000001</v>
      </c>
      <c r="J22" s="30">
        <f t="shared" si="3"/>
        <v>-268.39999999999998</v>
      </c>
      <c r="K22" s="30">
        <f t="shared" si="3"/>
        <v>379.79999999999995</v>
      </c>
      <c r="L22" s="30">
        <f t="shared" si="3"/>
        <v>2365.8000000000002</v>
      </c>
      <c r="M22" s="30">
        <f t="shared" si="3"/>
        <v>3120.2</v>
      </c>
      <c r="N22" s="30">
        <f t="shared" si="3"/>
        <v>2772.4</v>
      </c>
      <c r="O22" s="30">
        <f t="shared" ref="O22:X22" si="4">O45+O56</f>
        <v>3845.1889928549999</v>
      </c>
      <c r="P22" s="30">
        <f t="shared" si="4"/>
        <v>4162.288911799109</v>
      </c>
      <c r="Q22" s="30">
        <f t="shared" si="4"/>
        <v>4470.4370342359707</v>
      </c>
      <c r="R22" s="30">
        <f t="shared" si="4"/>
        <v>4763.6977036818498</v>
      </c>
      <c r="S22" s="30">
        <f t="shared" si="4"/>
        <v>5036.0224224089943</v>
      </c>
      <c r="T22" s="30">
        <f t="shared" si="4"/>
        <v>5281.4445817943933</v>
      </c>
      <c r="U22" s="30">
        <f t="shared" si="4"/>
        <v>5494.2867984407067</v>
      </c>
      <c r="V22" s="30">
        <f t="shared" si="4"/>
        <v>5669.3714044176841</v>
      </c>
      <c r="W22" s="30">
        <f t="shared" si="4"/>
        <v>5802.2236743278718</v>
      </c>
      <c r="X22" s="31">
        <f t="shared" si="4"/>
        <v>5889.2570294427896</v>
      </c>
    </row>
    <row r="23" spans="1:24" ht="15" customHeight="1" x14ac:dyDescent="0.2">
      <c r="B23" s="29" t="s">
        <v>16</v>
      </c>
      <c r="E23" s="30">
        <v>1460.1</v>
      </c>
      <c r="F23" s="30">
        <v>1534</v>
      </c>
      <c r="G23" s="30">
        <v>1667.3</v>
      </c>
      <c r="H23" s="30">
        <v>1016.8</v>
      </c>
      <c r="I23" s="30">
        <v>1127.4000000000001</v>
      </c>
      <c r="J23" s="30">
        <v>-839.4</v>
      </c>
      <c r="K23" s="30">
        <v>-339.6</v>
      </c>
      <c r="L23" s="30">
        <v>1442.6</v>
      </c>
      <c r="M23" s="30">
        <v>2060.6999999999998</v>
      </c>
      <c r="N23" s="30">
        <v>1558</v>
      </c>
      <c r="O23" s="30">
        <f>O20*O24</f>
        <v>2620.26729153</v>
      </c>
      <c r="P23" s="30">
        <f>P20*P24</f>
        <v>2836.3520008381743</v>
      </c>
      <c r="Q23" s="30">
        <f>Q20*Q24</f>
        <v>3046.3365939668938</v>
      </c>
      <c r="R23" s="30">
        <f>R20*R24</f>
        <v>3246.1762745311221</v>
      </c>
      <c r="S23" s="30">
        <f>S20*S24</f>
        <v>3431.7493515584838</v>
      </c>
      <c r="T23" s="30">
        <f t="shared" ref="T23:X24" si="5">T45</f>
        <v>3598.989936624434</v>
      </c>
      <c r="U23" s="30">
        <f t="shared" si="5"/>
        <v>3744.0292310703985</v>
      </c>
      <c r="V23" s="30">
        <f t="shared" si="5"/>
        <v>3863.3389625671753</v>
      </c>
      <c r="W23" s="30">
        <f t="shared" si="5"/>
        <v>3953.869872256666</v>
      </c>
      <c r="X23" s="31">
        <f t="shared" si="5"/>
        <v>4013.1779203405158</v>
      </c>
    </row>
    <row r="24" spans="1:24" ht="15" customHeight="1" x14ac:dyDescent="0.2">
      <c r="B24" s="32" t="s">
        <v>29</v>
      </c>
      <c r="C24" s="33"/>
      <c r="D24" s="33"/>
      <c r="E24" s="32">
        <f t="shared" ref="E24:N24" si="6">E23/E20</f>
        <v>0.22340034884788393</v>
      </c>
      <c r="F24" s="32">
        <f t="shared" si="6"/>
        <v>0.23075303107795059</v>
      </c>
      <c r="G24" s="32">
        <f t="shared" si="6"/>
        <v>0.23315620192980002</v>
      </c>
      <c r="H24" s="32">
        <f t="shared" si="6"/>
        <v>0.13209655208252138</v>
      </c>
      <c r="I24" s="32">
        <f t="shared" si="6"/>
        <v>0.13271648537929087</v>
      </c>
      <c r="J24" s="32">
        <f t="shared" si="6"/>
        <v>-0.51314341606553371</v>
      </c>
      <c r="K24" s="32">
        <f t="shared" si="6"/>
        <v>-7.0736736861838415E-2</v>
      </c>
      <c r="L24" s="32">
        <f t="shared" si="6"/>
        <v>0.13388150567970894</v>
      </c>
      <c r="M24" s="32">
        <f t="shared" si="6"/>
        <v>0.15328255403978042</v>
      </c>
      <c r="N24" s="32">
        <f t="shared" si="6"/>
        <v>0.11169659820052336</v>
      </c>
      <c r="O24" s="32">
        <f>O46</f>
        <v>0.17219999999999999</v>
      </c>
      <c r="P24" s="32">
        <f>P46</f>
        <v>0.17219999999999999</v>
      </c>
      <c r="Q24" s="32">
        <f>Q46</f>
        <v>0.17219999999999999</v>
      </c>
      <c r="R24" s="32">
        <f>R46</f>
        <v>0.17219999999999999</v>
      </c>
      <c r="S24" s="32">
        <f>S46</f>
        <v>0.17219999999999999</v>
      </c>
      <c r="T24" s="32">
        <f t="shared" si="5"/>
        <v>0.17219999999999999</v>
      </c>
      <c r="U24" s="32">
        <f t="shared" si="5"/>
        <v>0.17219999999999999</v>
      </c>
      <c r="V24" s="32">
        <f t="shared" si="5"/>
        <v>0.17219999999999999</v>
      </c>
      <c r="W24" s="32">
        <f t="shared" si="5"/>
        <v>0.17219999999999999</v>
      </c>
      <c r="X24" s="34">
        <f t="shared" si="5"/>
        <v>0.17219999999999999</v>
      </c>
    </row>
    <row r="25" spans="1:24" ht="15" customHeight="1" x14ac:dyDescent="0.2">
      <c r="B25" s="29" t="s">
        <v>30</v>
      </c>
      <c r="E25" s="30">
        <v>162.80000000000001</v>
      </c>
      <c r="F25" s="30">
        <v>154.4</v>
      </c>
      <c r="G25" s="30">
        <v>161.1</v>
      </c>
      <c r="H25" s="30">
        <v>63.1</v>
      </c>
      <c r="I25" s="30">
        <v>21.6</v>
      </c>
      <c r="J25" s="30">
        <v>-93.6</v>
      </c>
      <c r="K25" s="30">
        <v>-189</v>
      </c>
      <c r="L25" s="30">
        <v>128.69999999999999</v>
      </c>
      <c r="M25" s="30">
        <v>210.9</v>
      </c>
      <c r="N25" s="30">
        <v>172.8</v>
      </c>
      <c r="O25" s="30">
        <f>O23*O26</f>
        <v>314.43207498359999</v>
      </c>
      <c r="P25" s="30">
        <f>P23*P26</f>
        <v>340.36224010058089</v>
      </c>
      <c r="Q25" s="30">
        <f>Q23*Q26</f>
        <v>365.56039127602725</v>
      </c>
      <c r="R25" s="30">
        <f>R23*R26</f>
        <v>389.54115294373463</v>
      </c>
      <c r="S25" s="30">
        <f>S23*S26</f>
        <v>411.80992218701806</v>
      </c>
      <c r="T25" s="30">
        <f t="shared" ref="T25:X26" si="7">T51</f>
        <v>431.87879239493208</v>
      </c>
      <c r="U25" s="30">
        <f t="shared" si="7"/>
        <v>449.28350772844783</v>
      </c>
      <c r="V25" s="30">
        <f t="shared" si="7"/>
        <v>463.60067550806099</v>
      </c>
      <c r="W25" s="30">
        <f t="shared" si="7"/>
        <v>474.46438467079992</v>
      </c>
      <c r="X25" s="31">
        <f t="shared" si="7"/>
        <v>481.58135044086185</v>
      </c>
    </row>
    <row r="26" spans="1:24" ht="15" customHeight="1" x14ac:dyDescent="0.2">
      <c r="B26" s="32" t="s">
        <v>31</v>
      </c>
      <c r="C26" s="33"/>
      <c r="D26" s="33"/>
      <c r="E26" s="32">
        <f t="shared" ref="E26:N26" si="8">E25/E23</f>
        <v>0.11149921238271353</v>
      </c>
      <c r="F26" s="32">
        <f t="shared" si="8"/>
        <v>0.10065189048239896</v>
      </c>
      <c r="G26" s="32">
        <f t="shared" si="8"/>
        <v>9.6623283152402081E-2</v>
      </c>
      <c r="H26" s="32">
        <f t="shared" si="8"/>
        <v>6.2057435090479944E-2</v>
      </c>
      <c r="I26" s="32">
        <f t="shared" si="8"/>
        <v>1.9159127195316657E-2</v>
      </c>
      <c r="J26" s="32">
        <f t="shared" si="8"/>
        <v>0.11150822015725517</v>
      </c>
      <c r="K26" s="32">
        <f t="shared" si="8"/>
        <v>0.55653710247349819</v>
      </c>
      <c r="L26" s="32">
        <f t="shared" si="8"/>
        <v>8.9213919312352688E-2</v>
      </c>
      <c r="M26" s="32">
        <f t="shared" si="8"/>
        <v>0.10234386373562383</v>
      </c>
      <c r="N26" s="32">
        <f t="shared" si="8"/>
        <v>0.11091142490372273</v>
      </c>
      <c r="O26" s="32">
        <f>O52</f>
        <v>0.12</v>
      </c>
      <c r="P26" s="32">
        <f>P52</f>
        <v>0.12</v>
      </c>
      <c r="Q26" s="32">
        <f>Q52</f>
        <v>0.12</v>
      </c>
      <c r="R26" s="32">
        <f>R52</f>
        <v>0.12</v>
      </c>
      <c r="S26" s="32">
        <f>S52</f>
        <v>0.12</v>
      </c>
      <c r="T26" s="32">
        <f t="shared" si="7"/>
        <v>0.12</v>
      </c>
      <c r="U26" s="32">
        <f t="shared" si="7"/>
        <v>0.12</v>
      </c>
      <c r="V26" s="32">
        <f t="shared" si="7"/>
        <v>0.12</v>
      </c>
      <c r="W26" s="32">
        <f t="shared" si="7"/>
        <v>0.12</v>
      </c>
      <c r="X26" s="34">
        <f t="shared" si="7"/>
        <v>0.12</v>
      </c>
    </row>
    <row r="27" spans="1:24" ht="15" customHeight="1" x14ac:dyDescent="0.2">
      <c r="A27" s="26" t="s">
        <v>8</v>
      </c>
      <c r="B27" s="27" t="s">
        <v>32</v>
      </c>
      <c r="C27" s="20"/>
      <c r="D27" s="28"/>
      <c r="E27" s="28">
        <f t="shared" ref="E27:S27" si="9">E19</f>
        <v>2016</v>
      </c>
      <c r="F27" s="28">
        <f t="shared" si="9"/>
        <v>2017</v>
      </c>
      <c r="G27" s="28">
        <f t="shared" si="9"/>
        <v>2018</v>
      </c>
      <c r="H27" s="28">
        <f t="shared" si="9"/>
        <v>2019</v>
      </c>
      <c r="I27" s="28">
        <f t="shared" si="9"/>
        <v>2020</v>
      </c>
      <c r="J27" s="28">
        <f t="shared" si="9"/>
        <v>2021</v>
      </c>
      <c r="K27" s="28">
        <f t="shared" si="9"/>
        <v>2022</v>
      </c>
      <c r="L27" s="28">
        <f t="shared" si="9"/>
        <v>2023</v>
      </c>
      <c r="M27" s="28">
        <f t="shared" si="9"/>
        <v>2024</v>
      </c>
      <c r="N27" s="28">
        <f t="shared" si="9"/>
        <v>2025</v>
      </c>
      <c r="O27" s="28">
        <f t="shared" si="9"/>
        <v>2026</v>
      </c>
      <c r="P27" s="28">
        <f t="shared" si="9"/>
        <v>2027</v>
      </c>
      <c r="Q27" s="28">
        <f t="shared" si="9"/>
        <v>2028</v>
      </c>
      <c r="R27" s="28">
        <f t="shared" si="9"/>
        <v>2029</v>
      </c>
      <c r="S27" s="28">
        <f t="shared" si="9"/>
        <v>2030</v>
      </c>
      <c r="T27" s="28">
        <f>T38</f>
        <v>2031</v>
      </c>
      <c r="U27" s="28">
        <f>U38</f>
        <v>2032</v>
      </c>
      <c r="V27" s="28">
        <f>V38</f>
        <v>2033</v>
      </c>
      <c r="W27" s="28">
        <f>W38</f>
        <v>2034</v>
      </c>
      <c r="X27" s="28">
        <f>X38</f>
        <v>2035</v>
      </c>
    </row>
    <row r="28" spans="1:24" ht="15" customHeight="1" x14ac:dyDescent="0.2">
      <c r="B28" s="29" t="s">
        <v>33</v>
      </c>
      <c r="E28" s="30">
        <v>427.3</v>
      </c>
      <c r="F28" s="30">
        <v>497.5</v>
      </c>
      <c r="G28" s="30">
        <v>561</v>
      </c>
      <c r="H28" s="30">
        <v>640.5</v>
      </c>
      <c r="I28" s="30">
        <v>748.7</v>
      </c>
      <c r="J28" s="30">
        <v>571</v>
      </c>
      <c r="K28" s="30">
        <v>719.4</v>
      </c>
      <c r="L28" s="30">
        <v>923.2</v>
      </c>
      <c r="M28" s="30">
        <v>1059.5</v>
      </c>
      <c r="N28" s="30">
        <v>1214.4000000000001</v>
      </c>
      <c r="O28" s="30">
        <f>O20*O29</f>
        <v>1224.921701325</v>
      </c>
      <c r="P28" s="30">
        <f>P20*P29</f>
        <v>1325.9369109609352</v>
      </c>
      <c r="Q28" s="30">
        <f>Q20*Q29</f>
        <v>1424.1004402690764</v>
      </c>
      <c r="R28" s="30">
        <f>R20*R29</f>
        <v>1517.5214291507277</v>
      </c>
      <c r="S28" s="30">
        <f>S20*S29</f>
        <v>1604.2730708505107</v>
      </c>
      <c r="T28" s="30">
        <f t="shared" ref="T28:X29" si="10">T56</f>
        <v>1682.4546451699591</v>
      </c>
      <c r="U28" s="30">
        <f t="shared" si="10"/>
        <v>1750.2575673703084</v>
      </c>
      <c r="V28" s="30">
        <f t="shared" si="10"/>
        <v>1806.0324418505088</v>
      </c>
      <c r="W28" s="30">
        <f t="shared" si="10"/>
        <v>1848.3538020712058</v>
      </c>
      <c r="X28" s="30">
        <f t="shared" si="10"/>
        <v>1876.0791091022738</v>
      </c>
    </row>
    <row r="29" spans="1:24" ht="15" customHeight="1" x14ac:dyDescent="0.2">
      <c r="B29" s="32" t="s">
        <v>29</v>
      </c>
      <c r="C29" s="35"/>
      <c r="D29" s="35"/>
      <c r="E29" s="32">
        <f t="shared" ref="E29:N29" si="11">E28/E20</f>
        <v>6.5378377551332661E-2</v>
      </c>
      <c r="F29" s="32">
        <f t="shared" si="11"/>
        <v>7.4836788110352298E-2</v>
      </c>
      <c r="G29" s="32">
        <f t="shared" si="11"/>
        <v>7.845056635435603E-2</v>
      </c>
      <c r="H29" s="32">
        <f t="shared" si="11"/>
        <v>8.3209915036246015E-2</v>
      </c>
      <c r="I29" s="32">
        <f t="shared" si="11"/>
        <v>8.8136271601450308E-2</v>
      </c>
      <c r="J29" s="32">
        <f t="shared" si="11"/>
        <v>0.349064677833476</v>
      </c>
      <c r="K29" s="32">
        <f t="shared" si="11"/>
        <v>0.14984690370555523</v>
      </c>
      <c r="L29" s="32">
        <f t="shared" si="11"/>
        <v>8.5678224070086864E-2</v>
      </c>
      <c r="M29" s="32">
        <f t="shared" si="11"/>
        <v>7.8809562772430425E-2</v>
      </c>
      <c r="N29" s="32">
        <f t="shared" si="11"/>
        <v>8.7063125067211533E-2</v>
      </c>
      <c r="O29" s="32">
        <f>O57</f>
        <v>8.0500000000000002E-2</v>
      </c>
      <c r="P29" s="32">
        <f>P57</f>
        <v>8.0500000000000002E-2</v>
      </c>
      <c r="Q29" s="32">
        <f>Q57</f>
        <v>8.0500000000000002E-2</v>
      </c>
      <c r="R29" s="32">
        <f>R57</f>
        <v>8.0500000000000002E-2</v>
      </c>
      <c r="S29" s="32">
        <f>S57</f>
        <v>8.0500000000000002E-2</v>
      </c>
      <c r="T29" s="32">
        <f t="shared" si="10"/>
        <v>8.0500000000000002E-2</v>
      </c>
      <c r="U29" s="32">
        <f t="shared" si="10"/>
        <v>8.0500000000000002E-2</v>
      </c>
      <c r="V29" s="32">
        <f t="shared" si="10"/>
        <v>8.0500000000000002E-2</v>
      </c>
      <c r="W29" s="32">
        <f t="shared" si="10"/>
        <v>8.0500000000000002E-2</v>
      </c>
      <c r="X29" s="32">
        <f t="shared" si="10"/>
        <v>8.0500000000000002E-2</v>
      </c>
    </row>
    <row r="30" spans="1:24" ht="15" customHeight="1" x14ac:dyDescent="0.2">
      <c r="C30" s="35"/>
      <c r="D30" s="35"/>
      <c r="E30" s="35"/>
    </row>
    <row r="31" spans="1:24" ht="15" customHeight="1" x14ac:dyDescent="0.2">
      <c r="B31" s="29" t="s">
        <v>34</v>
      </c>
      <c r="E31" s="30">
        <v>1217.7</v>
      </c>
      <c r="F31" s="30">
        <v>1449.8</v>
      </c>
      <c r="G31" s="30">
        <v>1470.6</v>
      </c>
      <c r="H31" s="30">
        <v>1546.7</v>
      </c>
      <c r="I31" s="30">
        <v>578.79999999999995</v>
      </c>
      <c r="J31" s="30">
        <v>294.7</v>
      </c>
      <c r="K31" s="30">
        <v>1181.5999999999999</v>
      </c>
      <c r="L31" s="30">
        <v>1914.7</v>
      </c>
      <c r="M31" s="30">
        <v>2391.9</v>
      </c>
      <c r="N31" s="30">
        <v>1552.5</v>
      </c>
      <c r="O31" s="30">
        <f>O20*O32</f>
        <v>2781.5613292199996</v>
      </c>
      <c r="P31" s="30">
        <f>P20*P32</f>
        <v>2952.490909372134</v>
      </c>
      <c r="Q31" s="30">
        <f>Q20*Q32</f>
        <v>3099.7001312923967</v>
      </c>
      <c r="R31" s="30">
        <f>R20*R32</f>
        <v>3215.8159591024528</v>
      </c>
      <c r="S31" s="30">
        <f>S20*S32</f>
        <v>3292.8282420506262</v>
      </c>
      <c r="T31" s="30">
        <f t="shared" ref="T31:X32" si="12">T59</f>
        <v>3321.9838117958161</v>
      </c>
      <c r="U31" s="30">
        <f t="shared" si="12"/>
        <v>3293.5245734216437</v>
      </c>
      <c r="V31" s="30">
        <f t="shared" si="12"/>
        <v>3196.1420861707434</v>
      </c>
      <c r="W31" s="30">
        <f t="shared" si="12"/>
        <v>3015.9105542982115</v>
      </c>
      <c r="X31" s="30">
        <f t="shared" si="12"/>
        <v>2734.2203228590711</v>
      </c>
    </row>
    <row r="32" spans="1:24" ht="15" customHeight="1" x14ac:dyDescent="0.2">
      <c r="B32" s="32" t="s">
        <v>29</v>
      </c>
      <c r="C32" s="33"/>
      <c r="D32" s="33"/>
      <c r="E32" s="32">
        <f t="shared" ref="E32:N32" si="13">E31/E20</f>
        <v>0.18631231065822088</v>
      </c>
      <c r="F32" s="32">
        <f t="shared" si="13"/>
        <v>0.21808718673846986</v>
      </c>
      <c r="G32" s="32">
        <f t="shared" si="13"/>
        <v>0.20564955950216751</v>
      </c>
      <c r="H32" s="32">
        <f t="shared" si="13"/>
        <v>0.2009379790578637</v>
      </c>
      <c r="I32" s="32">
        <f t="shared" si="13"/>
        <v>6.8135800725149506E-2</v>
      </c>
      <c r="J32" s="32">
        <f t="shared" si="13"/>
        <v>0.18015649834943148</v>
      </c>
      <c r="K32" s="32">
        <f t="shared" si="13"/>
        <v>0.24612051906934115</v>
      </c>
      <c r="L32" s="32">
        <f t="shared" si="13"/>
        <v>0.17769507758556685</v>
      </c>
      <c r="M32" s="32">
        <f t="shared" si="13"/>
        <v>0.17791844567756143</v>
      </c>
      <c r="N32" s="32">
        <f t="shared" si="13"/>
        <v>0.11130229056887837</v>
      </c>
      <c r="O32" s="32">
        <f>O60</f>
        <v>0.18279999999999999</v>
      </c>
      <c r="P32" s="32">
        <f>P60</f>
        <v>0.17925100073743946</v>
      </c>
      <c r="Q32" s="32">
        <f>Q60</f>
        <v>0.17521647596843051</v>
      </c>
      <c r="R32" s="32">
        <f>R60</f>
        <v>0.17058947553223308</v>
      </c>
      <c r="S32" s="32">
        <f>S60</f>
        <v>0.16522914851680845</v>
      </c>
      <c r="T32" s="32">
        <f t="shared" si="12"/>
        <v>0.1589461550225319</v>
      </c>
      <c r="U32" s="32">
        <f t="shared" si="12"/>
        <v>0.15147983537005219</v>
      </c>
      <c r="V32" s="32">
        <f t="shared" si="12"/>
        <v>0.14246113855691278</v>
      </c>
      <c r="W32" s="32">
        <f t="shared" si="12"/>
        <v>0.13134974448558154</v>
      </c>
      <c r="X32" s="32">
        <f t="shared" si="12"/>
        <v>0.1173216709904509</v>
      </c>
    </row>
    <row r="34" spans="1:25" ht="15" customHeight="1" x14ac:dyDescent="0.2">
      <c r="B34" s="29" t="s">
        <v>35</v>
      </c>
      <c r="E34" s="30">
        <v>-135.6</v>
      </c>
      <c r="F34" s="30">
        <v>-113.1</v>
      </c>
      <c r="G34" s="30">
        <v>-168.9</v>
      </c>
      <c r="H34" s="30">
        <v>-514.29999999999995</v>
      </c>
      <c r="I34" s="30">
        <v>388.5</v>
      </c>
      <c r="J34" s="30">
        <v>1703.2</v>
      </c>
      <c r="K34" s="30">
        <v>-1785.9</v>
      </c>
      <c r="L34" s="30">
        <v>-1353.9</v>
      </c>
      <c r="M34" s="30">
        <v>-19</v>
      </c>
      <c r="N34" s="30">
        <v>-480.3</v>
      </c>
      <c r="O34" s="30">
        <f>O20*O35</f>
        <v>-436.71121525500001</v>
      </c>
      <c r="P34" s="30">
        <f>P20*P35</f>
        <v>-456.32551079571277</v>
      </c>
      <c r="Q34" s="30">
        <f>Q20*Q35</f>
        <v>-470.08515280908415</v>
      </c>
      <c r="R34" s="30">
        <f>R20*R35</f>
        <v>-476.45213108127587</v>
      </c>
      <c r="S34" s="30">
        <f>S20*S35</f>
        <v>-473.71977921254472</v>
      </c>
      <c r="T34" s="30">
        <f t="shared" ref="T34:X35" si="14">T62</f>
        <v>-459.96566062719552</v>
      </c>
      <c r="U34" s="30">
        <f t="shared" si="14"/>
        <v>-432.95956083747149</v>
      </c>
      <c r="V34" s="30">
        <f t="shared" si="14"/>
        <v>-389.99165974575493</v>
      </c>
      <c r="W34" s="30">
        <f t="shared" si="14"/>
        <v>-327.55502237453629</v>
      </c>
      <c r="X34" s="30">
        <f t="shared" si="14"/>
        <v>-240.74929457302139</v>
      </c>
    </row>
    <row r="35" spans="1:25" ht="15" customHeight="1" x14ac:dyDescent="0.2">
      <c r="B35" s="32" t="s">
        <v>29</v>
      </c>
      <c r="C35" s="35"/>
      <c r="D35" s="35"/>
      <c r="E35" s="32">
        <f t="shared" ref="E35:N35" si="15">E34/E20</f>
        <v>-2.0747268888276875E-2</v>
      </c>
      <c r="F35" s="32">
        <f t="shared" si="15"/>
        <v>-1.7013147206594661E-2</v>
      </c>
      <c r="G35" s="32">
        <f t="shared" si="15"/>
        <v>-2.3619074255348902E-2</v>
      </c>
      <c r="H35" s="32">
        <f t="shared" si="15"/>
        <v>-6.6814768623171455E-2</v>
      </c>
      <c r="I35" s="32">
        <f t="shared" si="15"/>
        <v>4.5733860714790228E-2</v>
      </c>
      <c r="J35" s="32">
        <f t="shared" si="15"/>
        <v>1.0412030810612545</v>
      </c>
      <c r="K35" s="32">
        <f t="shared" si="15"/>
        <v>-0.37199275135912019</v>
      </c>
      <c r="L35" s="32">
        <f t="shared" si="15"/>
        <v>-0.12564963991387632</v>
      </c>
      <c r="M35" s="32">
        <f t="shared" si="15"/>
        <v>-1.413290885017629E-3</v>
      </c>
      <c r="N35" s="32">
        <f t="shared" si="15"/>
        <v>-3.4433810087106144E-2</v>
      </c>
      <c r="O35" s="32">
        <f>O63</f>
        <v>-2.87E-2</v>
      </c>
      <c r="P35" s="32">
        <f>P63</f>
        <v>-2.7704337450288496E-2</v>
      </c>
      <c r="Q35" s="32">
        <f>Q63</f>
        <v>-2.657246197745803E-2</v>
      </c>
      <c r="R35" s="32">
        <f>R63</f>
        <v>-2.5274368990958848E-2</v>
      </c>
      <c r="S35" s="32">
        <f>S63</f>
        <v>-2.3770543132281555E-2</v>
      </c>
      <c r="T35" s="32">
        <f t="shared" si="14"/>
        <v>-2.2007865583056358E-2</v>
      </c>
      <c r="U35" s="32">
        <f t="shared" si="14"/>
        <v>-1.9913208945459414E-2</v>
      </c>
      <c r="V35" s="32">
        <f t="shared" si="14"/>
        <v>-1.7383036916748744E-2</v>
      </c>
      <c r="W35" s="32">
        <f t="shared" si="14"/>
        <v>-1.4265764093217888E-2</v>
      </c>
      <c r="X35" s="32">
        <f t="shared" si="14"/>
        <v>-1.03302244127658E-2</v>
      </c>
    </row>
    <row r="36" spans="1:25" ht="15" customHeight="1" x14ac:dyDescent="0.2">
      <c r="B36" s="36" t="s">
        <v>36</v>
      </c>
      <c r="C36" s="35"/>
      <c r="D36" s="35"/>
      <c r="E36" s="35"/>
      <c r="F36" s="36">
        <f t="shared" ref="F36:N36" si="16">F34/(F20-E20)</f>
        <v>-1.0098214285714284</v>
      </c>
      <c r="G36" s="36">
        <f t="shared" si="16"/>
        <v>-0.33565182829888723</v>
      </c>
      <c r="H36" s="36">
        <f t="shared" si="16"/>
        <v>-0.94125183016105474</v>
      </c>
      <c r="I36" s="36">
        <f t="shared" si="16"/>
        <v>0.48720842738901454</v>
      </c>
      <c r="J36" s="36">
        <f t="shared" si="16"/>
        <v>-0.24831608106137926</v>
      </c>
      <c r="K36" s="36">
        <f t="shared" si="16"/>
        <v>-0.56424757511611023</v>
      </c>
      <c r="L36" s="36">
        <f t="shared" si="16"/>
        <v>-0.22662069196391207</v>
      </c>
      <c r="M36" s="36">
        <f t="shared" si="16"/>
        <v>-7.1198381173649145E-3</v>
      </c>
      <c r="N36" s="36">
        <f t="shared" si="16"/>
        <v>-0.95165444818704048</v>
      </c>
    </row>
    <row r="38" spans="1:25" ht="15" customHeight="1" x14ac:dyDescent="0.2">
      <c r="A38" s="26" t="s">
        <v>8</v>
      </c>
      <c r="B38" s="37" t="s">
        <v>37</v>
      </c>
      <c r="C38" s="38"/>
      <c r="D38" s="39"/>
      <c r="E38" s="28">
        <f>E27</f>
        <v>2016</v>
      </c>
      <c r="F38" s="28">
        <f t="shared" ref="F38:X38" si="17">E38+1</f>
        <v>2017</v>
      </c>
      <c r="G38" s="28">
        <f t="shared" si="17"/>
        <v>2018</v>
      </c>
      <c r="H38" s="28">
        <f t="shared" si="17"/>
        <v>2019</v>
      </c>
      <c r="I38" s="28">
        <f t="shared" si="17"/>
        <v>2020</v>
      </c>
      <c r="J38" s="28">
        <f t="shared" si="17"/>
        <v>2021</v>
      </c>
      <c r="K38" s="28">
        <f t="shared" si="17"/>
        <v>2022</v>
      </c>
      <c r="L38" s="28">
        <f t="shared" si="17"/>
        <v>2023</v>
      </c>
      <c r="M38" s="28">
        <f t="shared" si="17"/>
        <v>2024</v>
      </c>
      <c r="N38" s="28">
        <f t="shared" si="17"/>
        <v>2025</v>
      </c>
      <c r="O38" s="28">
        <f t="shared" si="17"/>
        <v>2026</v>
      </c>
      <c r="P38" s="28">
        <f t="shared" si="17"/>
        <v>2027</v>
      </c>
      <c r="Q38" s="28">
        <f t="shared" si="17"/>
        <v>2028</v>
      </c>
      <c r="R38" s="28">
        <f t="shared" si="17"/>
        <v>2029</v>
      </c>
      <c r="S38" s="28">
        <f t="shared" si="17"/>
        <v>2030</v>
      </c>
      <c r="T38" s="28">
        <f t="shared" si="17"/>
        <v>2031</v>
      </c>
      <c r="U38" s="28">
        <f t="shared" si="17"/>
        <v>2032</v>
      </c>
      <c r="V38" s="28">
        <f t="shared" si="17"/>
        <v>2033</v>
      </c>
      <c r="W38" s="28">
        <f t="shared" si="17"/>
        <v>2034</v>
      </c>
      <c r="X38" s="28">
        <f t="shared" si="17"/>
        <v>2035</v>
      </c>
      <c r="Y38" s="40" t="s">
        <v>38</v>
      </c>
    </row>
    <row r="39" spans="1:25" ht="15" customHeight="1" x14ac:dyDescent="0.2">
      <c r="B39" s="29" t="s">
        <v>14</v>
      </c>
      <c r="E39" s="30">
        <f t="shared" ref="E39:N39" si="18">E20</f>
        <v>6535.8</v>
      </c>
      <c r="F39" s="30">
        <f t="shared" si="18"/>
        <v>6647.8</v>
      </c>
      <c r="G39" s="30">
        <f t="shared" si="18"/>
        <v>7151</v>
      </c>
      <c r="H39" s="30">
        <f t="shared" si="18"/>
        <v>7697.4</v>
      </c>
      <c r="I39" s="30">
        <f t="shared" si="18"/>
        <v>8494.7999999999993</v>
      </c>
      <c r="J39" s="30">
        <f t="shared" si="18"/>
        <v>1635.8</v>
      </c>
      <c r="K39" s="30">
        <f t="shared" si="18"/>
        <v>4800.8999999999996</v>
      </c>
      <c r="L39" s="30">
        <f t="shared" si="18"/>
        <v>10775.2</v>
      </c>
      <c r="M39" s="30">
        <f t="shared" si="18"/>
        <v>13443.8</v>
      </c>
      <c r="N39" s="30">
        <f t="shared" si="18"/>
        <v>13948.5</v>
      </c>
      <c r="O39" s="30">
        <f t="shared" ref="O39:X39" si="19">N39*(1+O40)</f>
        <v>15216.41865</v>
      </c>
      <c r="P39" s="30">
        <f t="shared" si="19"/>
        <v>16471.265974670001</v>
      </c>
      <c r="Q39" s="30">
        <f t="shared" si="19"/>
        <v>17690.688698994738</v>
      </c>
      <c r="R39" s="30">
        <f t="shared" si="19"/>
        <v>18851.197877648792</v>
      </c>
      <c r="S39" s="30">
        <f t="shared" si="19"/>
        <v>19928.858022987712</v>
      </c>
      <c r="T39" s="30">
        <f t="shared" si="19"/>
        <v>20900.057703974646</v>
      </c>
      <c r="U39" s="30">
        <f t="shared" si="19"/>
        <v>21742.330029444824</v>
      </c>
      <c r="V39" s="30">
        <f t="shared" si="19"/>
        <v>22435.185613049798</v>
      </c>
      <c r="W39" s="30">
        <f t="shared" si="19"/>
        <v>22960.9167959156</v>
      </c>
      <c r="X39" s="30">
        <f t="shared" si="19"/>
        <v>23305.330547854333</v>
      </c>
    </row>
    <row r="40" spans="1:25" ht="15" customHeight="1" x14ac:dyDescent="0.2">
      <c r="B40" s="32" t="s">
        <v>26</v>
      </c>
      <c r="C40" s="33"/>
      <c r="D40" s="33"/>
      <c r="E40" s="33"/>
      <c r="F40" s="32">
        <f t="shared" ref="F40:N40" si="20">F39/E39-1</f>
        <v>1.7136387282352672E-2</v>
      </c>
      <c r="G40" s="32">
        <f t="shared" si="20"/>
        <v>7.5694214627395562E-2</v>
      </c>
      <c r="H40" s="32">
        <f t="shared" si="20"/>
        <v>7.6408893860998361E-2</v>
      </c>
      <c r="I40" s="32">
        <f t="shared" si="20"/>
        <v>0.10359342115519521</v>
      </c>
      <c r="J40" s="32">
        <f t="shared" si="20"/>
        <v>-0.80743513678956536</v>
      </c>
      <c r="K40" s="32">
        <f t="shared" si="20"/>
        <v>1.9348942413497983</v>
      </c>
      <c r="L40" s="32">
        <f t="shared" si="20"/>
        <v>1.244412505988461</v>
      </c>
      <c r="M40" s="32">
        <f t="shared" si="20"/>
        <v>0.24766129631004508</v>
      </c>
      <c r="N40" s="32">
        <f t="shared" si="20"/>
        <v>3.7541468929915611E-2</v>
      </c>
      <c r="O40" s="32">
        <f t="shared" ref="O40:X40" si="21">INDEX(O41:O43,$D$11)</f>
        <v>9.0899999999999995E-2</v>
      </c>
      <c r="P40" s="32">
        <f t="shared" si="21"/>
        <v>8.246666666666666E-2</v>
      </c>
      <c r="Q40" s="32">
        <f t="shared" si="21"/>
        <v>7.4033333333333326E-2</v>
      </c>
      <c r="R40" s="32">
        <f t="shared" si="21"/>
        <v>6.5599999999999992E-2</v>
      </c>
      <c r="S40" s="32">
        <f t="shared" si="21"/>
        <v>5.7166666666666657E-2</v>
      </c>
      <c r="T40" s="32">
        <f t="shared" si="21"/>
        <v>4.8733333333333323E-2</v>
      </c>
      <c r="U40" s="32">
        <f t="shared" si="21"/>
        <v>4.0299999999999989E-2</v>
      </c>
      <c r="V40" s="32">
        <f t="shared" si="21"/>
        <v>3.1866666666666654E-2</v>
      </c>
      <c r="W40" s="32">
        <f t="shared" si="21"/>
        <v>2.343333333333332E-2</v>
      </c>
      <c r="X40" s="32">
        <f t="shared" si="21"/>
        <v>1.4999999999999987E-2</v>
      </c>
      <c r="Y40" s="32">
        <f>$D$17</f>
        <v>1.4999999999999999E-2</v>
      </c>
    </row>
    <row r="41" spans="1:25" ht="15" customHeight="1" x14ac:dyDescent="0.2">
      <c r="B41" s="41" t="s">
        <v>39</v>
      </c>
      <c r="O41" s="42">
        <f>$H$11</f>
        <v>7.0000000000000007E-2</v>
      </c>
      <c r="P41" s="42">
        <f t="shared" ref="P41:X41" si="22">O41-($H$11-$H$17)/$D$18</f>
        <v>6.3333333333333339E-2</v>
      </c>
      <c r="Q41" s="42">
        <f t="shared" si="22"/>
        <v>5.6666666666666671E-2</v>
      </c>
      <c r="R41" s="42">
        <f t="shared" si="22"/>
        <v>0.05</v>
      </c>
      <c r="S41" s="42">
        <f t="shared" si="22"/>
        <v>4.3333333333333335E-2</v>
      </c>
      <c r="T41" s="42">
        <f t="shared" si="22"/>
        <v>3.6666666666666667E-2</v>
      </c>
      <c r="U41" s="42">
        <f t="shared" si="22"/>
        <v>0.03</v>
      </c>
      <c r="V41" s="42">
        <f t="shared" si="22"/>
        <v>2.3333333333333331E-2</v>
      </c>
      <c r="W41" s="42">
        <f t="shared" si="22"/>
        <v>1.6666666666666663E-2</v>
      </c>
      <c r="X41" s="42">
        <f t="shared" si="22"/>
        <v>9.999999999999995E-3</v>
      </c>
    </row>
    <row r="42" spans="1:25" ht="15" customHeight="1" x14ac:dyDescent="0.2">
      <c r="B42" s="41" t="s">
        <v>40</v>
      </c>
      <c r="O42" s="42">
        <f>$L$11</f>
        <v>9.0899999999999995E-2</v>
      </c>
      <c r="P42" s="42">
        <f t="shared" ref="P42:X42" si="23">O42-($L$11-$L$17)/$D$18</f>
        <v>8.246666666666666E-2</v>
      </c>
      <c r="Q42" s="42">
        <f t="shared" si="23"/>
        <v>7.4033333333333326E-2</v>
      </c>
      <c r="R42" s="42">
        <f t="shared" si="23"/>
        <v>6.5599999999999992E-2</v>
      </c>
      <c r="S42" s="42">
        <f t="shared" si="23"/>
        <v>5.7166666666666657E-2</v>
      </c>
      <c r="T42" s="42">
        <f t="shared" si="23"/>
        <v>4.8733333333333323E-2</v>
      </c>
      <c r="U42" s="42">
        <f t="shared" si="23"/>
        <v>4.0299999999999989E-2</v>
      </c>
      <c r="V42" s="42">
        <f t="shared" si="23"/>
        <v>3.1866666666666654E-2</v>
      </c>
      <c r="W42" s="42">
        <f t="shared" si="23"/>
        <v>2.343333333333332E-2</v>
      </c>
      <c r="X42" s="42">
        <f t="shared" si="23"/>
        <v>1.4999999999999987E-2</v>
      </c>
    </row>
    <row r="43" spans="1:25" ht="15" customHeight="1" x14ac:dyDescent="0.2">
      <c r="B43" s="41" t="s">
        <v>41</v>
      </c>
      <c r="O43" s="42">
        <f>$P$11</f>
        <v>0.11</v>
      </c>
      <c r="P43" s="42">
        <f t="shared" ref="P43:X43" si="24">O43-($P$11-$P$17)/$D$18</f>
        <v>0.1</v>
      </c>
      <c r="Q43" s="42">
        <f t="shared" si="24"/>
        <v>9.0000000000000011E-2</v>
      </c>
      <c r="R43" s="42">
        <f t="shared" si="24"/>
        <v>8.0000000000000016E-2</v>
      </c>
      <c r="S43" s="42">
        <f t="shared" si="24"/>
        <v>7.0000000000000021E-2</v>
      </c>
      <c r="T43" s="42">
        <f t="shared" si="24"/>
        <v>6.0000000000000019E-2</v>
      </c>
      <c r="U43" s="42">
        <f t="shared" si="24"/>
        <v>5.0000000000000017E-2</v>
      </c>
      <c r="V43" s="42">
        <f t="shared" si="24"/>
        <v>4.0000000000000015E-2</v>
      </c>
      <c r="W43" s="42">
        <f t="shared" si="24"/>
        <v>3.0000000000000013E-2</v>
      </c>
      <c r="X43" s="42">
        <f t="shared" si="24"/>
        <v>2.0000000000000011E-2</v>
      </c>
    </row>
    <row r="45" spans="1:25" ht="15" customHeight="1" x14ac:dyDescent="0.2">
      <c r="B45" s="29" t="s">
        <v>16</v>
      </c>
      <c r="E45" s="30">
        <f t="shared" ref="E45:N45" si="25">E23</f>
        <v>1460.1</v>
      </c>
      <c r="F45" s="30">
        <f t="shared" si="25"/>
        <v>1534</v>
      </c>
      <c r="G45" s="30">
        <f t="shared" si="25"/>
        <v>1667.3</v>
      </c>
      <c r="H45" s="30">
        <f t="shared" si="25"/>
        <v>1016.8</v>
      </c>
      <c r="I45" s="30">
        <f t="shared" si="25"/>
        <v>1127.4000000000001</v>
      </c>
      <c r="J45" s="30">
        <f t="shared" si="25"/>
        <v>-839.4</v>
      </c>
      <c r="K45" s="30">
        <f t="shared" si="25"/>
        <v>-339.6</v>
      </c>
      <c r="L45" s="30">
        <f t="shared" si="25"/>
        <v>1442.6</v>
      </c>
      <c r="M45" s="30">
        <f t="shared" si="25"/>
        <v>2060.6999999999998</v>
      </c>
      <c r="N45" s="30">
        <f t="shared" si="25"/>
        <v>1558</v>
      </c>
      <c r="O45" s="30">
        <f t="shared" ref="O45:X45" si="26">O39*O46</f>
        <v>2620.26729153</v>
      </c>
      <c r="P45" s="30">
        <f t="shared" si="26"/>
        <v>2836.3520008381743</v>
      </c>
      <c r="Q45" s="30">
        <f t="shared" si="26"/>
        <v>3046.3365939668938</v>
      </c>
      <c r="R45" s="30">
        <f t="shared" si="26"/>
        <v>3246.1762745311221</v>
      </c>
      <c r="S45" s="30">
        <f t="shared" si="26"/>
        <v>3431.7493515584838</v>
      </c>
      <c r="T45" s="30">
        <f t="shared" si="26"/>
        <v>3598.989936624434</v>
      </c>
      <c r="U45" s="30">
        <f t="shared" si="26"/>
        <v>3744.0292310703985</v>
      </c>
      <c r="V45" s="30">
        <f t="shared" si="26"/>
        <v>3863.3389625671753</v>
      </c>
      <c r="W45" s="30">
        <f t="shared" si="26"/>
        <v>3953.869872256666</v>
      </c>
      <c r="X45" s="30">
        <f t="shared" si="26"/>
        <v>4013.1779203405158</v>
      </c>
    </row>
    <row r="46" spans="1:25" ht="15" customHeight="1" x14ac:dyDescent="0.2">
      <c r="B46" s="32" t="s">
        <v>29</v>
      </c>
      <c r="C46" s="33"/>
      <c r="D46" s="33"/>
      <c r="E46" s="32">
        <f t="shared" ref="E46:N46" si="27">E45/E20</f>
        <v>0.22340034884788393</v>
      </c>
      <c r="F46" s="32">
        <f t="shared" si="27"/>
        <v>0.23075303107795059</v>
      </c>
      <c r="G46" s="32">
        <f t="shared" si="27"/>
        <v>0.23315620192980002</v>
      </c>
      <c r="H46" s="32">
        <f t="shared" si="27"/>
        <v>0.13209655208252138</v>
      </c>
      <c r="I46" s="32">
        <f t="shared" si="27"/>
        <v>0.13271648537929087</v>
      </c>
      <c r="J46" s="32">
        <f t="shared" si="27"/>
        <v>-0.51314341606553371</v>
      </c>
      <c r="K46" s="32">
        <f t="shared" si="27"/>
        <v>-7.0736736861838415E-2</v>
      </c>
      <c r="L46" s="32">
        <f t="shared" si="27"/>
        <v>0.13388150567970894</v>
      </c>
      <c r="M46" s="32">
        <f t="shared" si="27"/>
        <v>0.15328255403978042</v>
      </c>
      <c r="N46" s="32">
        <f t="shared" si="27"/>
        <v>0.11169659820052336</v>
      </c>
      <c r="O46" s="32">
        <f t="shared" ref="O46:X46" si="28">INDEX(O47:O49,$D$12)</f>
        <v>0.17219999999999999</v>
      </c>
      <c r="P46" s="32">
        <f t="shared" si="28"/>
        <v>0.17219999999999999</v>
      </c>
      <c r="Q46" s="32">
        <f t="shared" si="28"/>
        <v>0.17219999999999999</v>
      </c>
      <c r="R46" s="32">
        <f t="shared" si="28"/>
        <v>0.17219999999999999</v>
      </c>
      <c r="S46" s="32">
        <f t="shared" si="28"/>
        <v>0.17219999999999999</v>
      </c>
      <c r="T46" s="32">
        <f t="shared" si="28"/>
        <v>0.17219999999999999</v>
      </c>
      <c r="U46" s="32">
        <f t="shared" si="28"/>
        <v>0.17219999999999999</v>
      </c>
      <c r="V46" s="32">
        <f t="shared" si="28"/>
        <v>0.17219999999999999</v>
      </c>
      <c r="W46" s="32">
        <f t="shared" si="28"/>
        <v>0.17219999999999999</v>
      </c>
      <c r="X46" s="32">
        <f t="shared" si="28"/>
        <v>0.17219999999999999</v>
      </c>
    </row>
    <row r="47" spans="1:25" ht="15" customHeight="1" x14ac:dyDescent="0.2">
      <c r="B47" s="41" t="s">
        <v>39</v>
      </c>
      <c r="D47" s="33"/>
      <c r="O47" s="42">
        <f t="shared" ref="O47:X47" si="29">$H$13</f>
        <v>0.16</v>
      </c>
      <c r="P47" s="42">
        <f t="shared" si="29"/>
        <v>0.16</v>
      </c>
      <c r="Q47" s="42">
        <f t="shared" si="29"/>
        <v>0.16</v>
      </c>
      <c r="R47" s="42">
        <f t="shared" si="29"/>
        <v>0.16</v>
      </c>
      <c r="S47" s="42">
        <f t="shared" si="29"/>
        <v>0.16</v>
      </c>
      <c r="T47" s="42">
        <f t="shared" si="29"/>
        <v>0.16</v>
      </c>
      <c r="U47" s="42">
        <f t="shared" si="29"/>
        <v>0.16</v>
      </c>
      <c r="V47" s="42">
        <f t="shared" si="29"/>
        <v>0.16</v>
      </c>
      <c r="W47" s="42">
        <f t="shared" si="29"/>
        <v>0.16</v>
      </c>
      <c r="X47" s="42">
        <f t="shared" si="29"/>
        <v>0.16</v>
      </c>
    </row>
    <row r="48" spans="1:25" ht="15" customHeight="1" x14ac:dyDescent="0.2">
      <c r="B48" s="41" t="s">
        <v>40</v>
      </c>
      <c r="D48" s="33"/>
      <c r="O48" s="42">
        <f t="shared" ref="O48:X48" si="30">$L$13</f>
        <v>0.17219999999999999</v>
      </c>
      <c r="P48" s="42">
        <f t="shared" si="30"/>
        <v>0.17219999999999999</v>
      </c>
      <c r="Q48" s="42">
        <f t="shared" si="30"/>
        <v>0.17219999999999999</v>
      </c>
      <c r="R48" s="42">
        <f t="shared" si="30"/>
        <v>0.17219999999999999</v>
      </c>
      <c r="S48" s="42">
        <f t="shared" si="30"/>
        <v>0.17219999999999999</v>
      </c>
      <c r="T48" s="42">
        <f t="shared" si="30"/>
        <v>0.17219999999999999</v>
      </c>
      <c r="U48" s="42">
        <f t="shared" si="30"/>
        <v>0.17219999999999999</v>
      </c>
      <c r="V48" s="42">
        <f t="shared" si="30"/>
        <v>0.17219999999999999</v>
      </c>
      <c r="W48" s="42">
        <f t="shared" si="30"/>
        <v>0.17219999999999999</v>
      </c>
      <c r="X48" s="42">
        <f t="shared" si="30"/>
        <v>0.17219999999999999</v>
      </c>
    </row>
    <row r="49" spans="1:25" ht="15" customHeight="1" x14ac:dyDescent="0.2">
      <c r="B49" s="41" t="s">
        <v>41</v>
      </c>
      <c r="D49" s="33"/>
      <c r="O49" s="42">
        <f t="shared" ref="O49:X49" si="31">$P$13</f>
        <v>0.185</v>
      </c>
      <c r="P49" s="42">
        <f t="shared" si="31"/>
        <v>0.185</v>
      </c>
      <c r="Q49" s="42">
        <f t="shared" si="31"/>
        <v>0.185</v>
      </c>
      <c r="R49" s="42">
        <f t="shared" si="31"/>
        <v>0.185</v>
      </c>
      <c r="S49" s="42">
        <f t="shared" si="31"/>
        <v>0.185</v>
      </c>
      <c r="T49" s="42">
        <f t="shared" si="31"/>
        <v>0.185</v>
      </c>
      <c r="U49" s="42">
        <f t="shared" si="31"/>
        <v>0.185</v>
      </c>
      <c r="V49" s="42">
        <f t="shared" si="31"/>
        <v>0.185</v>
      </c>
      <c r="W49" s="42">
        <f t="shared" si="31"/>
        <v>0.185</v>
      </c>
      <c r="X49" s="42">
        <f t="shared" si="31"/>
        <v>0.185</v>
      </c>
    </row>
    <row r="51" spans="1:25" ht="15" customHeight="1" x14ac:dyDescent="0.2">
      <c r="B51" s="29" t="s">
        <v>30</v>
      </c>
      <c r="E51" s="30">
        <f t="shared" ref="E51:N51" si="32">E25</f>
        <v>162.80000000000001</v>
      </c>
      <c r="F51" s="30">
        <f t="shared" si="32"/>
        <v>154.4</v>
      </c>
      <c r="G51" s="30">
        <f t="shared" si="32"/>
        <v>161.1</v>
      </c>
      <c r="H51" s="30">
        <f t="shared" si="32"/>
        <v>63.1</v>
      </c>
      <c r="I51" s="30">
        <f t="shared" si="32"/>
        <v>21.6</v>
      </c>
      <c r="J51" s="30">
        <f t="shared" si="32"/>
        <v>-93.6</v>
      </c>
      <c r="K51" s="30">
        <f t="shared" si="32"/>
        <v>-189</v>
      </c>
      <c r="L51" s="30">
        <f t="shared" si="32"/>
        <v>128.69999999999999</v>
      </c>
      <c r="M51" s="30">
        <f t="shared" si="32"/>
        <v>210.9</v>
      </c>
      <c r="N51" s="30">
        <f t="shared" si="32"/>
        <v>172.8</v>
      </c>
      <c r="O51" s="30">
        <f t="shared" ref="O51:X51" si="33">O45*O52</f>
        <v>314.43207498359999</v>
      </c>
      <c r="P51" s="30">
        <f t="shared" si="33"/>
        <v>340.36224010058089</v>
      </c>
      <c r="Q51" s="30">
        <f t="shared" si="33"/>
        <v>365.56039127602725</v>
      </c>
      <c r="R51" s="30">
        <f t="shared" si="33"/>
        <v>389.54115294373463</v>
      </c>
      <c r="S51" s="30">
        <f t="shared" si="33"/>
        <v>411.80992218701806</v>
      </c>
      <c r="T51" s="30">
        <f t="shared" si="33"/>
        <v>431.87879239493208</v>
      </c>
      <c r="U51" s="30">
        <f t="shared" si="33"/>
        <v>449.28350772844783</v>
      </c>
      <c r="V51" s="30">
        <f t="shared" si="33"/>
        <v>463.60067550806099</v>
      </c>
      <c r="W51" s="30">
        <f t="shared" si="33"/>
        <v>474.46438467079992</v>
      </c>
      <c r="X51" s="30">
        <f t="shared" si="33"/>
        <v>481.58135044086185</v>
      </c>
    </row>
    <row r="52" spans="1:25" ht="15" customHeight="1" x14ac:dyDescent="0.2">
      <c r="B52" s="32" t="s">
        <v>31</v>
      </c>
      <c r="C52" s="33"/>
      <c r="D52" s="33"/>
      <c r="E52" s="32">
        <f t="shared" ref="E52:N52" si="34">E51/E45</f>
        <v>0.11149921238271353</v>
      </c>
      <c r="F52" s="32">
        <f t="shared" si="34"/>
        <v>0.10065189048239896</v>
      </c>
      <c r="G52" s="32">
        <f t="shared" si="34"/>
        <v>9.6623283152402081E-2</v>
      </c>
      <c r="H52" s="32">
        <f t="shared" si="34"/>
        <v>6.2057435090479944E-2</v>
      </c>
      <c r="I52" s="32">
        <f t="shared" si="34"/>
        <v>1.9159127195316657E-2</v>
      </c>
      <c r="J52" s="32">
        <f t="shared" si="34"/>
        <v>0.11150822015725517</v>
      </c>
      <c r="K52" s="32">
        <f t="shared" si="34"/>
        <v>0.55653710247349819</v>
      </c>
      <c r="L52" s="32">
        <f t="shared" si="34"/>
        <v>8.9213919312352688E-2</v>
      </c>
      <c r="M52" s="32">
        <f t="shared" si="34"/>
        <v>0.10234386373562383</v>
      </c>
      <c r="N52" s="32">
        <f t="shared" si="34"/>
        <v>0.11091142490372273</v>
      </c>
      <c r="O52" s="43">
        <f>'Sources &amp; Checks'!$B$14</f>
        <v>0.12</v>
      </c>
      <c r="P52" s="43">
        <f>'Sources &amp; Checks'!$B$14</f>
        <v>0.12</v>
      </c>
      <c r="Q52" s="43">
        <f>'Sources &amp; Checks'!$B$14</f>
        <v>0.12</v>
      </c>
      <c r="R52" s="43">
        <f>'Sources &amp; Checks'!$B$14</f>
        <v>0.12</v>
      </c>
      <c r="S52" s="43">
        <f>'Sources &amp; Checks'!$B$14</f>
        <v>0.12</v>
      </c>
      <c r="T52" s="43">
        <f>'Sources &amp; Checks'!$B$14</f>
        <v>0.12</v>
      </c>
      <c r="U52" s="43">
        <f>'Sources &amp; Checks'!$B$14</f>
        <v>0.12</v>
      </c>
      <c r="V52" s="43">
        <f>'Sources &amp; Checks'!$B$14</f>
        <v>0.12</v>
      </c>
      <c r="W52" s="43">
        <f>'Sources &amp; Checks'!$B$14</f>
        <v>0.12</v>
      </c>
      <c r="X52" s="43">
        <f>'Sources &amp; Checks'!$B$14</f>
        <v>0.12</v>
      </c>
    </row>
    <row r="54" spans="1:25" ht="15.75" customHeight="1" x14ac:dyDescent="0.2">
      <c r="A54" s="44" t="s">
        <v>8</v>
      </c>
      <c r="B54" s="45" t="s">
        <v>42</v>
      </c>
      <c r="C54" s="46"/>
      <c r="D54" s="46"/>
      <c r="E54" s="46"/>
      <c r="F54" s="46"/>
      <c r="G54" s="46"/>
      <c r="H54" s="46"/>
      <c r="I54" s="46"/>
      <c r="J54" s="46"/>
      <c r="K54" s="46"/>
      <c r="L54" s="46"/>
      <c r="M54" s="46"/>
      <c r="N54" s="46"/>
      <c r="O54" s="47">
        <f t="shared" ref="O54:X54" si="35">O45-O51</f>
        <v>2305.8352165463998</v>
      </c>
      <c r="P54" s="47">
        <f t="shared" si="35"/>
        <v>2495.9897607375933</v>
      </c>
      <c r="Q54" s="47">
        <f t="shared" si="35"/>
        <v>2680.7762026908667</v>
      </c>
      <c r="R54" s="47">
        <f t="shared" si="35"/>
        <v>2856.6351215873874</v>
      </c>
      <c r="S54" s="47">
        <f t="shared" si="35"/>
        <v>3019.9394293714658</v>
      </c>
      <c r="T54" s="47">
        <f t="shared" si="35"/>
        <v>3167.1111442295019</v>
      </c>
      <c r="U54" s="47">
        <f t="shared" si="35"/>
        <v>3294.7457233419509</v>
      </c>
      <c r="V54" s="47">
        <f t="shared" si="35"/>
        <v>3399.7382870591141</v>
      </c>
      <c r="W54" s="47">
        <f t="shared" si="35"/>
        <v>3479.405487585866</v>
      </c>
      <c r="X54" s="47">
        <f t="shared" si="35"/>
        <v>3531.5965698996538</v>
      </c>
      <c r="Y54" s="47">
        <f>X54*(1+Y40)</f>
        <v>3584.5705184481481</v>
      </c>
    </row>
    <row r="55" spans="1:25" ht="15.75" customHeight="1" x14ac:dyDescent="0.2"/>
    <row r="56" spans="1:25" ht="15" customHeight="1" x14ac:dyDescent="0.2">
      <c r="B56" s="29" t="s">
        <v>33</v>
      </c>
      <c r="E56" s="30">
        <f t="shared" ref="E56:N56" si="36">E28</f>
        <v>427.3</v>
      </c>
      <c r="F56" s="30">
        <f t="shared" si="36"/>
        <v>497.5</v>
      </c>
      <c r="G56" s="30">
        <f t="shared" si="36"/>
        <v>561</v>
      </c>
      <c r="H56" s="30">
        <f t="shared" si="36"/>
        <v>640.5</v>
      </c>
      <c r="I56" s="30">
        <f t="shared" si="36"/>
        <v>748.7</v>
      </c>
      <c r="J56" s="30">
        <f t="shared" si="36"/>
        <v>571</v>
      </c>
      <c r="K56" s="30">
        <f t="shared" si="36"/>
        <v>719.4</v>
      </c>
      <c r="L56" s="30">
        <f t="shared" si="36"/>
        <v>923.2</v>
      </c>
      <c r="M56" s="30">
        <f t="shared" si="36"/>
        <v>1059.5</v>
      </c>
      <c r="N56" s="30">
        <f t="shared" si="36"/>
        <v>1214.4000000000001</v>
      </c>
      <c r="O56" s="30">
        <f t="shared" ref="O56:X56" si="37">O57*O39</f>
        <v>1224.921701325</v>
      </c>
      <c r="P56" s="30">
        <f t="shared" si="37"/>
        <v>1325.9369109609352</v>
      </c>
      <c r="Q56" s="30">
        <f t="shared" si="37"/>
        <v>1424.1004402690764</v>
      </c>
      <c r="R56" s="30">
        <f t="shared" si="37"/>
        <v>1517.5214291507277</v>
      </c>
      <c r="S56" s="30">
        <f t="shared" si="37"/>
        <v>1604.2730708505107</v>
      </c>
      <c r="T56" s="30">
        <f t="shared" si="37"/>
        <v>1682.4546451699591</v>
      </c>
      <c r="U56" s="30">
        <f t="shared" si="37"/>
        <v>1750.2575673703084</v>
      </c>
      <c r="V56" s="30">
        <f t="shared" si="37"/>
        <v>1806.0324418505088</v>
      </c>
      <c r="W56" s="30">
        <f t="shared" si="37"/>
        <v>1848.3538020712058</v>
      </c>
      <c r="X56" s="30">
        <f t="shared" si="37"/>
        <v>1876.0791091022738</v>
      </c>
    </row>
    <row r="57" spans="1:25" ht="15" customHeight="1" x14ac:dyDescent="0.2">
      <c r="B57" s="32" t="s">
        <v>29</v>
      </c>
      <c r="C57" s="35"/>
      <c r="E57" s="32">
        <f t="shared" ref="E57:N57" si="38">E56/E20</f>
        <v>6.5378377551332661E-2</v>
      </c>
      <c r="F57" s="32">
        <f t="shared" si="38"/>
        <v>7.4836788110352298E-2</v>
      </c>
      <c r="G57" s="32">
        <f t="shared" si="38"/>
        <v>7.845056635435603E-2</v>
      </c>
      <c r="H57" s="32">
        <f t="shared" si="38"/>
        <v>8.3209915036246015E-2</v>
      </c>
      <c r="I57" s="32">
        <f t="shared" si="38"/>
        <v>8.8136271601450308E-2</v>
      </c>
      <c r="J57" s="32">
        <f t="shared" si="38"/>
        <v>0.349064677833476</v>
      </c>
      <c r="K57" s="32">
        <f t="shared" si="38"/>
        <v>0.14984690370555523</v>
      </c>
      <c r="L57" s="32">
        <f t="shared" si="38"/>
        <v>8.5678224070086864E-2</v>
      </c>
      <c r="M57" s="32">
        <f t="shared" si="38"/>
        <v>7.8809562772430425E-2</v>
      </c>
      <c r="N57" s="32">
        <f t="shared" si="38"/>
        <v>8.7063125067211533E-2</v>
      </c>
      <c r="O57" s="43">
        <f>'Sources &amp; Checks'!$B$21</f>
        <v>8.0500000000000002E-2</v>
      </c>
      <c r="P57" s="43">
        <f>'Sources &amp; Checks'!$B$21</f>
        <v>8.0500000000000002E-2</v>
      </c>
      <c r="Q57" s="43">
        <f>'Sources &amp; Checks'!$B$21</f>
        <v>8.0500000000000002E-2</v>
      </c>
      <c r="R57" s="43">
        <f>'Sources &amp; Checks'!$B$21</f>
        <v>8.0500000000000002E-2</v>
      </c>
      <c r="S57" s="43">
        <f>'Sources &amp; Checks'!$B$21</f>
        <v>8.0500000000000002E-2</v>
      </c>
      <c r="T57" s="43">
        <f>'Sources &amp; Checks'!$B$21</f>
        <v>8.0500000000000002E-2</v>
      </c>
      <c r="U57" s="43">
        <f>'Sources &amp; Checks'!$B$21</f>
        <v>8.0500000000000002E-2</v>
      </c>
      <c r="V57" s="43">
        <f>'Sources &amp; Checks'!$B$21</f>
        <v>8.0500000000000002E-2</v>
      </c>
      <c r="W57" s="43">
        <f>'Sources &amp; Checks'!$B$21</f>
        <v>8.0500000000000002E-2</v>
      </c>
      <c r="X57" s="43">
        <f>'Sources &amp; Checks'!$B$21</f>
        <v>8.0500000000000002E-2</v>
      </c>
    </row>
    <row r="58" spans="1:25" ht="15" customHeight="1" x14ac:dyDescent="0.2">
      <c r="C58" s="35"/>
    </row>
    <row r="59" spans="1:25" ht="15" customHeight="1" x14ac:dyDescent="0.2">
      <c r="B59" s="29" t="s">
        <v>34</v>
      </c>
      <c r="E59" s="30">
        <f t="shared" ref="E59:N59" si="39">E31</f>
        <v>1217.7</v>
      </c>
      <c r="F59" s="30">
        <f t="shared" si="39"/>
        <v>1449.8</v>
      </c>
      <c r="G59" s="30">
        <f t="shared" si="39"/>
        <v>1470.6</v>
      </c>
      <c r="H59" s="30">
        <f t="shared" si="39"/>
        <v>1546.7</v>
      </c>
      <c r="I59" s="30">
        <f t="shared" si="39"/>
        <v>578.79999999999995</v>
      </c>
      <c r="J59" s="30">
        <f t="shared" si="39"/>
        <v>294.7</v>
      </c>
      <c r="K59" s="30">
        <f t="shared" si="39"/>
        <v>1181.5999999999999</v>
      </c>
      <c r="L59" s="30">
        <f t="shared" si="39"/>
        <v>1914.7</v>
      </c>
      <c r="M59" s="30">
        <f t="shared" si="39"/>
        <v>2391.9</v>
      </c>
      <c r="N59" s="30">
        <f t="shared" si="39"/>
        <v>1552.5</v>
      </c>
      <c r="O59" s="30">
        <f t="shared" ref="O59:X59" si="40">O60*O39</f>
        <v>2781.5613292199996</v>
      </c>
      <c r="P59" s="30">
        <f t="shared" si="40"/>
        <v>2952.490909372134</v>
      </c>
      <c r="Q59" s="30">
        <f t="shared" si="40"/>
        <v>3099.7001312923967</v>
      </c>
      <c r="R59" s="30">
        <f t="shared" si="40"/>
        <v>3215.8159591024528</v>
      </c>
      <c r="S59" s="30">
        <f t="shared" si="40"/>
        <v>3292.8282420506262</v>
      </c>
      <c r="T59" s="30">
        <f t="shared" si="40"/>
        <v>3321.9838117958161</v>
      </c>
      <c r="U59" s="30">
        <f t="shared" si="40"/>
        <v>3293.5245734216437</v>
      </c>
      <c r="V59" s="30">
        <f t="shared" si="40"/>
        <v>3196.1420861707434</v>
      </c>
      <c r="W59" s="30">
        <f t="shared" si="40"/>
        <v>3015.9105542982115</v>
      </c>
      <c r="X59" s="30">
        <f t="shared" si="40"/>
        <v>2734.2203228590711</v>
      </c>
    </row>
    <row r="60" spans="1:25" ht="15" customHeight="1" x14ac:dyDescent="0.2">
      <c r="B60" s="32" t="s">
        <v>29</v>
      </c>
      <c r="C60" s="33"/>
      <c r="E60" s="32">
        <f t="shared" ref="E60:N60" si="41">E59/E20</f>
        <v>0.18631231065822088</v>
      </c>
      <c r="F60" s="32">
        <f t="shared" si="41"/>
        <v>0.21808718673846986</v>
      </c>
      <c r="G60" s="32">
        <f t="shared" si="41"/>
        <v>0.20564955950216751</v>
      </c>
      <c r="H60" s="32">
        <f t="shared" si="41"/>
        <v>0.2009379790578637</v>
      </c>
      <c r="I60" s="32">
        <f t="shared" si="41"/>
        <v>6.8135800725149506E-2</v>
      </c>
      <c r="J60" s="32">
        <f t="shared" si="41"/>
        <v>0.18015649834943148</v>
      </c>
      <c r="K60" s="32">
        <f t="shared" si="41"/>
        <v>0.24612051906934115</v>
      </c>
      <c r="L60" s="32">
        <f t="shared" si="41"/>
        <v>0.17769507758556685</v>
      </c>
      <c r="M60" s="32">
        <f t="shared" si="41"/>
        <v>0.17791844567756143</v>
      </c>
      <c r="N60" s="32">
        <f t="shared" si="41"/>
        <v>0.11130229056887837</v>
      </c>
      <c r="O60" s="43">
        <f>'Sources &amp; Checks'!$B$22</f>
        <v>0.18279999999999999</v>
      </c>
      <c r="P60" s="48">
        <f t="shared" ref="P60:X60" si="42">P57+P64*P46*(1-P52)-P63</f>
        <v>0.17925100073743946</v>
      </c>
      <c r="Q60" s="48">
        <f t="shared" si="42"/>
        <v>0.17521647596843051</v>
      </c>
      <c r="R60" s="48">
        <f t="shared" si="42"/>
        <v>0.17058947553223308</v>
      </c>
      <c r="S60" s="48">
        <f t="shared" si="42"/>
        <v>0.16522914851680845</v>
      </c>
      <c r="T60" s="48">
        <f t="shared" si="42"/>
        <v>0.1589461550225319</v>
      </c>
      <c r="U60" s="48">
        <f t="shared" si="42"/>
        <v>0.15147983537005219</v>
      </c>
      <c r="V60" s="48">
        <f t="shared" si="42"/>
        <v>0.14246113855691278</v>
      </c>
      <c r="W60" s="48">
        <f t="shared" si="42"/>
        <v>0.13134974448558154</v>
      </c>
      <c r="X60" s="48">
        <f t="shared" si="42"/>
        <v>0.1173216709904509</v>
      </c>
    </row>
    <row r="62" spans="1:25" ht="15" customHeight="1" x14ac:dyDescent="0.2">
      <c r="B62" s="29" t="s">
        <v>35</v>
      </c>
      <c r="E62" s="30">
        <f t="shared" ref="E62:N62" si="43">E34</f>
        <v>-135.6</v>
      </c>
      <c r="F62" s="30">
        <f t="shared" si="43"/>
        <v>-113.1</v>
      </c>
      <c r="G62" s="30">
        <f t="shared" si="43"/>
        <v>-168.9</v>
      </c>
      <c r="H62" s="30">
        <f t="shared" si="43"/>
        <v>-514.29999999999995</v>
      </c>
      <c r="I62" s="30">
        <f t="shared" si="43"/>
        <v>388.5</v>
      </c>
      <c r="J62" s="30">
        <f t="shared" si="43"/>
        <v>1703.2</v>
      </c>
      <c r="K62" s="30">
        <f t="shared" si="43"/>
        <v>-1785.9</v>
      </c>
      <c r="L62" s="30">
        <f t="shared" si="43"/>
        <v>-1353.9</v>
      </c>
      <c r="M62" s="30">
        <f t="shared" si="43"/>
        <v>-19</v>
      </c>
      <c r="N62" s="30">
        <f t="shared" si="43"/>
        <v>-480.3</v>
      </c>
      <c r="O62" s="30">
        <f t="shared" ref="O62:X62" si="44">O63*O39</f>
        <v>-436.71121525500001</v>
      </c>
      <c r="P62" s="30">
        <f t="shared" si="44"/>
        <v>-456.32551079571277</v>
      </c>
      <c r="Q62" s="30">
        <f t="shared" si="44"/>
        <v>-470.08515280908415</v>
      </c>
      <c r="R62" s="30">
        <f t="shared" si="44"/>
        <v>-476.45213108127587</v>
      </c>
      <c r="S62" s="30">
        <f t="shared" si="44"/>
        <v>-473.71977921254472</v>
      </c>
      <c r="T62" s="30">
        <f t="shared" si="44"/>
        <v>-459.96566062719552</v>
      </c>
      <c r="U62" s="30">
        <f t="shared" si="44"/>
        <v>-432.95956083747149</v>
      </c>
      <c r="V62" s="30">
        <f t="shared" si="44"/>
        <v>-389.99165974575493</v>
      </c>
      <c r="W62" s="30">
        <f t="shared" si="44"/>
        <v>-327.55502237453629</v>
      </c>
      <c r="X62" s="30">
        <f t="shared" si="44"/>
        <v>-240.74929457302139</v>
      </c>
    </row>
    <row r="63" spans="1:25" ht="15" customHeight="1" x14ac:dyDescent="0.2">
      <c r="B63" s="32" t="s">
        <v>29</v>
      </c>
      <c r="C63" s="35"/>
      <c r="E63" s="32">
        <f t="shared" ref="E63:N63" si="45">E62/E20</f>
        <v>-2.0747268888276875E-2</v>
      </c>
      <c r="F63" s="32">
        <f t="shared" si="45"/>
        <v>-1.7013147206594661E-2</v>
      </c>
      <c r="G63" s="32">
        <f t="shared" si="45"/>
        <v>-2.3619074255348902E-2</v>
      </c>
      <c r="H63" s="32">
        <f t="shared" si="45"/>
        <v>-6.6814768623171455E-2</v>
      </c>
      <c r="I63" s="32">
        <f t="shared" si="45"/>
        <v>4.5733860714790228E-2</v>
      </c>
      <c r="J63" s="32">
        <f t="shared" si="45"/>
        <v>1.0412030810612545</v>
      </c>
      <c r="K63" s="32">
        <f t="shared" si="45"/>
        <v>-0.37199275135912019</v>
      </c>
      <c r="L63" s="32">
        <f t="shared" si="45"/>
        <v>-0.12564963991387632</v>
      </c>
      <c r="M63" s="32">
        <f t="shared" si="45"/>
        <v>-1.413290885017629E-3</v>
      </c>
      <c r="N63" s="32">
        <f t="shared" si="45"/>
        <v>-3.4433810087106144E-2</v>
      </c>
      <c r="O63" s="43">
        <f>'Sources &amp; Checks'!$B$23</f>
        <v>-2.87E-2</v>
      </c>
      <c r="P63" s="48">
        <f>P64*P46*(1-P52)*'Sources &amp; Checks'!$B$23/('Sources &amp; Checks'!$B$22-'Sources &amp; Checks'!$B$21+'Sources &amp; Checks'!$B$23)</f>
        <v>-2.7704337450288496E-2</v>
      </c>
      <c r="Q63" s="48">
        <f>Q64*Q46*(1-Q52)*'Sources &amp; Checks'!$B$23/('Sources &amp; Checks'!$B$22-'Sources &amp; Checks'!$B$21+'Sources &amp; Checks'!$B$23)</f>
        <v>-2.657246197745803E-2</v>
      </c>
      <c r="R63" s="48">
        <f>R64*R46*(1-R52)*'Sources &amp; Checks'!$B$23/('Sources &amp; Checks'!$B$22-'Sources &amp; Checks'!$B$21+'Sources &amp; Checks'!$B$23)</f>
        <v>-2.5274368990958848E-2</v>
      </c>
      <c r="S63" s="48">
        <f>S64*S46*(1-S52)*'Sources &amp; Checks'!$B$23/('Sources &amp; Checks'!$B$22-'Sources &amp; Checks'!$B$21+'Sources &amp; Checks'!$B$23)</f>
        <v>-2.3770543132281555E-2</v>
      </c>
      <c r="T63" s="48">
        <f>T64*T46*(1-T52)*'Sources &amp; Checks'!$B$23/('Sources &amp; Checks'!$B$22-'Sources &amp; Checks'!$B$21+'Sources &amp; Checks'!$B$23)</f>
        <v>-2.2007865583056358E-2</v>
      </c>
      <c r="U63" s="48">
        <f>U64*U46*(1-U52)*'Sources &amp; Checks'!$B$23/('Sources &amp; Checks'!$B$22-'Sources &amp; Checks'!$B$21+'Sources &amp; Checks'!$B$23)</f>
        <v>-1.9913208945459414E-2</v>
      </c>
      <c r="V63" s="48">
        <f>V64*V46*(1-V52)*'Sources &amp; Checks'!$B$23/('Sources &amp; Checks'!$B$22-'Sources &amp; Checks'!$B$21+'Sources &amp; Checks'!$B$23)</f>
        <v>-1.7383036916748744E-2</v>
      </c>
      <c r="W63" s="48">
        <f>W64*W46*(1-W52)*'Sources &amp; Checks'!$B$23/('Sources &amp; Checks'!$B$22-'Sources &amp; Checks'!$B$21+'Sources &amp; Checks'!$B$23)</f>
        <v>-1.4265764093217888E-2</v>
      </c>
      <c r="X63" s="48">
        <f>X64*X46*(1-X52)*'Sources &amp; Checks'!$B$23/('Sources &amp; Checks'!$B$22-'Sources &amp; Checks'!$B$21+'Sources &amp; Checks'!$B$23)</f>
        <v>-1.03302244127658E-2</v>
      </c>
    </row>
    <row r="64" spans="1:25" ht="15" customHeight="1" x14ac:dyDescent="0.2">
      <c r="B64" s="32" t="s">
        <v>43</v>
      </c>
      <c r="O64" s="48">
        <f t="shared" ref="O64:Y64" si="46">O40/O65</f>
        <v>0.48569316861999778</v>
      </c>
      <c r="P64" s="48">
        <f t="shared" si="46"/>
        <v>0.46884346483443523</v>
      </c>
      <c r="Q64" s="48">
        <f t="shared" si="46"/>
        <v>0.44968861518696873</v>
      </c>
      <c r="R64" s="48">
        <f t="shared" si="46"/>
        <v>0.42772084878361738</v>
      </c>
      <c r="S64" s="48">
        <f t="shared" si="46"/>
        <v>0.40227144298732248</v>
      </c>
      <c r="T64" s="48">
        <f t="shared" si="46"/>
        <v>0.37244146235531844</v>
      </c>
      <c r="U64" s="48">
        <f t="shared" si="46"/>
        <v>0.33699336411541003</v>
      </c>
      <c r="V64" s="48">
        <f t="shared" si="46"/>
        <v>0.29417499234613576</v>
      </c>
      <c r="W64" s="48">
        <f t="shared" si="46"/>
        <v>0.24142105105297512</v>
      </c>
      <c r="X64" s="48">
        <f t="shared" si="46"/>
        <v>0.17481949225058804</v>
      </c>
      <c r="Y64" s="48">
        <f t="shared" si="46"/>
        <v>0.17481949225058821</v>
      </c>
    </row>
    <row r="65" spans="1:25" ht="15" customHeight="1" x14ac:dyDescent="0.2">
      <c r="B65" s="32" t="s">
        <v>44</v>
      </c>
      <c r="O65" s="48">
        <f>O40/(('Sources &amp; Checks'!$B$22-'Sources &amp; Checks'!$B$21+'Sources &amp; Checks'!$B$23)/(O46*(1-O52)))</f>
        <v>0.18715519565217395</v>
      </c>
      <c r="P65" s="48">
        <f t="shared" ref="P65:X65" si="47">O65-($O$65-$D$16)/$D$18</f>
        <v>0.17589381713103003</v>
      </c>
      <c r="Q65" s="48">
        <f t="shared" si="47"/>
        <v>0.16463243860988611</v>
      </c>
      <c r="R65" s="48">
        <f t="shared" si="47"/>
        <v>0.15337106008874218</v>
      </c>
      <c r="S65" s="48">
        <f t="shared" si="47"/>
        <v>0.14210968156759826</v>
      </c>
      <c r="T65" s="48">
        <f t="shared" si="47"/>
        <v>0.13084830304645434</v>
      </c>
      <c r="U65" s="48">
        <f t="shared" si="47"/>
        <v>0.11958692452531042</v>
      </c>
      <c r="V65" s="48">
        <f t="shared" si="47"/>
        <v>0.1083255460041665</v>
      </c>
      <c r="W65" s="48">
        <f t="shared" si="47"/>
        <v>9.7064167483022573E-2</v>
      </c>
      <c r="X65" s="48">
        <f t="shared" si="47"/>
        <v>8.5802788961878651E-2</v>
      </c>
      <c r="Y65" s="48">
        <f>$D$16</f>
        <v>8.5802788961878651E-2</v>
      </c>
    </row>
    <row r="66" spans="1:25" ht="15" customHeight="1" x14ac:dyDescent="0.2">
      <c r="A66" s="44" t="s">
        <v>8</v>
      </c>
      <c r="B66" s="49" t="s">
        <v>45</v>
      </c>
      <c r="C66" s="50"/>
      <c r="D66" s="50"/>
      <c r="E66" s="50"/>
      <c r="F66" s="50"/>
      <c r="G66" s="50"/>
      <c r="H66" s="50"/>
      <c r="I66" s="50"/>
      <c r="J66" s="50"/>
      <c r="K66" s="50"/>
      <c r="L66" s="50"/>
      <c r="M66" s="50"/>
      <c r="N66" s="50"/>
      <c r="O66" s="51">
        <f t="shared" ref="O66:X66" si="48">O54+O56-O59-O62</f>
        <v>1185.9068039064002</v>
      </c>
      <c r="P66" s="51">
        <f t="shared" si="48"/>
        <v>1325.7612731221072</v>
      </c>
      <c r="Q66" s="51">
        <f t="shared" si="48"/>
        <v>1475.261664476631</v>
      </c>
      <c r="R66" s="51">
        <f t="shared" si="48"/>
        <v>1634.7927227169378</v>
      </c>
      <c r="S66" s="51">
        <f t="shared" si="48"/>
        <v>1805.104037383895</v>
      </c>
      <c r="T66" s="51">
        <f t="shared" si="48"/>
        <v>1987.5476382308407</v>
      </c>
      <c r="U66" s="51">
        <f t="shared" si="48"/>
        <v>2184.4382781280874</v>
      </c>
      <c r="V66" s="51">
        <f t="shared" si="48"/>
        <v>2399.620302484635</v>
      </c>
      <c r="W66" s="51">
        <f t="shared" si="48"/>
        <v>2639.4037577333961</v>
      </c>
      <c r="X66" s="51">
        <f t="shared" si="48"/>
        <v>2914.2046507158784</v>
      </c>
      <c r="Y66" s="51">
        <f>Y54*(1-Y64)</f>
        <v>2957.9177204766152</v>
      </c>
    </row>
    <row r="67" spans="1:25" ht="15" customHeight="1" x14ac:dyDescent="0.2">
      <c r="B67" s="52" t="s">
        <v>46</v>
      </c>
      <c r="C67" s="7"/>
      <c r="D67" s="7"/>
      <c r="E67" s="7"/>
      <c r="F67" s="7"/>
      <c r="G67" s="7"/>
      <c r="H67" s="7"/>
      <c r="I67" s="7"/>
      <c r="J67" s="7"/>
      <c r="K67" s="7"/>
      <c r="L67" s="7"/>
      <c r="M67" s="7"/>
      <c r="N67" s="7"/>
      <c r="O67" s="53">
        <f>O66*$O$70/(1+$D$16)^O71</f>
        <v>82.11957936015763</v>
      </c>
      <c r="P67" s="53">
        <f t="shared" ref="P67:X67" si="49">P66/(1+$D$16)^P71</f>
        <v>1265.0484160613917</v>
      </c>
      <c r="Q67" s="53">
        <f t="shared" si="49"/>
        <v>1296.4623909655977</v>
      </c>
      <c r="R67" s="53">
        <f t="shared" si="49"/>
        <v>1323.1302805920575</v>
      </c>
      <c r="S67" s="53">
        <f t="shared" si="49"/>
        <v>1345.5232221825761</v>
      </c>
      <c r="T67" s="53">
        <f t="shared" si="49"/>
        <v>1364.443491179959</v>
      </c>
      <c r="U67" s="53">
        <f t="shared" si="49"/>
        <v>1381.1054290297327</v>
      </c>
      <c r="V67" s="53">
        <f t="shared" si="49"/>
        <v>1397.2645130317992</v>
      </c>
      <c r="W67" s="53">
        <f t="shared" si="49"/>
        <v>1415.4384187401274</v>
      </c>
      <c r="X67" s="53">
        <f t="shared" si="49"/>
        <v>1439.309668517383</v>
      </c>
    </row>
    <row r="70" spans="1:25" ht="15" customHeight="1" x14ac:dyDescent="0.2">
      <c r="A70" s="18" t="s">
        <v>8</v>
      </c>
      <c r="B70" s="54" t="s">
        <v>47</v>
      </c>
      <c r="O70" s="55">
        <f>YEARFRAC(D6,D7)</f>
        <v>6.9444444444444448E-2</v>
      </c>
    </row>
    <row r="71" spans="1:25" ht="15" customHeight="1" x14ac:dyDescent="0.2">
      <c r="B71" s="56" t="s">
        <v>48</v>
      </c>
      <c r="O71" s="56">
        <f>O70/2</f>
        <v>3.4722222222222224E-2</v>
      </c>
      <c r="P71" s="56">
        <f>O70+0.5</f>
        <v>0.56944444444444442</v>
      </c>
      <c r="Q71" s="56">
        <f t="shared" ref="Q71:X71" si="50">P71+1</f>
        <v>1.5694444444444444</v>
      </c>
      <c r="R71" s="56">
        <f t="shared" si="50"/>
        <v>2.5694444444444446</v>
      </c>
      <c r="S71" s="56">
        <f t="shared" si="50"/>
        <v>3.5694444444444446</v>
      </c>
      <c r="T71" s="56">
        <f t="shared" si="50"/>
        <v>4.5694444444444446</v>
      </c>
      <c r="U71" s="56">
        <f t="shared" si="50"/>
        <v>5.5694444444444446</v>
      </c>
      <c r="V71" s="56">
        <f t="shared" si="50"/>
        <v>6.5694444444444446</v>
      </c>
      <c r="W71" s="56">
        <f t="shared" si="50"/>
        <v>7.5694444444444446</v>
      </c>
      <c r="X71" s="56">
        <f t="shared" si="50"/>
        <v>8.5694444444444446</v>
      </c>
    </row>
    <row r="73" spans="1:25" ht="15" customHeight="1" x14ac:dyDescent="0.2">
      <c r="B73" s="30" t="s">
        <v>49</v>
      </c>
      <c r="S73" s="57"/>
      <c r="T73" s="57"/>
      <c r="U73" s="57"/>
      <c r="V73" s="57"/>
      <c r="W73" s="57"/>
      <c r="X73" s="30">
        <f>Y66/(D16-D17)</f>
        <v>41776.853198102195</v>
      </c>
    </row>
    <row r="74" spans="1:25" ht="15" customHeight="1" x14ac:dyDescent="0.2">
      <c r="B74" s="30" t="s">
        <v>50</v>
      </c>
      <c r="S74" s="57"/>
      <c r="T74" s="57"/>
      <c r="U74" s="57"/>
      <c r="V74" s="57"/>
      <c r="W74" s="57"/>
      <c r="X74" s="30">
        <f>X73/(1+D16)^X71</f>
        <v>20633.358303607423</v>
      </c>
    </row>
    <row r="75" spans="1:25" ht="15" customHeight="1" x14ac:dyDescent="0.2">
      <c r="B75" s="30" t="s">
        <v>51</v>
      </c>
      <c r="S75" s="30">
        <f>SUM(O67:X67)+X74</f>
        <v>32943.203713268202</v>
      </c>
      <c r="T75" s="57"/>
      <c r="U75" s="57"/>
      <c r="V75" s="57"/>
      <c r="W75" s="57"/>
      <c r="X75" s="57"/>
    </row>
    <row r="76" spans="1:25" ht="15" customHeight="1" x14ac:dyDescent="0.2">
      <c r="B76" s="30" t="s">
        <v>52</v>
      </c>
      <c r="S76" s="30">
        <f>'Sources &amp; Checks'!$B$6</f>
        <v>2400</v>
      </c>
      <c r="T76" s="57"/>
      <c r="U76" s="57"/>
      <c r="V76" s="57"/>
      <c r="W76" s="57"/>
      <c r="X76" s="57"/>
    </row>
    <row r="77" spans="1:25" ht="15" customHeight="1" x14ac:dyDescent="0.2">
      <c r="B77" s="30" t="s">
        <v>53</v>
      </c>
      <c r="S77" s="30">
        <f>'Sources &amp; Checks'!$B$7</f>
        <v>1500</v>
      </c>
    </row>
    <row r="78" spans="1:25" ht="15" customHeight="1" x14ac:dyDescent="0.2">
      <c r="A78" s="44" t="s">
        <v>8</v>
      </c>
      <c r="B78" s="58" t="s">
        <v>54</v>
      </c>
      <c r="S78" s="30">
        <f>S75+S76-S77</f>
        <v>33843.203713268202</v>
      </c>
      <c r="T78" s="57"/>
      <c r="U78" s="57"/>
      <c r="V78" s="57"/>
      <c r="W78" s="57"/>
      <c r="X78" s="57"/>
    </row>
    <row r="80" spans="1:25" ht="15" customHeight="1" x14ac:dyDescent="0.2">
      <c r="B80" s="59" t="s">
        <v>55</v>
      </c>
      <c r="S80" s="59">
        <f>'Sources &amp; Checks'!$B$9</f>
        <v>1066.8</v>
      </c>
    </row>
    <row r="81" spans="1:24" ht="15" customHeight="1" x14ac:dyDescent="0.2">
      <c r="A81" s="60" t="s">
        <v>8</v>
      </c>
      <c r="B81" s="61" t="s">
        <v>56</v>
      </c>
      <c r="S81" s="62">
        <f>S78/S80</f>
        <v>31.724037976441885</v>
      </c>
      <c r="T81" s="63"/>
      <c r="U81" s="63"/>
      <c r="V81" s="63"/>
      <c r="W81" s="63"/>
      <c r="X81" s="63"/>
    </row>
    <row r="85" spans="1:24" ht="15" customHeight="1" x14ac:dyDescent="0.2">
      <c r="A85" s="64"/>
      <c r="B85" s="65" t="s">
        <v>57</v>
      </c>
      <c r="C85" s="66"/>
      <c r="D85" s="66"/>
      <c r="E85" s="66"/>
      <c r="F85" s="66"/>
      <c r="G85" s="66"/>
      <c r="H85" s="66"/>
      <c r="I85" s="66"/>
      <c r="J85" s="66"/>
      <c r="K85" s="66"/>
      <c r="L85" s="66"/>
      <c r="M85" s="66"/>
      <c r="N85" s="66"/>
    </row>
    <row r="86" spans="1:24" ht="15" customHeight="1" x14ac:dyDescent="0.2">
      <c r="B86" s="67" t="s">
        <v>58</v>
      </c>
      <c r="D86" s="67" t="s">
        <v>59</v>
      </c>
      <c r="F86" s="67" t="s">
        <v>60</v>
      </c>
      <c r="H86" s="67" t="s">
        <v>19</v>
      </c>
      <c r="J86" s="67" t="s">
        <v>21</v>
      </c>
      <c r="L86" s="67" t="s">
        <v>61</v>
      </c>
      <c r="N86" s="67" t="s">
        <v>62</v>
      </c>
    </row>
    <row r="87" spans="1:24" ht="15" customHeight="1" x14ac:dyDescent="0.2">
      <c r="B87" s="68" t="s">
        <v>11</v>
      </c>
      <c r="D87" s="69">
        <f>$H$11</f>
        <v>7.0000000000000007E-2</v>
      </c>
      <c r="F87" s="70">
        <f>$H$13</f>
        <v>0.16</v>
      </c>
      <c r="H87" s="71">
        <f>H16</f>
        <v>9.1999999999999998E-2</v>
      </c>
      <c r="J87" s="70">
        <f>$H$17</f>
        <v>0.01</v>
      </c>
      <c r="L87" s="72">
        <f>Calc!$C$29</f>
        <v>24.900833279001969</v>
      </c>
      <c r="N87" s="70">
        <f>L87/'Sources &amp; Checks'!$B$5-1</f>
        <v>-4.92236243221853E-2</v>
      </c>
    </row>
    <row r="88" spans="1:24" ht="15" customHeight="1" x14ac:dyDescent="0.2">
      <c r="B88" s="73" t="s">
        <v>63</v>
      </c>
      <c r="D88" s="74">
        <f>$L$11</f>
        <v>9.0899999999999995E-2</v>
      </c>
      <c r="F88" s="75">
        <f>$L$13</f>
        <v>0.17219999999999999</v>
      </c>
      <c r="H88" s="76">
        <f>WACC!F22</f>
        <v>8.5802788961878651E-2</v>
      </c>
      <c r="J88" s="75">
        <f>$L$17</f>
        <v>1.4999999999999999E-2</v>
      </c>
      <c r="L88" s="77">
        <f>Calc!$C$48</f>
        <v>31.724037976441885</v>
      </c>
      <c r="N88" s="75">
        <f>L88/'Sources &amp; Checks'!$B$5-1</f>
        <v>0.21130347370912106</v>
      </c>
    </row>
    <row r="89" spans="1:24" ht="15" customHeight="1" x14ac:dyDescent="0.2">
      <c r="B89" s="68" t="s">
        <v>13</v>
      </c>
      <c r="D89" s="69">
        <f>$P$11</f>
        <v>0.11</v>
      </c>
      <c r="F89" s="70">
        <f>$P$13</f>
        <v>0.185</v>
      </c>
      <c r="H89" s="71">
        <f>P16</f>
        <v>8.2000000000000003E-2</v>
      </c>
      <c r="J89" s="70">
        <f>$P$17</f>
        <v>0.02</v>
      </c>
      <c r="L89" s="72">
        <f>Calc!$C$67</f>
        <v>39.333351350977573</v>
      </c>
      <c r="N89" s="70">
        <f>L89/'Sources &amp; Checks'!$B$5-1</f>
        <v>0.50184617605870829</v>
      </c>
    </row>
    <row r="90" spans="1:24" ht="15" customHeight="1" x14ac:dyDescent="0.2">
      <c r="B90" s="78" t="s">
        <v>64</v>
      </c>
    </row>
    <row r="91" spans="1:24" ht="15" customHeight="1" x14ac:dyDescent="0.2">
      <c r="A91" s="64" t="s">
        <v>8</v>
      </c>
      <c r="B91" s="79" t="s">
        <v>65</v>
      </c>
      <c r="C91" s="66"/>
      <c r="D91" s="66"/>
      <c r="E91" s="66"/>
      <c r="F91" s="66"/>
      <c r="G91" s="66"/>
      <c r="H91" s="66"/>
      <c r="I91" s="66"/>
      <c r="J91" s="66"/>
      <c r="K91" s="66"/>
      <c r="L91" s="66"/>
      <c r="M91" s="66"/>
      <c r="N91" s="66"/>
      <c r="O91" s="66"/>
      <c r="P91" s="66"/>
      <c r="Q91" s="66"/>
    </row>
    <row r="92" spans="1:24" ht="15" customHeight="1" x14ac:dyDescent="0.2">
      <c r="B92" s="67" t="s">
        <v>66</v>
      </c>
      <c r="D92" s="80">
        <v>5.0000000000000001E-3</v>
      </c>
      <c r="F92" s="80">
        <v>0.01</v>
      </c>
      <c r="H92" s="80">
        <v>1.4999999999999999E-2</v>
      </c>
      <c r="J92" s="80">
        <v>0.02</v>
      </c>
      <c r="L92" s="80">
        <v>2.5000000000000001E-2</v>
      </c>
    </row>
    <row r="93" spans="1:24" ht="15" customHeight="1" x14ac:dyDescent="0.2">
      <c r="B93" s="81">
        <v>7.4999999999999997E-2</v>
      </c>
      <c r="D93" s="82">
        <f>(SUMPRODUCT(Calc!$F$81:$O$81/(1+$B93)^$O$71:$X$71)-(1-$O$70)*Calc!$F$81/(1+$B93)^$O$71+(Calc!$O$77*(1+D$92)*(1-D$92/$B93)/($B93-D$92))/(1+$B93)^$X$71+'Sources &amp; Checks'!$B$6-'Sources &amp; Checks'!$B$7)/'Sources &amp; Checks'!$B$9</f>
        <v>36.29882881784593</v>
      </c>
      <c r="F93" s="82">
        <f>(SUMPRODUCT(Calc!$F$100:$O$100/(1+$B93)^$O$71:$X$71)-(1-$O$70)*Calc!$F$100/(1+$B93)^$O$71+(Calc!$O$96*(1+F$92)*(1-F$92/$B93)/($B93-F$92))/(1+$B93)^$X$71+'Sources &amp; Checks'!$B$6-'Sources &amp; Checks'!$B$7)/'Sources &amp; Checks'!$B$9</f>
        <v>36.667010563956048</v>
      </c>
      <c r="H93" s="82">
        <f>(SUMPRODUCT(Calc!$F$119:$O$119/(1+$B93)^$O$71:$X$71)-(1-$O$70)*Calc!$F$119/(1+$B93)^$O$71+(Calc!$O$115*(1+H$92)*(1-H$92/$B93)/($B93-H$92))/(1+$B93)^$X$71+'Sources &amp; Checks'!$B$6-'Sources &amp; Checks'!$B$7)/'Sources &amp; Checks'!$B$9</f>
        <v>37.041500000294931</v>
      </c>
      <c r="J93" s="82">
        <f>(SUMPRODUCT(Calc!$F$138:$O$138/(1+$B93)^$O$71:$X$71)-(1-$O$70)*Calc!$F$138/(1+$B93)^$O$71+(Calc!$O$134*(1+J$92)*(1-J$92/$B93)/($B93-J$92))/(1+$B93)^$X$71+'Sources &amp; Checks'!$B$6-'Sources &amp; Checks'!$B$7)/'Sources &amp; Checks'!$B$9</f>
        <v>37.422405431544036</v>
      </c>
      <c r="L93" s="82">
        <f>(SUMPRODUCT(Calc!$F$157:$O$157/(1+$B93)^$O$71:$X$71)-(1-$O$70)*Calc!$F$157/(1+$B93)^$O$71+(Calc!$O$153*(1+L$92)*(1-L$92/$B93)/($B93-L$92))/(1+$B93)^$X$71+'Sources &amp; Checks'!$B$6-'Sources &amp; Checks'!$B$7)/'Sources &amp; Checks'!$B$9</f>
        <v>37.809836823382156</v>
      </c>
    </row>
    <row r="94" spans="1:24" ht="15" customHeight="1" x14ac:dyDescent="0.2">
      <c r="B94" s="81">
        <v>0.08</v>
      </c>
      <c r="D94" s="82">
        <f>(SUMPRODUCT(Calc!$F$81:$O$81/(1+$B94)^$O$71:$X$71)-(1-$O$70)*Calc!$F$81/(1+$B94)^$O$71+(Calc!$O$77*(1+D$92)*(1-D$92/$B94)/($B94-D$92))/(1+$B94)^$X$71+'Sources &amp; Checks'!$B$6-'Sources &amp; Checks'!$B$7)/'Sources &amp; Checks'!$B$9</f>
        <v>33.768954290441982</v>
      </c>
      <c r="F94" s="82">
        <f>(SUMPRODUCT(Calc!$F$100:$O$100/(1+$B94)^$O$71:$X$71)-(1-$O$70)*Calc!$F$100/(1+$B94)^$O$71+(Calc!$O$96*(1+F$92)*(1-F$92/$B94)/($B94-F$92))/(1+$B94)^$X$71+'Sources &amp; Checks'!$B$6-'Sources &amp; Checks'!$B$7)/'Sources &amp; Checks'!$B$9</f>
        <v>34.078689261836281</v>
      </c>
      <c r="H94" s="82">
        <f>(SUMPRODUCT(Calc!$F$119:$O$119/(1+$B94)^$O$71:$X$71)-(1-$O$70)*Calc!$F$119/(1+$B94)^$O$71+(Calc!$O$115*(1+H$92)*(1-H$92/$B94)/($B94-H$92))/(1+$B94)^$X$71+'Sources &amp; Checks'!$B$6-'Sources &amp; Checks'!$B$7)/'Sources &amp; Checks'!$B$9</f>
        <v>34.393375134907664</v>
      </c>
      <c r="J94" s="82">
        <f>(SUMPRODUCT(Calc!$F$138:$O$138/(1+$B94)^$O$71:$X$71)-(1-$O$70)*Calc!$F$138/(1+$B94)^$O$71+(Calc!$O$134*(1+J$92)*(1-J$92/$B94)/($B94-J$92))/(1+$B94)^$X$71+'Sources &amp; Checks'!$B$6-'Sources &amp; Checks'!$B$7)/'Sources &amp; Checks'!$B$9</f>
        <v>34.713091978035649</v>
      </c>
      <c r="L94" s="82">
        <f>(SUMPRODUCT(Calc!$F$157:$O$157/(1+$B94)^$O$71:$X$71)-(1-$O$70)*Calc!$F$157/(1+$B94)^$O$71+(Calc!$O$153*(1+L$92)*(1-L$92/$B94)/($B94-L$92))/(1+$B94)^$X$71+'Sources &amp; Checks'!$B$6-'Sources &amp; Checks'!$B$7)/'Sources &amp; Checks'!$B$9</f>
        <v>35.037921017163775</v>
      </c>
    </row>
    <row r="95" spans="1:24" ht="15" customHeight="1" x14ac:dyDescent="0.2">
      <c r="B95" s="81">
        <v>8.5000000000000006E-2</v>
      </c>
      <c r="D95" s="82">
        <f>(SUMPRODUCT(Calc!$F$81:$O$81/(1+$B95)^$O$71:$X$71)-(1-$O$70)*Calc!$F$81/(1+$B95)^$O$71+(Calc!$O$77*(1+D$92)*(1-D$92/$B95)/($B95-D$92))/(1+$B95)^$X$71+'Sources &amp; Checks'!$B$6-'Sources &amp; Checks'!$B$7)/'Sources &amp; Checks'!$B$9</f>
        <v>31.547024864568428</v>
      </c>
      <c r="F95" s="82">
        <f>(SUMPRODUCT(Calc!$F$100:$O$100/(1+$B95)^$O$71:$X$71)-(1-$O$70)*Calc!$F$100/(1+$B95)^$O$71+(Calc!$O$96*(1+F$92)*(1-F$92/$B95)/($B95-F$92))/(1+$B95)^$X$71+'Sources &amp; Checks'!$B$6-'Sources &amp; Checks'!$B$7)/'Sources &amp; Checks'!$B$9</f>
        <v>31.806876291704832</v>
      </c>
      <c r="H95" s="82">
        <f>(SUMPRODUCT(Calc!$F$119:$O$119/(1+$B95)^$O$71:$X$71)-(1-$O$70)*Calc!$F$119/(1+$B95)^$O$71+(Calc!$O$115*(1+H$92)*(1-H$92/$B95)/($B95-H$92))/(1+$B95)^$X$71+'Sources &amp; Checks'!$B$6-'Sources &amp; Checks'!$B$7)/'Sources &amp; Checks'!$B$9</f>
        <v>32.070535942964113</v>
      </c>
      <c r="J95" s="82">
        <f>(SUMPRODUCT(Calc!$F$138:$O$138/(1+$B95)^$O$71:$X$71)-(1-$O$70)*Calc!$F$138/(1+$B95)^$O$71+(Calc!$O$134*(1+J$92)*(1-J$92/$B95)/($B95-J$92))/(1+$B95)^$X$71+'Sources &amp; Checks'!$B$6-'Sources &amp; Checks'!$B$7)/'Sources &amp; Checks'!$B$9</f>
        <v>32.33806029077612</v>
      </c>
      <c r="L95" s="82">
        <f>(SUMPRODUCT(Calc!$F$157:$O$157/(1+$B95)^$O$71:$X$71)-(1-$O$70)*Calc!$F$157/(1+$B95)^$O$71+(Calc!$O$153*(1+L$92)*(1-L$92/$B95)/($B95-L$92))/(1+$B95)^$X$71+'Sources &amp; Checks'!$B$6-'Sources &amp; Checks'!$B$7)/'Sources &amp; Checks'!$B$9</f>
        <v>32.609506546645179</v>
      </c>
    </row>
    <row r="96" spans="1:24" ht="15" customHeight="1" x14ac:dyDescent="0.2">
      <c r="B96" s="83">
        <f>WACC!F22</f>
        <v>8.5802788961878651E-2</v>
      </c>
      <c r="D96" s="82">
        <f>(SUMPRODUCT(Calc!$F$81:$O$81/(1+$B96)^$O$71:$X$71)-(1-$O$70)*Calc!$F$81/(1+$B96)^$O$71+(Calc!$O$77*(1+D$92)*(1-D$92/$B96)/($B96-D$92))/(1+$B96)^$X$71+'Sources &amp; Checks'!$B$6-'Sources &amp; Checks'!$B$7)/'Sources &amp; Checks'!$B$9</f>
        <v>31.21532840163616</v>
      </c>
      <c r="F96" s="82">
        <f>(SUMPRODUCT(Calc!$F$100:$O$100/(1+$B96)^$O$71:$X$71)-(1-$O$70)*Calc!$F$100/(1+$B96)^$O$71+(Calc!$O$96*(1+F$92)*(1-F$92/$B96)/($B96-F$92))/(1+$B96)^$X$71+'Sources &amp; Checks'!$B$6-'Sources &amp; Checks'!$B$7)/'Sources &amp; Checks'!$B$9</f>
        <v>31.467862194089697</v>
      </c>
      <c r="H96" s="82">
        <f>(SUMPRODUCT(Calc!$F$119:$O$119/(1+$B96)^$O$71:$X$71)-(1-$O$70)*Calc!$F$119/(1+$B96)^$O$71+(Calc!$O$115*(1+H$92)*(1-H$92/$B96)/($B96-H$92))/(1+$B96)^$X$71+'Sources &amp; Checks'!$B$6-'Sources &amp; Checks'!$B$7)/'Sources &amp; Checks'!$B$9</f>
        <v>31.724037976441885</v>
      </c>
      <c r="J96" s="82">
        <f>(SUMPRODUCT(Calc!$F$138:$O$138/(1+$B96)^$O$71:$X$71)-(1-$O$70)*Calc!$F$138/(1+$B96)^$O$71+(Calc!$O$134*(1+J$92)*(1-J$92/$B96)/($B96-J$92))/(1+$B96)^$X$71+'Sources &amp; Checks'!$B$6-'Sources &amp; Checks'!$B$7)/'Sources &amp; Checks'!$B$9</f>
        <v>31.983908805304093</v>
      </c>
      <c r="L96" s="82">
        <f>(SUMPRODUCT(Calc!$F$157:$O$157/(1+$B96)^$O$71:$X$71)-(1-$O$70)*Calc!$F$157/(1+$B96)^$O$71+(Calc!$O$153*(1+L$92)*(1-L$92/$B96)/($B96-L$92))/(1+$B96)^$X$71+'Sources &amp; Checks'!$B$6-'Sources &amp; Checks'!$B$7)/'Sources &amp; Checks'!$B$9</f>
        <v>32.247528415983496</v>
      </c>
    </row>
    <row r="97" spans="2:12" ht="15" customHeight="1" x14ac:dyDescent="0.2">
      <c r="B97" s="81">
        <v>0.09</v>
      </c>
      <c r="D97" s="82">
        <f>(SUMPRODUCT(Calc!$F$81:$O$81/(1+$B97)^$O$71:$X$71)-(1-$O$70)*Calc!$F$81/(1+$B97)^$O$71+(Calc!$O$77*(1+D$92)*(1-D$92/$B97)/($B97-D$92))/(1+$B97)^$X$71+'Sources &amp; Checks'!$B$6-'Sources &amp; Checks'!$B$7)/'Sources &amp; Checks'!$B$9</f>
        <v>29.581338235139118</v>
      </c>
      <c r="F97" s="82">
        <f>(SUMPRODUCT(Calc!$F$100:$O$100/(1+$B97)^$O$71:$X$71)-(1-$O$70)*Calc!$F$100/(1+$B97)^$O$71+(Calc!$O$96*(1+F$92)*(1-F$92/$B97)/($B97-F$92))/(1+$B97)^$X$71+'Sources &amp; Checks'!$B$6-'Sources &amp; Checks'!$B$7)/'Sources &amp; Checks'!$B$9</f>
        <v>29.79836044538898</v>
      </c>
      <c r="H97" s="82">
        <f>(SUMPRODUCT(Calc!$F$119:$O$119/(1+$B97)^$O$71:$X$71)-(1-$O$70)*Calc!$F$119/(1+$B97)^$O$71+(Calc!$O$115*(1+H$92)*(1-H$92/$B97)/($B97-H$92))/(1+$B97)^$X$71+'Sources &amp; Checks'!$B$6-'Sources &amp; Checks'!$B$7)/'Sources &amp; Checks'!$B$9</f>
        <v>30.018223747198196</v>
      </c>
      <c r="J97" s="82">
        <f>(SUMPRODUCT(Calc!$F$138:$O$138/(1+$B97)^$O$71:$X$71)-(1-$O$70)*Calc!$F$138/(1+$B97)^$O$71+(Calc!$O$134*(1+J$92)*(1-J$92/$B97)/($B97-J$92))/(1+$B97)^$X$71+'Sources &amp; Checks'!$B$6-'Sources &amp; Checks'!$B$7)/'Sources &amp; Checks'!$B$9</f>
        <v>30.240964810954551</v>
      </c>
      <c r="L97" s="82">
        <f>(SUMPRODUCT(Calc!$F$157:$O$157/(1+$B97)^$O$71:$X$71)-(1-$O$70)*Calc!$F$157/(1+$B97)^$O$71+(Calc!$O$153*(1+L$92)*(1-L$92/$B97)/($B97-L$92))/(1+$B97)^$X$71+'Sources &amp; Checks'!$B$6-'Sources &amp; Checks'!$B$7)/'Sources &amp; Checks'!$B$9</f>
        <v>30.46662069695099</v>
      </c>
    </row>
    <row r="98" spans="2:12" ht="15" customHeight="1" x14ac:dyDescent="0.2">
      <c r="B98" s="81">
        <v>9.5000000000000001E-2</v>
      </c>
      <c r="D98" s="82">
        <f>(SUMPRODUCT(Calc!$F$81:$O$81/(1+$B98)^$O$71:$X$71)-(1-$O$70)*Calc!$F$81/(1+$B98)^$O$71+(Calc!$O$77*(1+D$92)*(1-D$92/$B98)/($B98-D$92))/(1+$B98)^$X$71+'Sources &amp; Checks'!$B$6-'Sources &amp; Checks'!$B$7)/'Sources &amp; Checks'!$B$9</f>
        <v>27.831092754651053</v>
      </c>
      <c r="F98" s="82">
        <f>(SUMPRODUCT(Calc!$F$100:$O$100/(1+$B98)^$O$71:$X$71)-(1-$O$70)*Calc!$F$100/(1+$B98)^$O$71+(Calc!$O$96*(1+F$92)*(1-F$92/$B98)/($B98-F$92))/(1+$B98)^$X$71+'Sources &amp; Checks'!$B$6-'Sources &amp; Checks'!$B$7)/'Sources &amp; Checks'!$B$9</f>
        <v>28.011153030118937</v>
      </c>
      <c r="H98" s="82">
        <f>(SUMPRODUCT(Calc!$F$119:$O$119/(1+$B98)^$O$71:$X$71)-(1-$O$70)*Calc!$F$119/(1+$B98)^$O$71+(Calc!$O$115*(1+H$92)*(1-H$92/$B98)/($B98-H$92))/(1+$B98)^$X$71+'Sources &amp; Checks'!$B$6-'Sources &amp; Checks'!$B$7)/'Sources &amp; Checks'!$B$9</f>
        <v>28.193232518976256</v>
      </c>
      <c r="J98" s="82">
        <f>(SUMPRODUCT(Calc!$F$138:$O$138/(1+$B98)^$O$71:$X$71)-(1-$O$70)*Calc!$F$138/(1+$B98)^$O$71+(Calc!$O$134*(1+J$92)*(1-J$92/$B98)/($B98-J$92))/(1+$B98)^$X$71+'Sources &amp; Checks'!$B$6-'Sources &amp; Checks'!$B$7)/'Sources &amp; Checks'!$B$9</f>
        <v>28.37735121931912</v>
      </c>
      <c r="L98" s="82">
        <f>(SUMPRODUCT(Calc!$F$157:$O$157/(1+$B98)^$O$71:$X$71)-(1-$O$70)*Calc!$F$157/(1+$B98)^$O$71+(Calc!$O$153*(1+L$92)*(1-L$92/$B98)/($B98-L$92))/(1+$B98)^$X$71+'Sources &amp; Checks'!$B$6-'Sources &amp; Checks'!$B$7)/'Sources &amp; Checks'!$B$9</f>
        <v>28.56352922704912</v>
      </c>
    </row>
    <row r="99" spans="2:12" ht="15" customHeight="1" x14ac:dyDescent="0.2">
      <c r="B99" s="81">
        <v>0.1</v>
      </c>
      <c r="D99" s="82">
        <f>(SUMPRODUCT(Calc!$F$81:$O$81/(1+$B99)^$O$71:$X$71)-(1-$O$70)*Calc!$F$81/(1+$B99)^$O$71+(Calc!$O$77*(1+D$92)*(1-D$92/$B99)/($B99-D$92))/(1+$B99)^$X$71+'Sources &amp; Checks'!$B$6-'Sources &amp; Checks'!$B$7)/'Sources &amp; Checks'!$B$9</f>
        <v>26.263661512501351</v>
      </c>
      <c r="F99" s="82">
        <f>(SUMPRODUCT(Calc!$F$100:$O$100/(1+$B99)^$O$71:$X$71)-(1-$O$70)*Calc!$F$100/(1+$B99)^$O$71+(Calc!$O$96*(1+F$92)*(1-F$92/$B99)/($B99-F$92))/(1+$B99)^$X$71+'Sources &amp; Checks'!$B$6-'Sources &amp; Checks'!$B$7)/'Sources &amp; Checks'!$B$9</f>
        <v>26.411681253280847</v>
      </c>
      <c r="H99" s="82">
        <f>(SUMPRODUCT(Calc!$F$119:$O$119/(1+$B99)^$O$71:$X$71)-(1-$O$70)*Calc!$F$119/(1+$B99)^$O$71+(Calc!$O$115*(1+H$92)*(1-H$92/$B99)/($B99-H$92))/(1+$B99)^$X$71+'Sources &amp; Checks'!$B$6-'Sources &amp; Checks'!$B$7)/'Sources &amp; Checks'!$B$9</f>
        <v>26.561019490728608</v>
      </c>
      <c r="J99" s="82">
        <f>(SUMPRODUCT(Calc!$F$138:$O$138/(1+$B99)^$O$71:$X$71)-(1-$O$70)*Calc!$F$138/(1+$B99)^$O$71+(Calc!$O$134*(1+J$92)*(1-J$92/$B99)/($B99-J$92))/(1+$B99)^$X$71+'Sources &amp; Checks'!$B$6-'Sources &amp; Checks'!$B$7)/'Sources &amp; Checks'!$B$9</f>
        <v>26.711682152719423</v>
      </c>
      <c r="L99" s="82">
        <f>(SUMPRODUCT(Calc!$F$157:$O$157/(1+$B99)^$O$71:$X$71)-(1-$O$70)*Calc!$F$157/(1+$B99)^$O$71+(Calc!$O$153*(1+L$92)*(1-L$92/$B99)/($B99-L$92))/(1+$B99)^$X$71+'Sources &amp; Checks'!$B$6-'Sources &amp; Checks'!$B$7)/'Sources &amp; Checks'!$B$9</f>
        <v>26.86367502017767</v>
      </c>
    </row>
    <row r="101" spans="2:12" ht="15" customHeight="1" x14ac:dyDescent="0.2">
      <c r="B101" s="84" t="e">
        <f>"⬛ = base case (WACC "&amp;TEXT(WACC!$F$22,"0.00%")&amp;", TGR "&amp;TEXT(DCF!$L$17,"0.0%")&amp;"). Each TGR column uses its own growth path, fading to that rate by FY35. The WACC rows change discounting and terminal value only. Current price: €"&amp;TEXT('Sources &amp; Checks'!$B$5,"0.00")&amp;"."</f>
        <v>#VALUE!</v>
      </c>
    </row>
  </sheetData>
  <printOptions horizontalCentered="1"/>
  <pageMargins left="0.4" right="0.4" top="0.5" bottom="0.5" header="0.511811023622047" footer="0.511811023622047"/>
  <pageSetup paperSize="9" fitToHeight="0"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9"/>
  <sheetViews>
    <sheetView showGridLines="0" zoomScaleNormal="100" workbookViewId="0"/>
  </sheetViews>
  <sheetFormatPr baseColWidth="10" defaultColWidth="8.6640625" defaultRowHeight="15" x14ac:dyDescent="0.2"/>
  <cols>
    <col min="1" max="1" width="3" customWidth="1"/>
    <col min="2" max="3" width="30" customWidth="1"/>
    <col min="4" max="4" width="8.5" customWidth="1"/>
  </cols>
  <sheetData>
    <row r="1" spans="2:3" ht="15" customHeight="1" x14ac:dyDescent="0.2">
      <c r="B1" s="85" t="s">
        <v>67</v>
      </c>
    </row>
    <row r="3" spans="2:3" ht="15" customHeight="1" x14ac:dyDescent="0.2">
      <c r="B3" s="86" t="s">
        <v>68</v>
      </c>
      <c r="C3" s="86"/>
    </row>
    <row r="4" spans="2:3" ht="15" customHeight="1" x14ac:dyDescent="0.2">
      <c r="B4" s="87" t="s">
        <v>69</v>
      </c>
      <c r="C4" s="88" t="s">
        <v>70</v>
      </c>
    </row>
    <row r="5" spans="2:3" ht="15" customHeight="1" x14ac:dyDescent="0.2">
      <c r="B5" s="87" t="s">
        <v>71</v>
      </c>
      <c r="C5" s="88" t="s">
        <v>72</v>
      </c>
    </row>
    <row r="6" spans="2:3" ht="15" customHeight="1" x14ac:dyDescent="0.2">
      <c r="B6" s="87" t="s">
        <v>73</v>
      </c>
      <c r="C6" s="88" t="s">
        <v>74</v>
      </c>
    </row>
    <row r="7" spans="2:3" ht="15" customHeight="1" x14ac:dyDescent="0.2">
      <c r="B7" s="87" t="s">
        <v>75</v>
      </c>
      <c r="C7" s="88" t="s">
        <v>76</v>
      </c>
    </row>
    <row r="8" spans="2:3" ht="15" customHeight="1" x14ac:dyDescent="0.2">
      <c r="B8" s="87" t="s">
        <v>31</v>
      </c>
      <c r="C8" s="88" t="s">
        <v>77</v>
      </c>
    </row>
    <row r="9" spans="2:3" ht="15" customHeight="1" x14ac:dyDescent="0.2">
      <c r="B9" s="87" t="s">
        <v>78</v>
      </c>
      <c r="C9" s="88" t="s">
        <v>79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2:Z30"/>
  <sheetViews>
    <sheetView showGridLines="0" zoomScaleNormal="100" workbookViewId="0">
      <selection activeCell="B1" sqref="B1"/>
    </sheetView>
  </sheetViews>
  <sheetFormatPr baseColWidth="10" defaultColWidth="8.83203125" defaultRowHeight="15" x14ac:dyDescent="0.2"/>
  <cols>
    <col min="1" max="1" width="3.6640625" customWidth="1"/>
    <col min="2" max="2" width="19.83203125" customWidth="1"/>
    <col min="3" max="3" width="28.83203125" customWidth="1"/>
    <col min="4" max="4" width="26" customWidth="1"/>
    <col min="5" max="5" width="23.33203125" customWidth="1"/>
    <col min="6" max="7" width="14" customWidth="1"/>
    <col min="8" max="8" width="23.1640625" customWidth="1"/>
    <col min="9" max="24" width="14" customWidth="1"/>
    <col min="25" max="25" width="20.33203125" customWidth="1"/>
    <col min="26" max="26" width="14" customWidth="1"/>
  </cols>
  <sheetData>
    <row r="2" spans="2:26" s="7" customFormat="1" ht="21" customHeight="1" x14ac:dyDescent="0.2">
      <c r="B2" s="89" t="s">
        <v>80</v>
      </c>
    </row>
    <row r="4" spans="2:26" ht="15.75" customHeight="1" x14ac:dyDescent="0.2">
      <c r="B4" s="20"/>
      <c r="C4" s="20"/>
      <c r="D4" s="20"/>
      <c r="E4" s="20"/>
      <c r="F4" s="20"/>
      <c r="G4" s="20"/>
      <c r="H4" s="20"/>
      <c r="I4" s="20"/>
      <c r="J4" s="20"/>
      <c r="K4" s="20"/>
      <c r="L4" s="20"/>
      <c r="M4" s="20"/>
      <c r="N4" s="6" t="s">
        <v>81</v>
      </c>
      <c r="O4" s="6"/>
      <c r="P4" s="6"/>
      <c r="Q4" s="6"/>
      <c r="R4" s="6"/>
      <c r="S4" s="20"/>
      <c r="T4" s="6" t="s">
        <v>82</v>
      </c>
      <c r="U4" s="6"/>
      <c r="V4" s="6"/>
      <c r="W4" s="6"/>
      <c r="X4" s="6"/>
      <c r="Y4" s="5" t="s">
        <v>83</v>
      </c>
      <c r="Z4" s="5"/>
    </row>
    <row r="5" spans="2:26" ht="15.75" customHeight="1" x14ac:dyDescent="0.2">
      <c r="B5" s="38"/>
      <c r="C5" s="38"/>
      <c r="D5" s="38"/>
      <c r="E5" s="38"/>
      <c r="F5" s="38"/>
      <c r="G5" s="38"/>
      <c r="H5" s="90" t="s">
        <v>84</v>
      </c>
      <c r="I5" s="91"/>
      <c r="J5" s="90" t="s">
        <v>85</v>
      </c>
      <c r="K5" s="91"/>
      <c r="L5" s="90" t="s">
        <v>86</v>
      </c>
      <c r="M5" s="92"/>
      <c r="N5" s="90" t="s">
        <v>87</v>
      </c>
      <c r="O5" s="90" t="s">
        <v>88</v>
      </c>
      <c r="P5" s="91"/>
      <c r="Q5" s="90" t="s">
        <v>89</v>
      </c>
      <c r="R5" s="90" t="s">
        <v>90</v>
      </c>
      <c r="S5" s="91"/>
      <c r="T5" s="90" t="s">
        <v>91</v>
      </c>
      <c r="U5" s="90" t="s">
        <v>92</v>
      </c>
      <c r="V5" s="91"/>
      <c r="W5" s="90" t="s">
        <v>93</v>
      </c>
      <c r="X5" s="90" t="s">
        <v>94</v>
      </c>
      <c r="Y5" s="90" t="s">
        <v>95</v>
      </c>
      <c r="Z5" s="90" t="s">
        <v>96</v>
      </c>
    </row>
    <row r="6" spans="2:26" ht="15" customHeight="1" x14ac:dyDescent="0.2">
      <c r="B6" s="93" t="s">
        <v>1</v>
      </c>
      <c r="C6" s="91"/>
      <c r="D6" s="4" t="s">
        <v>97</v>
      </c>
      <c r="E6" s="4"/>
      <c r="F6" s="4"/>
      <c r="G6" s="91"/>
      <c r="H6" s="93" t="s">
        <v>98</v>
      </c>
      <c r="I6" s="91"/>
      <c r="J6" s="93" t="s">
        <v>99</v>
      </c>
      <c r="K6" s="91"/>
      <c r="L6" s="93" t="s">
        <v>99</v>
      </c>
      <c r="M6" s="20"/>
      <c r="N6" s="93" t="s">
        <v>100</v>
      </c>
      <c r="O6" s="93" t="s">
        <v>100</v>
      </c>
      <c r="P6" s="91"/>
      <c r="Q6" s="93" t="s">
        <v>100</v>
      </c>
      <c r="R6" s="93" t="s">
        <v>100</v>
      </c>
      <c r="S6" s="20"/>
      <c r="T6" s="93" t="s">
        <v>101</v>
      </c>
      <c r="U6" s="93" t="s">
        <v>101</v>
      </c>
      <c r="V6" s="93" t="s">
        <v>101</v>
      </c>
      <c r="W6" s="93" t="s">
        <v>101</v>
      </c>
      <c r="X6" s="93" t="s">
        <v>101</v>
      </c>
      <c r="Y6" s="93" t="s">
        <v>101</v>
      </c>
      <c r="Z6" s="93" t="s">
        <v>101</v>
      </c>
    </row>
    <row r="7" spans="2:26" ht="15" customHeight="1" x14ac:dyDescent="0.2">
      <c r="H7" s="94" t="s">
        <v>102</v>
      </c>
      <c r="J7" s="94" t="s">
        <v>103</v>
      </c>
      <c r="L7" s="94" t="s">
        <v>103</v>
      </c>
    </row>
    <row r="8" spans="2:26" ht="15" customHeight="1" x14ac:dyDescent="0.2">
      <c r="B8" s="95" t="s">
        <v>2</v>
      </c>
      <c r="C8" s="96"/>
      <c r="D8" s="3" t="s">
        <v>104</v>
      </c>
      <c r="E8" s="3"/>
      <c r="F8" s="3"/>
      <c r="G8" s="96"/>
      <c r="H8" s="97">
        <f>'Sources &amp; Checks'!$B$5</f>
        <v>26.19</v>
      </c>
      <c r="I8" s="96"/>
      <c r="J8" s="98">
        <f>'Sources &amp; Checks'!$B$8*H8</f>
        <v>27499.5</v>
      </c>
      <c r="K8" s="96"/>
      <c r="L8" s="98">
        <f>J8-'Sources &amp; Checks'!$B$6+'Sources &amp; Checks'!$B$7</f>
        <v>26599.5</v>
      </c>
      <c r="M8" s="96"/>
      <c r="N8" s="99">
        <f>DCF!M21</f>
        <v>0.24766129631004508</v>
      </c>
      <c r="O8" s="99">
        <f>DCF!N21</f>
        <v>3.7541468929915611E-2</v>
      </c>
      <c r="P8" s="96"/>
      <c r="Q8" s="99">
        <f>DCF!M24</f>
        <v>0.15328255403978042</v>
      </c>
      <c r="R8" s="99">
        <f>DCF!N24</f>
        <v>0.11169659820052336</v>
      </c>
      <c r="S8" s="96"/>
      <c r="T8" s="100">
        <f>L8/DCF!M22</f>
        <v>8.5249342990833927</v>
      </c>
      <c r="U8" s="100">
        <f>L8/DCF!N22</f>
        <v>9.5943947482325775</v>
      </c>
      <c r="V8" s="96"/>
      <c r="W8" s="101">
        <f>L8/DCF!M20</f>
        <v>1.9785700471592855</v>
      </c>
      <c r="X8" s="101">
        <f>L8/DCF!N20</f>
        <v>1.9069792450801162</v>
      </c>
      <c r="Y8" s="102">
        <f>L8/DCF!M23</f>
        <v>12.907992429756879</v>
      </c>
      <c r="Z8" s="102">
        <f>L8/DCF!N23</f>
        <v>17.072849807445444</v>
      </c>
    </row>
    <row r="9" spans="2:26" ht="15" customHeight="1" x14ac:dyDescent="0.2">
      <c r="B9" s="103"/>
      <c r="C9" s="103"/>
      <c r="D9" s="103"/>
      <c r="E9" s="103"/>
      <c r="F9" s="103"/>
      <c r="G9" s="103"/>
      <c r="H9" s="104"/>
      <c r="I9" s="103"/>
      <c r="J9" s="105"/>
      <c r="K9" s="103"/>
      <c r="L9" s="105"/>
      <c r="M9" s="103"/>
      <c r="N9" s="106"/>
      <c r="O9" s="106"/>
      <c r="P9" s="103"/>
      <c r="Q9" s="106"/>
      <c r="R9" s="106"/>
      <c r="S9" s="103"/>
      <c r="T9" s="107"/>
      <c r="U9" s="107"/>
      <c r="V9" s="103"/>
      <c r="W9" s="106"/>
      <c r="X9" s="106"/>
    </row>
    <row r="10" spans="2:26" ht="15" customHeight="1" x14ac:dyDescent="0.2">
      <c r="B10" s="108" t="s">
        <v>105</v>
      </c>
      <c r="C10" s="103"/>
      <c r="D10" s="2" t="s">
        <v>106</v>
      </c>
      <c r="E10" s="2"/>
      <c r="F10" s="2"/>
      <c r="G10" s="103"/>
      <c r="H10" s="109">
        <v>4.0890000000000004</v>
      </c>
      <c r="I10" s="103"/>
      <c r="J10" s="110">
        <v>3287.49</v>
      </c>
      <c r="K10" s="103"/>
      <c r="L10" s="110">
        <v>2450</v>
      </c>
      <c r="M10" s="103"/>
      <c r="N10" s="111">
        <v>0.13930000000000001</v>
      </c>
      <c r="O10" s="111">
        <v>8.5599999999999996E-2</v>
      </c>
      <c r="P10" s="103"/>
      <c r="Q10" s="111">
        <v>6.4131485659039603E-2</v>
      </c>
      <c r="R10" s="111">
        <v>6.9562636057787494E-2</v>
      </c>
      <c r="S10" s="103"/>
      <c r="T10" s="112">
        <v>1.7922457937088501</v>
      </c>
      <c r="U10" s="112">
        <v>1.6943291839557399</v>
      </c>
      <c r="V10" s="103"/>
      <c r="W10" s="113">
        <v>0.26318616392738198</v>
      </c>
      <c r="X10" s="113">
        <v>0.242430239461706</v>
      </c>
      <c r="Y10" s="114">
        <v>4.1039000000000003</v>
      </c>
      <c r="Z10" s="114">
        <v>3.4849999999999999</v>
      </c>
    </row>
    <row r="11" spans="2:26" ht="15" customHeight="1" x14ac:dyDescent="0.2">
      <c r="B11" s="108" t="s">
        <v>107</v>
      </c>
      <c r="C11" s="103"/>
      <c r="D11" s="2" t="s">
        <v>108</v>
      </c>
      <c r="E11" s="2"/>
      <c r="F11" s="2"/>
      <c r="G11" s="103"/>
      <c r="H11" s="109">
        <v>9.2750000000000004</v>
      </c>
      <c r="I11" s="103"/>
      <c r="J11" s="110">
        <v>1166.5999999999999</v>
      </c>
      <c r="K11" s="103"/>
      <c r="L11" s="110">
        <v>5950.1</v>
      </c>
      <c r="M11" s="103"/>
      <c r="N11" s="111">
        <v>0.3</v>
      </c>
      <c r="O11" s="111">
        <v>4.5400000000000003E-2</v>
      </c>
      <c r="P11" s="103"/>
      <c r="Q11" s="111">
        <v>8.6370808678500999E-2</v>
      </c>
      <c r="R11" s="111">
        <v>3.1603773584905702E-2</v>
      </c>
      <c r="S11" s="103"/>
      <c r="T11" s="112">
        <v>4.9866744887697001</v>
      </c>
      <c r="U11" s="112">
        <v>5.2456140350877201</v>
      </c>
      <c r="V11" s="103"/>
      <c r="W11" s="113">
        <v>1.17358974358974</v>
      </c>
      <c r="X11" s="113">
        <v>1.12266037735849</v>
      </c>
      <c r="Y11" s="114">
        <v>13.5878</v>
      </c>
      <c r="Z11" s="114">
        <v>35.5227</v>
      </c>
    </row>
    <row r="12" spans="2:26" ht="15" customHeight="1" x14ac:dyDescent="0.2">
      <c r="B12" s="108" t="s">
        <v>109</v>
      </c>
      <c r="C12" s="103"/>
      <c r="D12" s="2" t="s">
        <v>110</v>
      </c>
      <c r="E12" s="2"/>
      <c r="F12" s="2"/>
      <c r="G12" s="103"/>
      <c r="H12" s="109">
        <v>4.4640000000000004</v>
      </c>
      <c r="I12" s="103"/>
      <c r="J12" s="110">
        <v>19080</v>
      </c>
      <c r="K12" s="103"/>
      <c r="L12" s="110">
        <v>25060</v>
      </c>
      <c r="M12" s="103"/>
      <c r="N12" s="111">
        <v>8.9871999456761595E-2</v>
      </c>
      <c r="O12" s="111">
        <v>3.46728971962618E-2</v>
      </c>
      <c r="P12" s="103"/>
      <c r="Q12" s="111">
        <v>0.13841121495327099</v>
      </c>
      <c r="R12" s="111">
        <v>0.15126607051455801</v>
      </c>
      <c r="S12" s="103"/>
      <c r="T12" s="112">
        <v>3.6815043337740598</v>
      </c>
      <c r="U12" s="112">
        <v>3.2978023424134801</v>
      </c>
      <c r="V12" s="103"/>
      <c r="W12" s="113">
        <v>0.78068535825545204</v>
      </c>
      <c r="X12" s="113">
        <v>0.75452383103001797</v>
      </c>
      <c r="Y12" s="114">
        <v>5.6402999999999999</v>
      </c>
      <c r="Z12" s="114">
        <v>4.9881000000000002</v>
      </c>
    </row>
    <row r="13" spans="2:26" ht="15" customHeight="1" x14ac:dyDescent="0.2">
      <c r="B13" s="108" t="s">
        <v>111</v>
      </c>
      <c r="C13" s="103"/>
      <c r="D13" s="2" t="s">
        <v>112</v>
      </c>
      <c r="E13" s="2"/>
      <c r="F13" s="2"/>
      <c r="G13" s="103"/>
      <c r="H13" s="109">
        <v>8.1199999999999992</v>
      </c>
      <c r="I13" s="103"/>
      <c r="J13" s="110">
        <v>9740</v>
      </c>
      <c r="K13" s="103"/>
      <c r="L13" s="110">
        <v>17780</v>
      </c>
      <c r="M13" s="103"/>
      <c r="N13" s="111">
        <v>6.0352124597934598E-2</v>
      </c>
      <c r="O13" s="111">
        <v>5.36441286820468E-2</v>
      </c>
      <c r="P13" s="103"/>
      <c r="Q13" s="111">
        <v>4.3772118889864597E-2</v>
      </c>
      <c r="R13" s="111">
        <v>4.9498699396418898E-2</v>
      </c>
      <c r="S13" s="103"/>
      <c r="T13" s="112">
        <v>4.4650929181315897</v>
      </c>
      <c r="U13" s="112">
        <v>4.1071841071841098</v>
      </c>
      <c r="V13" s="103"/>
      <c r="W13" s="113">
        <v>0.47311141268194001</v>
      </c>
      <c r="X13" s="113">
        <v>0.44902391595322899</v>
      </c>
      <c r="Y13" s="114">
        <v>10.8085</v>
      </c>
      <c r="Z13" s="114">
        <v>9.0714000000000006</v>
      </c>
    </row>
    <row r="14" spans="2:26" ht="15" customHeight="1" x14ac:dyDescent="0.2">
      <c r="B14" s="108" t="s">
        <v>113</v>
      </c>
      <c r="C14" s="103"/>
      <c r="D14" s="2" t="s">
        <v>114</v>
      </c>
      <c r="E14" s="2"/>
      <c r="F14" s="2"/>
      <c r="G14" s="103"/>
      <c r="H14" s="109">
        <v>10.09</v>
      </c>
      <c r="I14" s="103"/>
      <c r="J14" s="110">
        <v>2650</v>
      </c>
      <c r="K14" s="103"/>
      <c r="L14" s="110">
        <v>3020</v>
      </c>
      <c r="M14" s="103"/>
      <c r="N14" s="111">
        <v>4.7969619241147197E-2</v>
      </c>
      <c r="O14" s="111">
        <v>4.9206904224546197E-2</v>
      </c>
      <c r="P14" s="103"/>
      <c r="Q14" s="111">
        <v>5.0999999999999997E-2</v>
      </c>
      <c r="R14" s="111">
        <v>6.0999999999999999E-2</v>
      </c>
      <c r="S14" s="103"/>
      <c r="T14" s="112">
        <v>0.71159283694627695</v>
      </c>
      <c r="U14" s="112">
        <v>0.59707394226967203</v>
      </c>
      <c r="V14" s="103"/>
      <c r="W14" s="113">
        <v>9.59979656060269E-2</v>
      </c>
      <c r="X14" s="113">
        <v>9.1495743327173001E-2</v>
      </c>
      <c r="Y14" s="114">
        <v>1.8822000000000001</v>
      </c>
      <c r="Z14" s="114">
        <v>1.5</v>
      </c>
    </row>
    <row r="15" spans="2:26" ht="15" customHeight="1" x14ac:dyDescent="0.2">
      <c r="B15" s="103"/>
      <c r="C15" s="103"/>
      <c r="D15" s="103"/>
      <c r="E15" s="103"/>
      <c r="F15" s="103"/>
      <c r="G15" s="103"/>
      <c r="H15" s="103"/>
      <c r="I15" s="103"/>
      <c r="J15" s="115"/>
      <c r="K15" s="103"/>
      <c r="L15" s="115"/>
      <c r="M15" s="103"/>
      <c r="N15" s="116"/>
      <c r="O15" s="116"/>
      <c r="P15" s="103"/>
      <c r="Q15" s="116"/>
      <c r="R15" s="116"/>
      <c r="S15" s="103"/>
      <c r="T15" s="103"/>
      <c r="U15" s="103"/>
      <c r="V15" s="103"/>
      <c r="W15" s="103"/>
      <c r="X15" s="103"/>
    </row>
    <row r="16" spans="2:26" ht="15" customHeight="1" x14ac:dyDescent="0.2">
      <c r="B16" s="103"/>
      <c r="C16" s="103"/>
      <c r="D16" s="103"/>
      <c r="E16" s="103"/>
      <c r="F16" s="103"/>
      <c r="G16" s="103"/>
      <c r="H16" s="103"/>
      <c r="I16" s="103"/>
      <c r="J16" s="115"/>
      <c r="K16" s="103"/>
      <c r="L16" s="115"/>
      <c r="M16" s="103"/>
      <c r="N16" s="116"/>
      <c r="O16" s="116"/>
      <c r="P16" s="103"/>
      <c r="Q16" s="116"/>
      <c r="R16" s="116"/>
      <c r="S16" s="103"/>
      <c r="T16" s="103"/>
      <c r="U16" s="103"/>
      <c r="V16" s="103"/>
      <c r="W16" s="103"/>
      <c r="X16" s="103"/>
    </row>
    <row r="17" spans="2:26" ht="15" customHeight="1" x14ac:dyDescent="0.2">
      <c r="B17" s="103"/>
      <c r="C17" s="103"/>
      <c r="D17" s="103"/>
      <c r="E17" s="103"/>
      <c r="F17" s="103"/>
      <c r="G17" s="103"/>
      <c r="H17" s="103"/>
      <c r="I17" s="103"/>
      <c r="J17" s="115"/>
      <c r="K17" s="103"/>
      <c r="L17" s="115"/>
      <c r="M17" s="103"/>
      <c r="N17" s="116"/>
      <c r="O17" s="116"/>
      <c r="P17" s="103"/>
      <c r="Q17" s="116"/>
      <c r="R17" s="116"/>
      <c r="S17" s="103"/>
      <c r="T17" s="103"/>
      <c r="U17" s="103"/>
      <c r="V17" s="103"/>
      <c r="W17" s="103"/>
      <c r="X17" s="103"/>
    </row>
    <row r="18" spans="2:26" ht="15" customHeight="1" x14ac:dyDescent="0.2">
      <c r="B18" s="103"/>
      <c r="C18" s="103"/>
      <c r="D18" s="103"/>
      <c r="E18" s="103"/>
      <c r="F18" s="103"/>
      <c r="G18" s="103"/>
      <c r="H18" s="103"/>
      <c r="I18" s="103"/>
      <c r="J18" s="115"/>
      <c r="K18" s="103"/>
      <c r="L18" s="115"/>
      <c r="M18" s="103"/>
      <c r="N18" s="116"/>
      <c r="O18" s="116"/>
      <c r="P18" s="103"/>
      <c r="Q18" s="116"/>
      <c r="R18" s="116"/>
      <c r="S18" s="103"/>
      <c r="T18" s="103"/>
      <c r="U18" s="103"/>
      <c r="V18" s="103"/>
      <c r="W18" s="103"/>
      <c r="X18" s="103"/>
    </row>
    <row r="19" spans="2:26" ht="15" customHeight="1" x14ac:dyDescent="0.2">
      <c r="N19" s="103"/>
      <c r="O19" s="103"/>
      <c r="Q19" s="103"/>
      <c r="R19" s="103"/>
    </row>
    <row r="20" spans="2:26" ht="15" customHeight="1" x14ac:dyDescent="0.2">
      <c r="B20" s="117" t="s">
        <v>115</v>
      </c>
      <c r="C20" s="118"/>
      <c r="D20" s="118"/>
      <c r="E20" s="118"/>
      <c r="F20" s="118"/>
      <c r="G20" s="118"/>
      <c r="H20" s="118"/>
      <c r="I20" s="118"/>
      <c r="J20" s="118"/>
      <c r="K20" s="118"/>
      <c r="L20" s="118"/>
      <c r="M20" s="118"/>
      <c r="N20" s="119">
        <f>IF(COUNT(N10:N17)=0,"",AVERAGE(N10:N17))</f>
        <v>0.12749874865916869</v>
      </c>
      <c r="O20" s="119">
        <f>IF(COUNT(O10:O17)=0,"",AVERAGE(O10:O17))</f>
        <v>5.3704786020570959E-2</v>
      </c>
      <c r="P20" s="117" t="str">
        <f>IF(COUNT(P8:P17)=0,"",AVERAGE(P8:P17))</f>
        <v/>
      </c>
      <c r="Q20" s="119">
        <f>IF(COUNT(Q10:Q17)=0,"",AVERAGE(Q10:Q17))</f>
        <v>7.6737125636135245E-2</v>
      </c>
      <c r="R20" s="119">
        <f>IF(COUNT(R10:R17)=0,"",AVERAGE(R10:R17))</f>
        <v>7.2586235910734015E-2</v>
      </c>
      <c r="S20" s="117" t="str">
        <f>IF(COUNT(S8:S17)=0,"",AVERAGE(S8:S17))</f>
        <v/>
      </c>
      <c r="T20" s="120">
        <f>IF(COUNT(T10:T17)=0,"",AVERAGE(T10:T17))</f>
        <v>3.1274220742660952</v>
      </c>
      <c r="U20" s="120">
        <f>IF(COUNT(U10:U17)=0,"",AVERAGE(U10:U17))</f>
        <v>2.9884007221821447</v>
      </c>
      <c r="V20" s="117" t="str">
        <f>IF(COUNT(V8:V17)=0,"",AVERAGE(V8:V17))</f>
        <v/>
      </c>
      <c r="W20" s="121">
        <f>IF(COUNT(W10:W17)=0,"",AVERAGE(W10:W17))</f>
        <v>0.55731412881210818</v>
      </c>
      <c r="X20" s="121">
        <f>IF(COUNT(X10:X17)=0,"",AVERAGE(X10:X17))</f>
        <v>0.53202682142612323</v>
      </c>
      <c r="Y20" s="122">
        <f>IF(COUNT(Y10:Y17)=0,"",AVERAGE(Y10:Y17))</f>
        <v>7.2045399999999997</v>
      </c>
      <c r="Z20" s="122">
        <f>IF(COUNT(Z10:Z17)=0,"",AVERAGE(Z10:Z17))</f>
        <v>10.91344</v>
      </c>
    </row>
    <row r="21" spans="2:26" ht="15" customHeight="1" x14ac:dyDescent="0.2">
      <c r="B21" s="117" t="s">
        <v>116</v>
      </c>
      <c r="C21" s="118"/>
      <c r="D21" s="118"/>
      <c r="E21" s="118"/>
      <c r="F21" s="118"/>
      <c r="G21" s="118"/>
      <c r="H21" s="118"/>
      <c r="I21" s="118"/>
      <c r="J21" s="118"/>
      <c r="K21" s="118"/>
      <c r="L21" s="118"/>
      <c r="M21" s="118"/>
      <c r="N21" s="119">
        <f>IF(COUNT(N10:N17)=0,"",MEDIAN(N10:N17))</f>
        <v>8.9871999456761595E-2</v>
      </c>
      <c r="O21" s="119">
        <f>IF(COUNT(O10:O17)=0,"",MEDIAN(O10:O17))</f>
        <v>4.9206904224546197E-2</v>
      </c>
      <c r="P21" s="117" t="str">
        <f>IF(COUNT(P8:P17)=0,"",MEDIAN(P8:P17))</f>
        <v/>
      </c>
      <c r="Q21" s="119">
        <f>IF(COUNT(Q10:Q17)=0,"",MEDIAN(Q10:Q17))</f>
        <v>6.4131485659039603E-2</v>
      </c>
      <c r="R21" s="119">
        <f>IF(COUNT(R10:R17)=0,"",MEDIAN(R10:R17))</f>
        <v>6.0999999999999999E-2</v>
      </c>
      <c r="S21" s="117" t="str">
        <f>IF(COUNT(S8:S17)=0,"",MEDIAN(S8:S17))</f>
        <v/>
      </c>
      <c r="T21" s="120">
        <f>IF(COUNT(T10:T17)=0,"",MEDIAN(T10:T17))</f>
        <v>3.6815043337740598</v>
      </c>
      <c r="U21" s="120">
        <f>IF(COUNT(U10:U17)=0,"",MEDIAN(U10:U17))</f>
        <v>3.2978023424134801</v>
      </c>
      <c r="V21" s="117" t="str">
        <f>IF(COUNT(V8:V17)=0,"",MEDIAN(V8:V17))</f>
        <v/>
      </c>
      <c r="W21" s="121">
        <f>IF(COUNT(W10:W17)=0,"",MEDIAN(W10:W17))</f>
        <v>0.47311141268194001</v>
      </c>
      <c r="X21" s="121">
        <f>IF(COUNT(X10:X17)=0,"",MEDIAN(X10:X17))</f>
        <v>0.44902391595322899</v>
      </c>
      <c r="Y21" s="122">
        <f>IF(COUNT(Y10:Y17)=0,"",MEDIAN(Y10:Y17))</f>
        <v>5.6402999999999999</v>
      </c>
      <c r="Z21" s="122">
        <f>IF(COUNT(Z10:Z17)=0,"",MEDIAN(Z10:Z17))</f>
        <v>4.9881000000000002</v>
      </c>
    </row>
    <row r="24" spans="2:26" ht="15" customHeight="1" x14ac:dyDescent="0.2">
      <c r="B24" s="123" t="s">
        <v>117</v>
      </c>
      <c r="C24" s="66"/>
      <c r="D24" s="66"/>
      <c r="E24" s="66"/>
      <c r="F24" s="66"/>
      <c r="G24" s="66"/>
      <c r="H24" s="66"/>
      <c r="I24" s="66"/>
      <c r="J24" s="66"/>
    </row>
    <row r="25" spans="2:26" ht="15" customHeight="1" x14ac:dyDescent="0.2">
      <c r="B25" s="90" t="s">
        <v>118</v>
      </c>
      <c r="C25" s="90" t="s">
        <v>119</v>
      </c>
      <c r="D25" s="90" t="s">
        <v>120</v>
      </c>
      <c r="E25" s="90" t="s">
        <v>121</v>
      </c>
      <c r="F25" s="90" t="s">
        <v>52</v>
      </c>
      <c r="G25" s="90" t="s">
        <v>122</v>
      </c>
      <c r="H25" s="90" t="s">
        <v>123</v>
      </c>
      <c r="I25" s="90" t="s">
        <v>124</v>
      </c>
      <c r="J25" s="90" t="s">
        <v>125</v>
      </c>
    </row>
    <row r="26" spans="2:26" ht="15" customHeight="1" x14ac:dyDescent="0.2">
      <c r="B26" s="124" t="s">
        <v>126</v>
      </c>
      <c r="C26" s="125">
        <f>U21</f>
        <v>3.2978023424134801</v>
      </c>
      <c r="D26" s="126">
        <f>DCF!N22</f>
        <v>2772.4</v>
      </c>
      <c r="E26" s="126">
        <f>C26*D26</f>
        <v>9142.827214107132</v>
      </c>
      <c r="F26" s="126">
        <f>'Sources &amp; Checks'!$B$6</f>
        <v>2400</v>
      </c>
      <c r="G26" s="126">
        <f>'Sources &amp; Checks'!$B$7</f>
        <v>1500</v>
      </c>
      <c r="H26" s="126">
        <f>E26+F26-G26</f>
        <v>10042.827214107132</v>
      </c>
      <c r="I26" s="127">
        <f>H26/'Sources &amp; Checks'!$B$9</f>
        <v>9.4139737665046237</v>
      </c>
      <c r="J26" s="128">
        <f>I26/'Sources &amp; Checks'!$B$5-1</f>
        <v>-0.64055082983945688</v>
      </c>
    </row>
    <row r="27" spans="2:26" ht="15" customHeight="1" x14ac:dyDescent="0.2">
      <c r="B27" s="129" t="s">
        <v>127</v>
      </c>
      <c r="C27" s="130">
        <f>X21</f>
        <v>0.44902391595322899</v>
      </c>
      <c r="D27" s="131">
        <f>DCF!N20</f>
        <v>13948.5</v>
      </c>
      <c r="E27" s="131">
        <f>C27*D27</f>
        <v>6263.2100916736144</v>
      </c>
      <c r="F27" s="131">
        <f>'Sources &amp; Checks'!$B$6</f>
        <v>2400</v>
      </c>
      <c r="G27" s="131">
        <f>'Sources &amp; Checks'!$B$7</f>
        <v>1500</v>
      </c>
      <c r="H27" s="131">
        <f>E27+F27-G27</f>
        <v>7163.2100916736144</v>
      </c>
      <c r="I27" s="132">
        <f>H27/'Sources &amp; Checks'!$B$9</f>
        <v>6.7146701271781168</v>
      </c>
      <c r="J27" s="133">
        <f>I27/'Sources &amp; Checks'!$B$5-1</f>
        <v>-0.74361702454455458</v>
      </c>
    </row>
    <row r="28" spans="2:26" ht="15" customHeight="1" x14ac:dyDescent="0.2">
      <c r="B28" s="124" t="s">
        <v>128</v>
      </c>
      <c r="C28" s="125">
        <f>Z21</f>
        <v>4.9881000000000002</v>
      </c>
      <c r="D28" s="126">
        <f>DCF!N23</f>
        <v>1558</v>
      </c>
      <c r="E28" s="126">
        <f>C28*D28</f>
        <v>7771.4598000000005</v>
      </c>
      <c r="F28" s="126">
        <f>'Sources &amp; Checks'!$B$6</f>
        <v>2400</v>
      </c>
      <c r="G28" s="126">
        <f>'Sources &amp; Checks'!$B$7</f>
        <v>1500</v>
      </c>
      <c r="H28" s="126">
        <f>E28+F28-G28</f>
        <v>8671.4598000000005</v>
      </c>
      <c r="I28" s="127">
        <f>H28/'Sources &amp; Checks'!$B$9</f>
        <v>8.1284775028121494</v>
      </c>
      <c r="J28" s="128">
        <f>I28/'Sources &amp; Checks'!$B$5-1</f>
        <v>-0.68963430688002481</v>
      </c>
    </row>
    <row r="30" spans="2:26" ht="15" customHeight="1" x14ac:dyDescent="0.2">
      <c r="B30" s="134" t="s">
        <v>129</v>
      </c>
    </row>
  </sheetData>
  <mergeCells count="10">
    <mergeCell ref="D10:F10"/>
    <mergeCell ref="D11:F11"/>
    <mergeCell ref="D12:F12"/>
    <mergeCell ref="D13:F13"/>
    <mergeCell ref="D14:F14"/>
    <mergeCell ref="N4:R4"/>
    <mergeCell ref="T4:X4"/>
    <mergeCell ref="Y4:Z4"/>
    <mergeCell ref="D6:F6"/>
    <mergeCell ref="D8:F8"/>
  </mergeCells>
  <printOptions horizontalCentered="1"/>
  <pageMargins left="0.4" right="0.4" top="0.5" bottom="0.5" header="0.511811023622047" footer="0.511811023622047"/>
  <pageSetup paperSize="9" fitToHeight="0" orientation="landscape"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2:J22"/>
  <sheetViews>
    <sheetView showGridLines="0" zoomScaleNormal="100" workbookViewId="0"/>
  </sheetViews>
  <sheetFormatPr baseColWidth="10" defaultColWidth="8.83203125" defaultRowHeight="15" x14ac:dyDescent="0.2"/>
  <cols>
    <col min="1" max="1" width="3.6640625" customWidth="1"/>
    <col min="2" max="2" width="52" customWidth="1"/>
    <col min="6" max="6" width="16" customWidth="1"/>
  </cols>
  <sheetData>
    <row r="2" spans="1:10" s="7" customFormat="1" ht="21" customHeight="1" x14ac:dyDescent="0.2">
      <c r="B2" s="8" t="s">
        <v>19</v>
      </c>
    </row>
    <row r="4" spans="1:10" ht="15" customHeight="1" x14ac:dyDescent="0.2">
      <c r="B4" s="13" t="s">
        <v>130</v>
      </c>
    </row>
    <row r="5" spans="1:10" ht="15" customHeight="1" x14ac:dyDescent="0.2">
      <c r="B5" s="13" t="s">
        <v>131</v>
      </c>
    </row>
    <row r="6" spans="1:10" ht="15" customHeight="1" x14ac:dyDescent="0.2">
      <c r="J6" s="135"/>
    </row>
    <row r="7" spans="1:10" ht="15" customHeight="1" x14ac:dyDescent="0.2">
      <c r="A7" s="123" t="s">
        <v>8</v>
      </c>
      <c r="B7" s="79" t="s">
        <v>19</v>
      </c>
      <c r="C7" s="38"/>
      <c r="D7" s="38"/>
      <c r="E7" s="38"/>
      <c r="F7" s="38"/>
    </row>
    <row r="8" spans="1:10" ht="15" customHeight="1" x14ac:dyDescent="0.2">
      <c r="B8" s="13" t="s">
        <v>85</v>
      </c>
      <c r="F8" s="59">
        <f>'Sources &amp; Checks'!$B$8*'Sources &amp; Checks'!$B$5</f>
        <v>27499.5</v>
      </c>
    </row>
    <row r="9" spans="1:10" ht="15" customHeight="1" x14ac:dyDescent="0.2">
      <c r="B9" s="13" t="s">
        <v>132</v>
      </c>
      <c r="F9" s="32">
        <f>F8/(F8+F15)</f>
        <v>0.94827497025810792</v>
      </c>
    </row>
    <row r="10" spans="1:10" ht="15" customHeight="1" x14ac:dyDescent="0.2">
      <c r="B10" s="13" t="s">
        <v>133</v>
      </c>
      <c r="F10" s="136">
        <f>F11+F14*F13</f>
        <v>8.9042999999999997E-2</v>
      </c>
    </row>
    <row r="11" spans="1:10" ht="15" customHeight="1" x14ac:dyDescent="0.2">
      <c r="B11" s="13" t="s">
        <v>134</v>
      </c>
      <c r="F11" s="42">
        <f>'Sources &amp; Checks'!$B$10</f>
        <v>2.8642999999999998E-2</v>
      </c>
    </row>
    <row r="12" spans="1:10" ht="15" customHeight="1" x14ac:dyDescent="0.2">
      <c r="B12" s="13" t="s">
        <v>135</v>
      </c>
      <c r="F12" s="137">
        <f>'Sources &amp; Checks'!$B$11</f>
        <v>1.01</v>
      </c>
    </row>
    <row r="13" spans="1:10" ht="15" customHeight="1" x14ac:dyDescent="0.2">
      <c r="B13" s="13" t="s">
        <v>136</v>
      </c>
      <c r="F13" s="42">
        <f>'Sources &amp; Checks'!$B$12</f>
        <v>0.06</v>
      </c>
    </row>
    <row r="14" spans="1:10" ht="15" customHeight="1" x14ac:dyDescent="0.2">
      <c r="B14" s="13" t="s">
        <v>137</v>
      </c>
      <c r="F14" s="138">
        <f>1/3*1+2/3*F12</f>
        <v>1.0066666666666666</v>
      </c>
    </row>
    <row r="15" spans="1:10" ht="15" customHeight="1" x14ac:dyDescent="0.2">
      <c r="A15" s="123" t="s">
        <v>8</v>
      </c>
      <c r="B15" s="79" t="s">
        <v>138</v>
      </c>
      <c r="F15" s="139">
        <f>'Sources &amp; Checks'!$B$7</f>
        <v>1500</v>
      </c>
    </row>
    <row r="16" spans="1:10" ht="15" customHeight="1" x14ac:dyDescent="0.2">
      <c r="B16" s="13" t="s">
        <v>139</v>
      </c>
      <c r="F16" s="43">
        <f>F15/(F15+F8)</f>
        <v>5.1725029741892102E-2</v>
      </c>
    </row>
    <row r="17" spans="1:6" ht="15" customHeight="1" x14ac:dyDescent="0.2">
      <c r="B17" s="13" t="s">
        <v>140</v>
      </c>
      <c r="F17" s="43">
        <f>'Sources &amp; Checks'!$B$13</f>
        <v>0.03</v>
      </c>
    </row>
    <row r="18" spans="1:6" ht="15" customHeight="1" x14ac:dyDescent="0.2">
      <c r="B18" s="13" t="s">
        <v>141</v>
      </c>
      <c r="F18" s="43">
        <f>'Sources &amp; Checks'!$B$14</f>
        <v>0.12</v>
      </c>
    </row>
    <row r="20" spans="1:6" ht="15" customHeight="1" x14ac:dyDescent="0.2">
      <c r="A20" s="123" t="s">
        <v>8</v>
      </c>
      <c r="B20" s="79" t="s">
        <v>142</v>
      </c>
      <c r="F20" s="59">
        <f>F15+F8</f>
        <v>28999.5</v>
      </c>
    </row>
    <row r="22" spans="1:6" ht="15" customHeight="1" x14ac:dyDescent="0.2">
      <c r="A22" s="123" t="s">
        <v>8</v>
      </c>
      <c r="B22" s="79" t="s">
        <v>19</v>
      </c>
      <c r="F22" s="140">
        <f>F9*F10+(F16*F17*(1-F18))</f>
        <v>8.5802788961878651E-2</v>
      </c>
    </row>
  </sheetData>
  <printOptions horizontalCentered="1"/>
  <pageMargins left="0.4" right="0.4" top="0.5" bottom="0.5" header="0.511811023622047" footer="0.511811023622047"/>
  <pageSetup paperSize="9" fitToHeight="0" orientation="landscape"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25"/>
  <sheetViews>
    <sheetView showGridLines="0" zoomScaleNormal="100" workbookViewId="0">
      <selection sqref="A1:D1"/>
    </sheetView>
  </sheetViews>
  <sheetFormatPr baseColWidth="10" defaultColWidth="8.83203125" defaultRowHeight="15" x14ac:dyDescent="0.2"/>
  <cols>
    <col min="1" max="1" width="28" customWidth="1"/>
    <col min="2" max="2" width="23.5" customWidth="1"/>
    <col min="3" max="3" width="12" customWidth="1"/>
    <col min="4" max="4" width="90" customWidth="1"/>
  </cols>
  <sheetData>
    <row r="1" spans="1:4" ht="18.75" customHeight="1" x14ac:dyDescent="0.2">
      <c r="A1" s="1" t="s">
        <v>143</v>
      </c>
      <c r="B1" s="1"/>
      <c r="C1" s="1"/>
      <c r="D1" s="1"/>
    </row>
    <row r="3" spans="1:4" ht="15.75" customHeight="1" x14ac:dyDescent="0.2">
      <c r="A3" s="90" t="s">
        <v>118</v>
      </c>
      <c r="B3" s="90" t="s">
        <v>144</v>
      </c>
      <c r="C3" s="90" t="s">
        <v>145</v>
      </c>
      <c r="D3" s="90" t="s">
        <v>146</v>
      </c>
    </row>
    <row r="4" spans="1:4" ht="15" customHeight="1" x14ac:dyDescent="0.2">
      <c r="A4" s="141" t="s">
        <v>147</v>
      </c>
      <c r="B4" s="142">
        <v>46087</v>
      </c>
      <c r="C4" s="141" t="s">
        <v>148</v>
      </c>
      <c r="D4" s="141" t="s">
        <v>149</v>
      </c>
    </row>
    <row r="5" spans="1:4" ht="15" customHeight="1" x14ac:dyDescent="0.2">
      <c r="A5" s="141" t="s">
        <v>150</v>
      </c>
      <c r="B5" s="143">
        <v>26.19</v>
      </c>
      <c r="C5" s="141" t="s">
        <v>151</v>
      </c>
      <c r="D5" s="141" t="s">
        <v>152</v>
      </c>
    </row>
    <row r="6" spans="1:4" ht="15" customHeight="1" x14ac:dyDescent="0.2">
      <c r="A6" s="141" t="s">
        <v>153</v>
      </c>
      <c r="B6" s="144">
        <v>2400</v>
      </c>
      <c r="C6" s="141" t="s">
        <v>154</v>
      </c>
      <c r="D6" s="141" t="s">
        <v>155</v>
      </c>
    </row>
    <row r="7" spans="1:4" ht="15" customHeight="1" x14ac:dyDescent="0.2">
      <c r="A7" s="141" t="s">
        <v>156</v>
      </c>
      <c r="B7" s="144">
        <v>1500</v>
      </c>
      <c r="C7" s="141" t="s">
        <v>154</v>
      </c>
      <c r="D7" s="141" t="s">
        <v>157</v>
      </c>
    </row>
    <row r="8" spans="1:4" ht="15" customHeight="1" x14ac:dyDescent="0.2">
      <c r="A8" s="141" t="s">
        <v>158</v>
      </c>
      <c r="B8" s="144">
        <v>1050</v>
      </c>
      <c r="C8" s="141" t="s">
        <v>159</v>
      </c>
      <c r="D8" s="141" t="s">
        <v>160</v>
      </c>
    </row>
    <row r="9" spans="1:4" ht="15" customHeight="1" x14ac:dyDescent="0.2">
      <c r="A9" s="141" t="s">
        <v>161</v>
      </c>
      <c r="B9" s="144">
        <v>1066.8</v>
      </c>
      <c r="C9" s="141" t="s">
        <v>159</v>
      </c>
      <c r="D9" s="141" t="s">
        <v>162</v>
      </c>
    </row>
    <row r="10" spans="1:4" ht="15" customHeight="1" x14ac:dyDescent="0.2">
      <c r="A10" s="141" t="s">
        <v>163</v>
      </c>
      <c r="B10" s="145">
        <v>2.8642999999999998E-2</v>
      </c>
      <c r="C10" s="141" t="s">
        <v>164</v>
      </c>
      <c r="D10" s="141" t="s">
        <v>165</v>
      </c>
    </row>
    <row r="11" spans="1:4" ht="15" customHeight="1" x14ac:dyDescent="0.2">
      <c r="A11" s="141" t="s">
        <v>166</v>
      </c>
      <c r="B11" s="146">
        <v>1.01</v>
      </c>
      <c r="C11" s="141" t="s">
        <v>167</v>
      </c>
      <c r="D11" s="141" t="s">
        <v>168</v>
      </c>
    </row>
    <row r="12" spans="1:4" ht="15" customHeight="1" x14ac:dyDescent="0.2">
      <c r="A12" s="141" t="s">
        <v>169</v>
      </c>
      <c r="B12" s="145">
        <v>0.06</v>
      </c>
      <c r="C12" s="141" t="s">
        <v>164</v>
      </c>
      <c r="D12" s="141" t="s">
        <v>168</v>
      </c>
    </row>
    <row r="13" spans="1:4" ht="15" customHeight="1" x14ac:dyDescent="0.2">
      <c r="A13" s="141" t="s">
        <v>170</v>
      </c>
      <c r="B13" s="145">
        <v>0.03</v>
      </c>
      <c r="C13" s="141" t="s">
        <v>164</v>
      </c>
      <c r="D13" s="141" t="s">
        <v>168</v>
      </c>
    </row>
    <row r="14" spans="1:4" ht="15" customHeight="1" x14ac:dyDescent="0.2">
      <c r="A14" s="141" t="s">
        <v>31</v>
      </c>
      <c r="B14" s="145">
        <v>0.12</v>
      </c>
      <c r="C14" s="141" t="s">
        <v>164</v>
      </c>
      <c r="D14" s="141" t="s">
        <v>171</v>
      </c>
    </row>
    <row r="16" spans="1:4" ht="15" customHeight="1" x14ac:dyDescent="0.2">
      <c r="A16" s="147" t="s">
        <v>172</v>
      </c>
      <c r="B16" s="147" t="s">
        <v>173</v>
      </c>
    </row>
    <row r="18" spans="1:4" ht="15" customHeight="1" x14ac:dyDescent="0.2">
      <c r="A18" s="147" t="s">
        <v>174</v>
      </c>
      <c r="B18" s="147" t="s">
        <v>175</v>
      </c>
      <c r="C18" s="147" t="s">
        <v>176</v>
      </c>
      <c r="D18" s="147" t="s">
        <v>177</v>
      </c>
    </row>
    <row r="19" spans="1:4" ht="15" customHeight="1" x14ac:dyDescent="0.2">
      <c r="A19" s="147" t="s">
        <v>178</v>
      </c>
      <c r="B19" s="148">
        <v>9.0899999999999995E-2</v>
      </c>
      <c r="C19" s="147" t="s">
        <v>164</v>
      </c>
      <c r="D19" s="147" t="s">
        <v>179</v>
      </c>
    </row>
    <row r="20" spans="1:4" ht="15" customHeight="1" x14ac:dyDescent="0.2">
      <c r="A20" s="147" t="s">
        <v>180</v>
      </c>
      <c r="B20" s="148">
        <v>0.17219999999999999</v>
      </c>
      <c r="C20" s="147" t="s">
        <v>164</v>
      </c>
      <c r="D20" s="147" t="s">
        <v>181</v>
      </c>
    </row>
    <row r="21" spans="1:4" ht="15" customHeight="1" x14ac:dyDescent="0.2">
      <c r="A21" s="147" t="s">
        <v>182</v>
      </c>
      <c r="B21" s="148">
        <v>8.0500000000000002E-2</v>
      </c>
      <c r="C21" s="147" t="s">
        <v>164</v>
      </c>
      <c r="D21" s="147" t="s">
        <v>183</v>
      </c>
    </row>
    <row r="22" spans="1:4" ht="15" customHeight="1" x14ac:dyDescent="0.2">
      <c r="A22" s="147" t="s">
        <v>184</v>
      </c>
      <c r="B22" s="148">
        <v>0.18279999999999999</v>
      </c>
      <c r="C22" s="147" t="s">
        <v>164</v>
      </c>
      <c r="D22" s="147" t="s">
        <v>185</v>
      </c>
    </row>
    <row r="23" spans="1:4" ht="15" customHeight="1" x14ac:dyDescent="0.2">
      <c r="A23" s="147" t="s">
        <v>186</v>
      </c>
      <c r="B23" s="148">
        <v>-2.87E-2</v>
      </c>
      <c r="C23" s="147" t="s">
        <v>164</v>
      </c>
      <c r="D23" s="147" t="s">
        <v>187</v>
      </c>
    </row>
    <row r="25" spans="1:4" ht="15" customHeight="1" x14ac:dyDescent="0.2">
      <c r="A25" s="149" t="s">
        <v>188</v>
      </c>
      <c r="B25" s="150" t="s">
        <v>189</v>
      </c>
    </row>
  </sheetData>
  <mergeCells count="1">
    <mergeCell ref="A1:D1"/>
  </mergeCells>
  <printOptions horizontalCentered="1"/>
  <pageMargins left="0.4" right="0.4" top="0.5" bottom="0.5" header="0.511811023622047" footer="0.511811023622047"/>
  <pageSetup paperSize="9" fitToHeight="0" orientation="landscape"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B2:E36"/>
  <sheetViews>
    <sheetView showGridLines="0" tabSelected="1" zoomScaleNormal="100" workbookViewId="0"/>
  </sheetViews>
  <sheetFormatPr baseColWidth="10" defaultColWidth="10.83203125" defaultRowHeight="16" x14ac:dyDescent="0.2"/>
  <cols>
    <col min="1" max="1" width="10.83203125" style="151"/>
    <col min="2" max="2" width="30.6640625" style="151" customWidth="1"/>
    <col min="3" max="5" width="8.83203125" style="151" customWidth="1"/>
    <col min="6" max="16384" width="10.83203125" style="151"/>
  </cols>
  <sheetData>
    <row r="2" spans="2:5" ht="18.75" customHeight="1" x14ac:dyDescent="0.2">
      <c r="B2" s="152"/>
      <c r="C2" s="152"/>
    </row>
    <row r="3" spans="2:5" ht="15.75" customHeight="1" x14ac:dyDescent="0.2">
      <c r="B3" s="153" t="s">
        <v>190</v>
      </c>
      <c r="C3" s="154" t="s">
        <v>191</v>
      </c>
      <c r="D3" s="155" t="s">
        <v>192</v>
      </c>
      <c r="E3" s="156" t="s">
        <v>193</v>
      </c>
    </row>
    <row r="4" spans="2:5" ht="18.75" customHeight="1" x14ac:dyDescent="0.2">
      <c r="B4" s="157" t="s">
        <v>194</v>
      </c>
      <c r="C4" s="158">
        <v>10775</v>
      </c>
      <c r="D4" s="159">
        <v>13444</v>
      </c>
      <c r="E4" s="160">
        <v>13949</v>
      </c>
    </row>
    <row r="5" spans="2:5" ht="18.75" customHeight="1" x14ac:dyDescent="0.2">
      <c r="B5" s="161" t="s">
        <v>195</v>
      </c>
      <c r="C5" s="162">
        <v>9332</v>
      </c>
      <c r="D5" s="163">
        <v>11383</v>
      </c>
      <c r="E5" s="164">
        <v>12391</v>
      </c>
    </row>
    <row r="6" spans="2:5" ht="18.75" customHeight="1" x14ac:dyDescent="0.2">
      <c r="B6" s="161" t="s">
        <v>196</v>
      </c>
      <c r="C6" s="162">
        <v>1443</v>
      </c>
      <c r="D6" s="163">
        <v>2128</v>
      </c>
      <c r="E6" s="164">
        <v>1785</v>
      </c>
    </row>
    <row r="7" spans="2:5" ht="18.75" customHeight="1" x14ac:dyDescent="0.2">
      <c r="B7" s="165" t="s">
        <v>197</v>
      </c>
      <c r="C7" s="166">
        <v>1314</v>
      </c>
      <c r="D7" s="167">
        <v>1917</v>
      </c>
      <c r="E7" s="168">
        <v>1612</v>
      </c>
    </row>
    <row r="10" spans="2:5" ht="15.75" customHeight="1" x14ac:dyDescent="0.2">
      <c r="B10" s="153" t="s">
        <v>198</v>
      </c>
      <c r="C10" s="154" t="s">
        <v>191</v>
      </c>
      <c r="D10" s="155" t="s">
        <v>192</v>
      </c>
      <c r="E10" s="156" t="s">
        <v>193</v>
      </c>
    </row>
    <row r="11" spans="2:5" ht="18.75" customHeight="1" x14ac:dyDescent="0.2">
      <c r="B11" s="157" t="s">
        <v>199</v>
      </c>
      <c r="C11" s="158">
        <v>16406</v>
      </c>
      <c r="D11" s="159">
        <v>17176</v>
      </c>
      <c r="E11" s="160">
        <v>17507</v>
      </c>
    </row>
    <row r="12" spans="2:5" ht="18.75" customHeight="1" x14ac:dyDescent="0.2">
      <c r="B12" s="161" t="s">
        <v>200</v>
      </c>
      <c r="C12" s="162">
        <v>5643</v>
      </c>
      <c r="D12" s="163">
        <v>7614</v>
      </c>
      <c r="E12" s="164">
        <v>7037</v>
      </c>
    </row>
    <row r="13" spans="2:5" ht="18.75" customHeight="1" x14ac:dyDescent="0.2">
      <c r="B13" s="165" t="s">
        <v>201</v>
      </c>
      <c r="C13" s="166">
        <v>4675</v>
      </c>
      <c r="D13" s="167">
        <v>4120</v>
      </c>
      <c r="E13" s="168">
        <v>3987</v>
      </c>
    </row>
    <row r="16" spans="2:5" ht="15.75" customHeight="1" x14ac:dyDescent="0.2">
      <c r="B16" s="153" t="s">
        <v>202</v>
      </c>
      <c r="C16" s="154" t="s">
        <v>191</v>
      </c>
      <c r="D16" s="155" t="s">
        <v>192</v>
      </c>
      <c r="E16" s="156" t="s">
        <v>193</v>
      </c>
    </row>
    <row r="17" spans="2:5" ht="18.75" customHeight="1" x14ac:dyDescent="0.2">
      <c r="B17" s="157" t="s">
        <v>203</v>
      </c>
      <c r="C17" s="158">
        <v>7422</v>
      </c>
      <c r="D17" s="159">
        <v>6401</v>
      </c>
      <c r="E17" s="160">
        <v>8153</v>
      </c>
    </row>
    <row r="18" spans="2:5" ht="18.75" customHeight="1" x14ac:dyDescent="0.2">
      <c r="B18" s="161" t="s">
        <v>204</v>
      </c>
      <c r="C18" s="162">
        <v>3341</v>
      </c>
      <c r="D18" s="163">
        <v>3161</v>
      </c>
      <c r="E18" s="164">
        <v>2317</v>
      </c>
    </row>
    <row r="19" spans="2:5" ht="15.75" customHeight="1" x14ac:dyDescent="0.2">
      <c r="B19" s="169" t="s">
        <v>205</v>
      </c>
      <c r="C19" s="170">
        <f>C17+C18</f>
        <v>10763</v>
      </c>
      <c r="D19" s="171">
        <f>D17+D18</f>
        <v>9562</v>
      </c>
      <c r="E19" s="172">
        <f>E17+E18</f>
        <v>10470</v>
      </c>
    </row>
    <row r="22" spans="2:5" ht="15.75" customHeight="1" x14ac:dyDescent="0.2">
      <c r="B22" s="153" t="s">
        <v>206</v>
      </c>
      <c r="C22" s="154" t="s">
        <v>191</v>
      </c>
      <c r="D22" s="155" t="s">
        <v>192</v>
      </c>
      <c r="E22" s="156" t="s">
        <v>193</v>
      </c>
    </row>
    <row r="23" spans="2:5" ht="15.75" customHeight="1" x14ac:dyDescent="0.2">
      <c r="B23" s="157" t="s">
        <v>207</v>
      </c>
      <c r="C23" s="173">
        <f>(C4-4800.9)/4800.9</f>
        <v>1.2443708471328294</v>
      </c>
      <c r="D23" s="173">
        <f>(D4-C4)/C4</f>
        <v>0.24770301624129931</v>
      </c>
      <c r="E23" s="174">
        <f>(E4-D4)/D4</f>
        <v>3.7563225230586132E-2</v>
      </c>
    </row>
    <row r="24" spans="2:5" ht="15.75" customHeight="1" x14ac:dyDescent="0.2">
      <c r="B24" s="161" t="s">
        <v>208</v>
      </c>
      <c r="C24" s="175" t="s">
        <v>209</v>
      </c>
      <c r="D24" s="176">
        <f>(D7-C7)/C7</f>
        <v>0.4589041095890411</v>
      </c>
      <c r="E24" s="177">
        <f>(E7-D7)/D7</f>
        <v>-0.15910276473656756</v>
      </c>
    </row>
    <row r="25" spans="2:5" ht="15.75" customHeight="1" x14ac:dyDescent="0.2">
      <c r="B25" s="161" t="s">
        <v>210</v>
      </c>
      <c r="C25" s="178">
        <f>C7/C4</f>
        <v>0.12194895591647331</v>
      </c>
      <c r="D25" s="176">
        <f>D7/D4</f>
        <v>0.14259149062778934</v>
      </c>
      <c r="E25" s="177">
        <f>E7/E4</f>
        <v>0.11556383970177074</v>
      </c>
    </row>
    <row r="26" spans="2:5" ht="15.75" customHeight="1" x14ac:dyDescent="0.2">
      <c r="B26" s="161" t="s">
        <v>211</v>
      </c>
      <c r="C26" s="178">
        <f>(C4-C5)/C4</f>
        <v>0.13392111368909512</v>
      </c>
      <c r="D26" s="176">
        <f>(D4-D5)/D4</f>
        <v>0.15330258851532283</v>
      </c>
      <c r="E26" s="177">
        <f>(E4-E5)/E4</f>
        <v>0.11169259445121514</v>
      </c>
    </row>
    <row r="27" spans="2:5" ht="15.75" customHeight="1" x14ac:dyDescent="0.2">
      <c r="B27" s="161" t="s">
        <v>212</v>
      </c>
      <c r="C27" s="178">
        <f>C5/C4</f>
        <v>0.86607888631090491</v>
      </c>
      <c r="D27" s="176">
        <f>D5/D4</f>
        <v>0.84669741148467714</v>
      </c>
      <c r="E27" s="177">
        <f>E5/E4</f>
        <v>0.88830740554878485</v>
      </c>
    </row>
    <row r="28" spans="2:5" ht="15.75" customHeight="1" x14ac:dyDescent="0.2">
      <c r="B28" s="161" t="s">
        <v>213</v>
      </c>
      <c r="C28" s="178">
        <f>C7/C11</f>
        <v>8.0092649030842372E-2</v>
      </c>
      <c r="D28" s="176">
        <f>D7/D11</f>
        <v>0.11160922217047042</v>
      </c>
      <c r="E28" s="177">
        <f>E7/E11</f>
        <v>9.2077454732392761E-2</v>
      </c>
    </row>
    <row r="29" spans="2:5" ht="15.75" customHeight="1" x14ac:dyDescent="0.2">
      <c r="B29" s="161" t="s">
        <v>214</v>
      </c>
      <c r="C29" s="178">
        <f>C7/C12</f>
        <v>0.23285486443381181</v>
      </c>
      <c r="D29" s="176">
        <f>D7/D12</f>
        <v>0.25177304964539005</v>
      </c>
      <c r="E29" s="177">
        <f>E7/E12</f>
        <v>0.22907488986784141</v>
      </c>
    </row>
    <row r="30" spans="2:5" ht="15.75" customHeight="1" x14ac:dyDescent="0.2">
      <c r="B30" s="161" t="s">
        <v>215</v>
      </c>
      <c r="C30" s="178">
        <f>C19/C11</f>
        <v>0.65604047299768375</v>
      </c>
      <c r="D30" s="176">
        <f>D19/D11</f>
        <v>0.55670703306939917</v>
      </c>
      <c r="E30" s="177">
        <f>E19/E11</f>
        <v>0.59804649568743928</v>
      </c>
    </row>
    <row r="31" spans="2:5" ht="15.75" customHeight="1" x14ac:dyDescent="0.2">
      <c r="B31" s="165" t="s">
        <v>216</v>
      </c>
      <c r="C31" s="179">
        <f>C12/C11</f>
        <v>0.34395952700231625</v>
      </c>
      <c r="D31" s="180">
        <f>D12/D11</f>
        <v>0.44329296693060083</v>
      </c>
      <c r="E31" s="181">
        <f>E12/E11</f>
        <v>0.40195350431256072</v>
      </c>
    </row>
    <row r="33" spans="2:2" ht="15.75" customHeight="1" x14ac:dyDescent="0.2">
      <c r="B33" s="151" t="s">
        <v>217</v>
      </c>
    </row>
    <row r="35" spans="2:2" ht="15.75" customHeight="1" x14ac:dyDescent="0.2">
      <c r="B35" s="151" t="s">
        <v>218</v>
      </c>
    </row>
    <row r="36" spans="2:2" ht="15.75" customHeight="1" x14ac:dyDescent="0.2">
      <c r="B36" s="151" t="s">
        <v>219</v>
      </c>
    </row>
  </sheetData>
  <printOptions horizontalCentered="1"/>
  <pageMargins left="0.4" right="0.4" top="0.5" bottom="0.5" header="0.511811023622047" footer="0.511811023622047"/>
  <pageSetup paperSize="9"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P165"/>
  <sheetViews>
    <sheetView showGridLines="0" zoomScaleNormal="100" workbookViewId="0">
      <pane xSplit="5" ySplit="3" topLeftCell="F4" activePane="bottomRight" state="frozen"/>
      <selection pane="topRight" activeCell="F1" sqref="F1"/>
      <selection pane="bottomLeft" activeCell="A4" sqref="A4"/>
      <selection pane="bottomRight"/>
    </sheetView>
  </sheetViews>
  <sheetFormatPr baseColWidth="10" defaultColWidth="8.6640625" defaultRowHeight="15" x14ac:dyDescent="0.2"/>
  <cols>
    <col min="1" max="1" width="3" customWidth="1"/>
    <col min="2" max="2" width="44" customWidth="1"/>
    <col min="3" max="3" width="13" customWidth="1"/>
    <col min="4" max="4" width="3" customWidth="1"/>
    <col min="5" max="5" width="30" customWidth="1"/>
    <col min="6" max="16" width="11" customWidth="1"/>
  </cols>
  <sheetData>
    <row r="1" spans="2:16" ht="15" customHeight="1" x14ac:dyDescent="0.2">
      <c r="B1" s="85" t="s">
        <v>220</v>
      </c>
    </row>
    <row r="3" spans="2:16" ht="15" customHeight="1" x14ac:dyDescent="0.2">
      <c r="B3" s="86" t="s">
        <v>221</v>
      </c>
      <c r="C3" s="86"/>
    </row>
    <row r="4" spans="2:16" ht="15" customHeight="1" x14ac:dyDescent="0.2">
      <c r="B4" s="88" t="s">
        <v>31</v>
      </c>
      <c r="C4" s="182">
        <f>'Sources &amp; Checks'!$B$14</f>
        <v>0.12</v>
      </c>
    </row>
    <row r="5" spans="2:16" ht="15" customHeight="1" x14ac:dyDescent="0.2">
      <c r="B5" s="88" t="s">
        <v>222</v>
      </c>
      <c r="C5" s="183">
        <f>'Sources &amp; Checks'!$B$21</f>
        <v>8.0500000000000002E-2</v>
      </c>
    </row>
    <row r="6" spans="2:16" ht="15" customHeight="1" x14ac:dyDescent="0.2">
      <c r="B6" s="88" t="s">
        <v>223</v>
      </c>
      <c r="C6" s="183">
        <f>'Sources &amp; Checks'!$B$22</f>
        <v>0.18279999999999999</v>
      </c>
    </row>
    <row r="7" spans="2:16" ht="15" customHeight="1" x14ac:dyDescent="0.2">
      <c r="B7" s="88" t="s">
        <v>224</v>
      </c>
      <c r="C7" s="183">
        <f>'Sources &amp; Checks'!$B$23</f>
        <v>-2.87E-2</v>
      </c>
    </row>
    <row r="8" spans="2:16" ht="15" customHeight="1" x14ac:dyDescent="0.2">
      <c r="B8" s="88" t="s">
        <v>225</v>
      </c>
      <c r="C8" s="184">
        <f>DCF!$N$20</f>
        <v>13948.5</v>
      </c>
    </row>
    <row r="9" spans="2:16" ht="15" customHeight="1" x14ac:dyDescent="0.2">
      <c r="B9" s="88" t="s">
        <v>226</v>
      </c>
      <c r="C9" s="184">
        <f>'Sources &amp; Checks'!$B$6</f>
        <v>2400</v>
      </c>
    </row>
    <row r="10" spans="2:16" ht="15" customHeight="1" x14ac:dyDescent="0.2">
      <c r="B10" s="88" t="s">
        <v>227</v>
      </c>
      <c r="C10" s="184">
        <f>'Sources &amp; Checks'!$B$7</f>
        <v>1500</v>
      </c>
    </row>
    <row r="11" spans="2:16" ht="15" customHeight="1" x14ac:dyDescent="0.2">
      <c r="B11" s="88" t="s">
        <v>228</v>
      </c>
      <c r="C11" s="184">
        <f>'Sources &amp; Checks'!$B$9</f>
        <v>1066.8</v>
      </c>
    </row>
    <row r="12" spans="2:16" ht="15" customHeight="1" x14ac:dyDescent="0.2">
      <c r="B12" s="88" t="s">
        <v>24</v>
      </c>
      <c r="C12" s="185">
        <f>DCF!$D$18</f>
        <v>9</v>
      </c>
    </row>
    <row r="14" spans="2:16" ht="15" customHeight="1" x14ac:dyDescent="0.2">
      <c r="B14" s="186" t="s">
        <v>229</v>
      </c>
    </row>
    <row r="15" spans="2:16" ht="15" customHeight="1" x14ac:dyDescent="0.2">
      <c r="B15" s="86" t="s">
        <v>11</v>
      </c>
      <c r="C15" s="86"/>
      <c r="D15" s="86"/>
      <c r="E15" s="86"/>
      <c r="F15" s="86"/>
      <c r="G15" s="86"/>
      <c r="H15" s="86"/>
      <c r="I15" s="86"/>
      <c r="J15" s="86"/>
      <c r="K15" s="86"/>
      <c r="L15" s="86"/>
      <c r="M15" s="86"/>
      <c r="N15" s="86"/>
      <c r="O15" s="86"/>
      <c r="P15" s="86"/>
    </row>
    <row r="16" spans="2:16" ht="15" customHeight="1" x14ac:dyDescent="0.2">
      <c r="B16" s="187" t="s">
        <v>230</v>
      </c>
      <c r="C16" s="187" t="s">
        <v>144</v>
      </c>
      <c r="E16" s="187" t="s">
        <v>231</v>
      </c>
      <c r="F16" s="188" t="str">
        <f>"FY"&amp;RIGHT(DCF!O$38,2)</f>
        <v>FY26</v>
      </c>
      <c r="G16" s="188" t="str">
        <f>"FY"&amp;RIGHT(DCF!P$38,2)</f>
        <v>FY27</v>
      </c>
      <c r="H16" s="188" t="str">
        <f>"FY"&amp;RIGHT(DCF!Q$38,2)</f>
        <v>FY28</v>
      </c>
      <c r="I16" s="188" t="str">
        <f>"FY"&amp;RIGHT(DCF!R$38,2)</f>
        <v>FY29</v>
      </c>
      <c r="J16" s="188" t="str">
        <f>"FY"&amp;RIGHT(DCF!S$38,2)</f>
        <v>FY30</v>
      </c>
      <c r="K16" s="188" t="str">
        <f>"FY"&amp;RIGHT(DCF!T$38,2)</f>
        <v>FY31</v>
      </c>
      <c r="L16" s="188" t="str">
        <f>"FY"&amp;RIGHT(DCF!U$38,2)</f>
        <v>FY32</v>
      </c>
      <c r="M16" s="188" t="str">
        <f>"FY"&amp;RIGHT(DCF!V$38,2)</f>
        <v>FY33</v>
      </c>
      <c r="N16" s="188" t="str">
        <f>"FY"&amp;RIGHT(DCF!W$38,2)</f>
        <v>FY34</v>
      </c>
      <c r="O16" s="188" t="str">
        <f>"FY"&amp;RIGHT(DCF!X$38,2)</f>
        <v>FY35</v>
      </c>
      <c r="P16" s="188" t="s">
        <v>38</v>
      </c>
    </row>
    <row r="17" spans="2:16" ht="15" customHeight="1" x14ac:dyDescent="0.2">
      <c r="B17" s="88" t="s">
        <v>232</v>
      </c>
      <c r="C17" s="183">
        <f>DCF!$H$11</f>
        <v>7.0000000000000007E-2</v>
      </c>
      <c r="E17" s="88" t="s">
        <v>71</v>
      </c>
      <c r="F17" s="189">
        <f>$C$17</f>
        <v>7.0000000000000007E-2</v>
      </c>
      <c r="G17" s="189">
        <f t="shared" ref="G17:O17" si="0">F17-($C$17-$C$20)/$C$12</f>
        <v>6.3333333333333339E-2</v>
      </c>
      <c r="H17" s="189">
        <f t="shared" si="0"/>
        <v>5.6666666666666671E-2</v>
      </c>
      <c r="I17" s="189">
        <f t="shared" si="0"/>
        <v>0.05</v>
      </c>
      <c r="J17" s="189">
        <f t="shared" si="0"/>
        <v>4.3333333333333335E-2</v>
      </c>
      <c r="K17" s="189">
        <f t="shared" si="0"/>
        <v>3.6666666666666667E-2</v>
      </c>
      <c r="L17" s="189">
        <f t="shared" si="0"/>
        <v>0.03</v>
      </c>
      <c r="M17" s="189">
        <f t="shared" si="0"/>
        <v>2.3333333333333331E-2</v>
      </c>
      <c r="N17" s="189">
        <f t="shared" si="0"/>
        <v>1.6666666666666663E-2</v>
      </c>
      <c r="O17" s="189">
        <f t="shared" si="0"/>
        <v>9.999999999999995E-3</v>
      </c>
    </row>
    <row r="18" spans="2:16" ht="15" customHeight="1" x14ac:dyDescent="0.2">
      <c r="B18" s="88" t="s">
        <v>233</v>
      </c>
      <c r="C18" s="183">
        <f>DCF!$H$13</f>
        <v>0.16</v>
      </c>
      <c r="E18" s="88" t="s">
        <v>14</v>
      </c>
      <c r="F18" s="190">
        <f>$C$8*(1+F17)</f>
        <v>14924.895</v>
      </c>
      <c r="G18" s="190">
        <f t="shared" ref="G18:O18" si="1">F18*(1+G17)</f>
        <v>15870.138349999999</v>
      </c>
      <c r="H18" s="190">
        <f t="shared" si="1"/>
        <v>16769.446189833332</v>
      </c>
      <c r="I18" s="190">
        <f t="shared" si="1"/>
        <v>17607.918499324998</v>
      </c>
      <c r="J18" s="190">
        <f t="shared" si="1"/>
        <v>18370.928300962416</v>
      </c>
      <c r="K18" s="190">
        <f t="shared" si="1"/>
        <v>19044.529005331038</v>
      </c>
      <c r="L18" s="190">
        <f t="shared" si="1"/>
        <v>19615.86487549097</v>
      </c>
      <c r="M18" s="190">
        <f t="shared" si="1"/>
        <v>20073.568389252428</v>
      </c>
      <c r="N18" s="190">
        <f t="shared" si="1"/>
        <v>20408.127862406633</v>
      </c>
      <c r="O18" s="190">
        <f t="shared" si="1"/>
        <v>20612.2091410307</v>
      </c>
    </row>
    <row r="19" spans="2:16" ht="15" customHeight="1" x14ac:dyDescent="0.2">
      <c r="B19" s="88" t="s">
        <v>19</v>
      </c>
      <c r="C19" s="191">
        <f>DCF!$H$16</f>
        <v>9.1999999999999998E-2</v>
      </c>
      <c r="E19" s="88" t="s">
        <v>234</v>
      </c>
      <c r="F19" s="190">
        <f t="shared" ref="F19:O19" si="2">F18*$C$18*(1-$C$4)</f>
        <v>2101.4252160000001</v>
      </c>
      <c r="G19" s="190">
        <f t="shared" si="2"/>
        <v>2234.5154796799998</v>
      </c>
      <c r="H19" s="190">
        <f t="shared" si="2"/>
        <v>2361.1380235285333</v>
      </c>
      <c r="I19" s="190">
        <f t="shared" si="2"/>
        <v>2479.1949247049597</v>
      </c>
      <c r="J19" s="190">
        <f t="shared" si="2"/>
        <v>2586.6267047755082</v>
      </c>
      <c r="K19" s="190">
        <f t="shared" si="2"/>
        <v>2681.46968395061</v>
      </c>
      <c r="L19" s="190">
        <f t="shared" si="2"/>
        <v>2761.9137744691288</v>
      </c>
      <c r="M19" s="190">
        <f t="shared" si="2"/>
        <v>2826.3584292067421</v>
      </c>
      <c r="N19" s="190">
        <f t="shared" si="2"/>
        <v>2873.4644030268541</v>
      </c>
      <c r="O19" s="190">
        <f t="shared" si="2"/>
        <v>2902.1990470571227</v>
      </c>
      <c r="P19" s="190">
        <f>O19*(1+$C$20)</f>
        <v>2931.2210375276941</v>
      </c>
    </row>
    <row r="20" spans="2:16" ht="15" customHeight="1" x14ac:dyDescent="0.2">
      <c r="B20" s="88" t="s">
        <v>235</v>
      </c>
      <c r="C20" s="183">
        <f>DCF!$H$17</f>
        <v>0.01</v>
      </c>
      <c r="E20" s="88" t="s">
        <v>44</v>
      </c>
      <c r="F20" s="189">
        <f>$C$17/(($C$6-$C$5+$C$7)/($C$18*(1-$C$4)))</f>
        <v>0.13391304347826091</v>
      </c>
      <c r="G20" s="189">
        <f t="shared" ref="G20:O20" si="3">F20-($F20-$C$19)/$C$12</f>
        <v>0.12925603864734303</v>
      </c>
      <c r="H20" s="189">
        <f t="shared" si="3"/>
        <v>0.12459903381642515</v>
      </c>
      <c r="I20" s="189">
        <f t="shared" si="3"/>
        <v>0.11994202898550727</v>
      </c>
      <c r="J20" s="189">
        <f t="shared" si="3"/>
        <v>0.11528502415458938</v>
      </c>
      <c r="K20" s="189">
        <f t="shared" si="3"/>
        <v>0.1106280193236715</v>
      </c>
      <c r="L20" s="189">
        <f t="shared" si="3"/>
        <v>0.10597101449275362</v>
      </c>
      <c r="M20" s="189">
        <f t="shared" si="3"/>
        <v>0.10131400966183574</v>
      </c>
      <c r="N20" s="189">
        <f t="shared" si="3"/>
        <v>9.6657004830917853E-2</v>
      </c>
      <c r="O20" s="189">
        <f t="shared" si="3"/>
        <v>9.1999999999999971E-2</v>
      </c>
      <c r="P20" s="189">
        <f>$C$19</f>
        <v>9.1999999999999998E-2</v>
      </c>
    </row>
    <row r="21" spans="2:16" ht="15" customHeight="1" x14ac:dyDescent="0.2">
      <c r="E21" s="88" t="s">
        <v>43</v>
      </c>
      <c r="F21" s="192">
        <f t="shared" ref="F21:O21" si="4">F17/F20</f>
        <v>0.5227272727272726</v>
      </c>
      <c r="G21" s="192">
        <f t="shared" si="4"/>
        <v>0.48998355509044689</v>
      </c>
      <c r="H21" s="192">
        <f t="shared" si="4"/>
        <v>0.45479218362282869</v>
      </c>
      <c r="I21" s="192">
        <f t="shared" si="4"/>
        <v>0.41686805219912998</v>
      </c>
      <c r="J21" s="192">
        <f t="shared" si="4"/>
        <v>0.3758799865906805</v>
      </c>
      <c r="K21" s="192">
        <f t="shared" si="4"/>
        <v>0.33144104803493452</v>
      </c>
      <c r="L21" s="192">
        <f t="shared" si="4"/>
        <v>0.28309628008752735</v>
      </c>
      <c r="M21" s="192">
        <f t="shared" si="4"/>
        <v>0.23030707610146864</v>
      </c>
      <c r="N21" s="192">
        <f t="shared" si="4"/>
        <v>0.17243102758896442</v>
      </c>
      <c r="O21" s="192">
        <f t="shared" si="4"/>
        <v>0.10869565217391303</v>
      </c>
      <c r="P21" s="192">
        <f>$C$20/P20</f>
        <v>0.10869565217391305</v>
      </c>
    </row>
    <row r="22" spans="2:16" ht="15" customHeight="1" x14ac:dyDescent="0.2">
      <c r="E22" s="88" t="s">
        <v>236</v>
      </c>
      <c r="F22" s="190">
        <f t="shared" ref="F22:O22" si="5">F19*F21</f>
        <v>1098.4722719999997</v>
      </c>
      <c r="G22" s="190">
        <f t="shared" si="5"/>
        <v>1094.8758386382415</v>
      </c>
      <c r="H22" s="190">
        <f t="shared" si="5"/>
        <v>1073.8271175554314</v>
      </c>
      <c r="I22" s="190">
        <f t="shared" si="5"/>
        <v>1033.4971592837253</v>
      </c>
      <c r="J22" s="190">
        <f t="shared" si="5"/>
        <v>972.26121110611416</v>
      </c>
      <c r="K22" s="190">
        <f t="shared" si="5"/>
        <v>888.74912232249483</v>
      </c>
      <c r="L22" s="190">
        <f t="shared" si="5"/>
        <v>781.88751547471236</v>
      </c>
      <c r="M22" s="190">
        <f t="shared" si="5"/>
        <v>650.9303458453445</v>
      </c>
      <c r="N22" s="190">
        <f t="shared" si="5"/>
        <v>495.47441975423067</v>
      </c>
      <c r="O22" s="190">
        <f t="shared" si="5"/>
        <v>315.45641815838286</v>
      </c>
    </row>
    <row r="23" spans="2:16" ht="15" customHeight="1" x14ac:dyDescent="0.2">
      <c r="E23" s="87" t="s">
        <v>45</v>
      </c>
      <c r="F23" s="193">
        <f t="shared" ref="F23:O23" si="6">F19-F22</f>
        <v>1002.9529440000003</v>
      </c>
      <c r="G23" s="193">
        <f t="shared" si="6"/>
        <v>1139.6396410417583</v>
      </c>
      <c r="H23" s="193">
        <f t="shared" si="6"/>
        <v>1287.3109059731019</v>
      </c>
      <c r="I23" s="193">
        <f t="shared" si="6"/>
        <v>1445.6977654212344</v>
      </c>
      <c r="J23" s="193">
        <f t="shared" si="6"/>
        <v>1614.365493669394</v>
      </c>
      <c r="K23" s="193">
        <f t="shared" si="6"/>
        <v>1792.7205616281153</v>
      </c>
      <c r="L23" s="193">
        <f t="shared" si="6"/>
        <v>1980.0262589944164</v>
      </c>
      <c r="M23" s="193">
        <f t="shared" si="6"/>
        <v>2175.4280833613975</v>
      </c>
      <c r="N23" s="193">
        <f t="shared" si="6"/>
        <v>2377.9899832726232</v>
      </c>
      <c r="O23" s="193">
        <f t="shared" si="6"/>
        <v>2586.7426288987399</v>
      </c>
      <c r="P23" s="193">
        <f>P19*(1-P21)</f>
        <v>2612.6100551877271</v>
      </c>
    </row>
    <row r="24" spans="2:16" ht="15" customHeight="1" x14ac:dyDescent="0.2">
      <c r="B24" s="88" t="s">
        <v>237</v>
      </c>
      <c r="C24" s="184">
        <f>SUM(F25:O25)</f>
        <v>10677.234537977503</v>
      </c>
      <c r="E24" s="88" t="s">
        <v>238</v>
      </c>
      <c r="F24" s="194">
        <f>DCF!O$71</f>
        <v>3.4722222222222224E-2</v>
      </c>
      <c r="G24" s="194">
        <f>DCF!P$71</f>
        <v>0.56944444444444442</v>
      </c>
      <c r="H24" s="194">
        <f>DCF!Q$71</f>
        <v>1.5694444444444444</v>
      </c>
      <c r="I24" s="194">
        <f>DCF!R$71</f>
        <v>2.5694444444444446</v>
      </c>
      <c r="J24" s="194">
        <f>DCF!S$71</f>
        <v>3.5694444444444446</v>
      </c>
      <c r="K24" s="194">
        <f>DCF!T$71</f>
        <v>4.5694444444444446</v>
      </c>
      <c r="L24" s="194">
        <f>DCF!U$71</f>
        <v>5.5694444444444446</v>
      </c>
      <c r="M24" s="194">
        <f>DCF!V$71</f>
        <v>6.5694444444444446</v>
      </c>
      <c r="N24" s="194">
        <f>DCF!W$71</f>
        <v>7.5694444444444446</v>
      </c>
      <c r="O24" s="194">
        <f>DCF!X$71</f>
        <v>8.5694444444444446</v>
      </c>
    </row>
    <row r="25" spans="2:16" ht="15" customHeight="1" x14ac:dyDescent="0.2">
      <c r="B25" s="88" t="s">
        <v>75</v>
      </c>
      <c r="C25" s="184">
        <f>P23/($C$19-$C$20)</f>
        <v>31861.098233996672</v>
      </c>
      <c r="E25" s="88" t="s">
        <v>239</v>
      </c>
      <c r="F25" s="190">
        <f>F23*DCF!$O$70/(1+$C$19)^F24</f>
        <v>69.436990635099463</v>
      </c>
      <c r="G25" s="190">
        <f t="shared" ref="G25:O25" si="7">G23/(1+$C$19)^G24</f>
        <v>1083.9316016777798</v>
      </c>
      <c r="H25" s="190">
        <f t="shared" si="7"/>
        <v>1121.2311146836366</v>
      </c>
      <c r="I25" s="190">
        <f t="shared" si="7"/>
        <v>1153.0989161742393</v>
      </c>
      <c r="J25" s="190">
        <f t="shared" si="7"/>
        <v>1179.1479002458113</v>
      </c>
      <c r="K25" s="190">
        <f t="shared" si="7"/>
        <v>1199.1026896073133</v>
      </c>
      <c r="L25" s="190">
        <f t="shared" si="7"/>
        <v>1212.8081004095234</v>
      </c>
      <c r="M25" s="190">
        <f t="shared" si="7"/>
        <v>1220.2343079872005</v>
      </c>
      <c r="N25" s="190">
        <f t="shared" si="7"/>
        <v>1221.4786580093078</v>
      </c>
      <c r="O25" s="190">
        <f t="shared" si="7"/>
        <v>1216.7642585475915</v>
      </c>
    </row>
    <row r="26" spans="2:16" ht="15" customHeight="1" x14ac:dyDescent="0.2">
      <c r="B26" s="88" t="s">
        <v>240</v>
      </c>
      <c r="C26" s="184">
        <f>C25/(1+$C$19)^O24</f>
        <v>14986.974404061795</v>
      </c>
    </row>
    <row r="27" spans="2:16" ht="15" customHeight="1" x14ac:dyDescent="0.2">
      <c r="B27" s="88" t="s">
        <v>241</v>
      </c>
      <c r="C27" s="184">
        <f>C24+C26</f>
        <v>25664.208942039299</v>
      </c>
    </row>
    <row r="28" spans="2:16" ht="15" customHeight="1" x14ac:dyDescent="0.2">
      <c r="B28" s="88" t="s">
        <v>242</v>
      </c>
      <c r="C28" s="184">
        <f>C27+$C$9-$C$10</f>
        <v>26564.208942039299</v>
      </c>
    </row>
    <row r="29" spans="2:16" ht="15" customHeight="1" x14ac:dyDescent="0.2">
      <c r="B29" s="187" t="s">
        <v>243</v>
      </c>
      <c r="C29" s="195">
        <f>C28/$C$11</f>
        <v>24.900833279001969</v>
      </c>
    </row>
    <row r="30" spans="2:16" ht="15" customHeight="1" x14ac:dyDescent="0.2">
      <c r="B30" s="88" t="s">
        <v>244</v>
      </c>
      <c r="C30" s="182">
        <f>1-P23/P19</f>
        <v>0.10869565217391308</v>
      </c>
    </row>
    <row r="31" spans="2:16" ht="15" customHeight="1" x14ac:dyDescent="0.2">
      <c r="B31" s="88" t="s">
        <v>245</v>
      </c>
      <c r="C31" s="182">
        <f>C26/C27</f>
        <v>0.58396401143353993</v>
      </c>
    </row>
    <row r="34" spans="2:16" ht="15" customHeight="1" x14ac:dyDescent="0.2">
      <c r="B34" s="86" t="s">
        <v>63</v>
      </c>
      <c r="C34" s="86"/>
      <c r="D34" s="86"/>
      <c r="E34" s="86"/>
      <c r="F34" s="86"/>
      <c r="G34" s="86"/>
      <c r="H34" s="86"/>
      <c r="I34" s="86"/>
      <c r="J34" s="86"/>
      <c r="K34" s="86"/>
      <c r="L34" s="86"/>
      <c r="M34" s="86"/>
      <c r="N34" s="86"/>
      <c r="O34" s="86"/>
      <c r="P34" s="86"/>
    </row>
    <row r="35" spans="2:16" ht="15" customHeight="1" x14ac:dyDescent="0.2">
      <c r="B35" s="187" t="s">
        <v>230</v>
      </c>
      <c r="C35" s="187" t="s">
        <v>144</v>
      </c>
      <c r="E35" s="187" t="s">
        <v>231</v>
      </c>
      <c r="F35" s="188" t="str">
        <f>"FY"&amp;RIGHT(DCF!O$38,2)</f>
        <v>FY26</v>
      </c>
      <c r="G35" s="188" t="str">
        <f>"FY"&amp;RIGHT(DCF!P$38,2)</f>
        <v>FY27</v>
      </c>
      <c r="H35" s="188" t="str">
        <f>"FY"&amp;RIGHT(DCF!Q$38,2)</f>
        <v>FY28</v>
      </c>
      <c r="I35" s="188" t="str">
        <f>"FY"&amp;RIGHT(DCF!R$38,2)</f>
        <v>FY29</v>
      </c>
      <c r="J35" s="188" t="str">
        <f>"FY"&amp;RIGHT(DCF!S$38,2)</f>
        <v>FY30</v>
      </c>
      <c r="K35" s="188" t="str">
        <f>"FY"&amp;RIGHT(DCF!T$38,2)</f>
        <v>FY31</v>
      </c>
      <c r="L35" s="188" t="str">
        <f>"FY"&amp;RIGHT(DCF!U$38,2)</f>
        <v>FY32</v>
      </c>
      <c r="M35" s="188" t="str">
        <f>"FY"&amp;RIGHT(DCF!V$38,2)</f>
        <v>FY33</v>
      </c>
      <c r="N35" s="188" t="str">
        <f>"FY"&amp;RIGHT(DCF!W$38,2)</f>
        <v>FY34</v>
      </c>
      <c r="O35" s="188" t="str">
        <f>"FY"&amp;RIGHT(DCF!X$38,2)</f>
        <v>FY35</v>
      </c>
      <c r="P35" s="188" t="s">
        <v>38</v>
      </c>
    </row>
    <row r="36" spans="2:16" ht="15" customHeight="1" x14ac:dyDescent="0.2">
      <c r="B36" s="88" t="s">
        <v>232</v>
      </c>
      <c r="C36" s="183">
        <f>DCF!$L$11</f>
        <v>9.0899999999999995E-2</v>
      </c>
      <c r="E36" s="88" t="s">
        <v>71</v>
      </c>
      <c r="F36" s="189">
        <f>$C$36</f>
        <v>9.0899999999999995E-2</v>
      </c>
      <c r="G36" s="189">
        <f t="shared" ref="G36:O36" si="8">F36-($C$36-$C$39)/$C$12</f>
        <v>8.246666666666666E-2</v>
      </c>
      <c r="H36" s="189">
        <f t="shared" si="8"/>
        <v>7.4033333333333326E-2</v>
      </c>
      <c r="I36" s="189">
        <f t="shared" si="8"/>
        <v>6.5599999999999992E-2</v>
      </c>
      <c r="J36" s="189">
        <f t="shared" si="8"/>
        <v>5.7166666666666657E-2</v>
      </c>
      <c r="K36" s="189">
        <f t="shared" si="8"/>
        <v>4.8733333333333323E-2</v>
      </c>
      <c r="L36" s="189">
        <f t="shared" si="8"/>
        <v>4.0299999999999989E-2</v>
      </c>
      <c r="M36" s="189">
        <f t="shared" si="8"/>
        <v>3.1866666666666654E-2</v>
      </c>
      <c r="N36" s="189">
        <f t="shared" si="8"/>
        <v>2.343333333333332E-2</v>
      </c>
      <c r="O36" s="189">
        <f t="shared" si="8"/>
        <v>1.4999999999999987E-2</v>
      </c>
    </row>
    <row r="37" spans="2:16" ht="15" customHeight="1" x14ac:dyDescent="0.2">
      <c r="B37" s="88" t="s">
        <v>233</v>
      </c>
      <c r="C37" s="183">
        <f>DCF!$L$13</f>
        <v>0.17219999999999999</v>
      </c>
      <c r="E37" s="88" t="s">
        <v>14</v>
      </c>
      <c r="F37" s="190">
        <f>$C$8*(1+F36)</f>
        <v>15216.41865</v>
      </c>
      <c r="G37" s="190">
        <f t="shared" ref="G37:O37" si="9">F37*(1+G36)</f>
        <v>16471.265974670001</v>
      </c>
      <c r="H37" s="190">
        <f t="shared" si="9"/>
        <v>17690.688698994738</v>
      </c>
      <c r="I37" s="190">
        <f t="shared" si="9"/>
        <v>18851.197877648792</v>
      </c>
      <c r="J37" s="190">
        <f t="shared" si="9"/>
        <v>19928.858022987712</v>
      </c>
      <c r="K37" s="190">
        <f t="shared" si="9"/>
        <v>20900.057703974646</v>
      </c>
      <c r="L37" s="190">
        <f t="shared" si="9"/>
        <v>21742.330029444824</v>
      </c>
      <c r="M37" s="190">
        <f t="shared" si="9"/>
        <v>22435.185613049798</v>
      </c>
      <c r="N37" s="190">
        <f t="shared" si="9"/>
        <v>22960.9167959156</v>
      </c>
      <c r="O37" s="190">
        <f t="shared" si="9"/>
        <v>23305.330547854333</v>
      </c>
    </row>
    <row r="38" spans="2:16" ht="15" customHeight="1" x14ac:dyDescent="0.2">
      <c r="B38" s="88" t="s">
        <v>19</v>
      </c>
      <c r="C38" s="191">
        <f>DCF!$L$16</f>
        <v>8.5802788961878651E-2</v>
      </c>
      <c r="E38" s="88" t="s">
        <v>234</v>
      </c>
      <c r="F38" s="190">
        <f t="shared" ref="F38:O38" si="10">F37*$C$37*(1-$C$4)</f>
        <v>2305.8352165463998</v>
      </c>
      <c r="G38" s="190">
        <f t="shared" si="10"/>
        <v>2495.9897607375933</v>
      </c>
      <c r="H38" s="190">
        <f t="shared" si="10"/>
        <v>2680.7762026908667</v>
      </c>
      <c r="I38" s="190">
        <f t="shared" si="10"/>
        <v>2856.6351215873874</v>
      </c>
      <c r="J38" s="190">
        <f t="shared" si="10"/>
        <v>3019.9394293714658</v>
      </c>
      <c r="K38" s="190">
        <f t="shared" si="10"/>
        <v>3167.1111442295019</v>
      </c>
      <c r="L38" s="190">
        <f t="shared" si="10"/>
        <v>3294.7457233419509</v>
      </c>
      <c r="M38" s="190">
        <f t="shared" si="10"/>
        <v>3399.7382870591141</v>
      </c>
      <c r="N38" s="190">
        <f t="shared" si="10"/>
        <v>3479.405487585866</v>
      </c>
      <c r="O38" s="190">
        <f t="shared" si="10"/>
        <v>3531.5965698996538</v>
      </c>
      <c r="P38" s="190">
        <f>O38*(1+$C$39)</f>
        <v>3584.5705184481481</v>
      </c>
    </row>
    <row r="39" spans="2:16" ht="15" customHeight="1" x14ac:dyDescent="0.2">
      <c r="B39" s="88" t="s">
        <v>235</v>
      </c>
      <c r="C39" s="183">
        <f>DCF!$L$17</f>
        <v>1.4999999999999999E-2</v>
      </c>
      <c r="E39" s="88" t="s">
        <v>44</v>
      </c>
      <c r="F39" s="189">
        <f>$C$36/(($C$6-$C$5+$C$7)/($C$37*(1-$C$4)))</f>
        <v>0.18715519565217395</v>
      </c>
      <c r="G39" s="189">
        <f t="shared" ref="G39:O39" si="11">F39-($F39-$C$38)/$C$12</f>
        <v>0.17589381713103003</v>
      </c>
      <c r="H39" s="189">
        <f t="shared" si="11"/>
        <v>0.16463243860988611</v>
      </c>
      <c r="I39" s="189">
        <f t="shared" si="11"/>
        <v>0.15337106008874218</v>
      </c>
      <c r="J39" s="189">
        <f t="shared" si="11"/>
        <v>0.14210968156759826</v>
      </c>
      <c r="K39" s="189">
        <f t="shared" si="11"/>
        <v>0.13084830304645434</v>
      </c>
      <c r="L39" s="189">
        <f t="shared" si="11"/>
        <v>0.11958692452531042</v>
      </c>
      <c r="M39" s="189">
        <f t="shared" si="11"/>
        <v>0.1083255460041665</v>
      </c>
      <c r="N39" s="189">
        <f t="shared" si="11"/>
        <v>9.7064167483022573E-2</v>
      </c>
      <c r="O39" s="189">
        <f t="shared" si="11"/>
        <v>8.5802788961878651E-2</v>
      </c>
      <c r="P39" s="189">
        <f>$C$38</f>
        <v>8.5802788961878651E-2</v>
      </c>
    </row>
    <row r="40" spans="2:16" ht="15" customHeight="1" x14ac:dyDescent="0.2">
      <c r="E40" s="88" t="s">
        <v>43</v>
      </c>
      <c r="F40" s="192">
        <f t="shared" ref="F40:O40" si="12">F36/F39</f>
        <v>0.48569316861999778</v>
      </c>
      <c r="G40" s="192">
        <f t="shared" si="12"/>
        <v>0.46884346483443523</v>
      </c>
      <c r="H40" s="192">
        <f t="shared" si="12"/>
        <v>0.44968861518696873</v>
      </c>
      <c r="I40" s="192">
        <f t="shared" si="12"/>
        <v>0.42772084878361738</v>
      </c>
      <c r="J40" s="192">
        <f t="shared" si="12"/>
        <v>0.40227144298732248</v>
      </c>
      <c r="K40" s="192">
        <f t="shared" si="12"/>
        <v>0.37244146235531844</v>
      </c>
      <c r="L40" s="192">
        <f t="shared" si="12"/>
        <v>0.33699336411541003</v>
      </c>
      <c r="M40" s="192">
        <f t="shared" si="12"/>
        <v>0.29417499234613576</v>
      </c>
      <c r="N40" s="192">
        <f t="shared" si="12"/>
        <v>0.24142105105297512</v>
      </c>
      <c r="O40" s="192">
        <f t="shared" si="12"/>
        <v>0.17481949225058804</v>
      </c>
      <c r="P40" s="192">
        <f>$C$39/P39</f>
        <v>0.17481949225058821</v>
      </c>
    </row>
    <row r="41" spans="2:16" ht="15" customHeight="1" x14ac:dyDescent="0.2">
      <c r="E41" s="88" t="s">
        <v>236</v>
      </c>
      <c r="F41" s="190">
        <f t="shared" ref="F41:O41" si="13">F38*F40</f>
        <v>1119.9284126399996</v>
      </c>
      <c r="G41" s="190">
        <f t="shared" si="13"/>
        <v>1170.2284876154863</v>
      </c>
      <c r="H41" s="190">
        <f t="shared" si="13"/>
        <v>1205.5145382142364</v>
      </c>
      <c r="I41" s="190">
        <f t="shared" si="13"/>
        <v>1221.8423988704494</v>
      </c>
      <c r="J41" s="190">
        <f t="shared" si="13"/>
        <v>1214.8353919875708</v>
      </c>
      <c r="K41" s="190">
        <f t="shared" si="13"/>
        <v>1179.5635059986616</v>
      </c>
      <c r="L41" s="190">
        <f t="shared" si="13"/>
        <v>1110.307445213864</v>
      </c>
      <c r="M41" s="190">
        <f t="shared" si="13"/>
        <v>1000.1179845744796</v>
      </c>
      <c r="N41" s="190">
        <f t="shared" si="13"/>
        <v>840.00172985246911</v>
      </c>
      <c r="O41" s="190">
        <f t="shared" si="13"/>
        <v>617.39191918377583</v>
      </c>
    </row>
    <row r="42" spans="2:16" ht="15" customHeight="1" x14ac:dyDescent="0.2">
      <c r="E42" s="87" t="s">
        <v>45</v>
      </c>
      <c r="F42" s="193">
        <f t="shared" ref="F42:O42" si="14">F38-F41</f>
        <v>1185.9068039064002</v>
      </c>
      <c r="G42" s="193">
        <f t="shared" si="14"/>
        <v>1325.761273122107</v>
      </c>
      <c r="H42" s="193">
        <f t="shared" si="14"/>
        <v>1475.2616644766304</v>
      </c>
      <c r="I42" s="193">
        <f t="shared" si="14"/>
        <v>1634.792722716938</v>
      </c>
      <c r="J42" s="193">
        <f t="shared" si="14"/>
        <v>1805.104037383895</v>
      </c>
      <c r="K42" s="193">
        <f t="shared" si="14"/>
        <v>1987.5476382308402</v>
      </c>
      <c r="L42" s="193">
        <f t="shared" si="14"/>
        <v>2184.4382781280869</v>
      </c>
      <c r="M42" s="193">
        <f t="shared" si="14"/>
        <v>2399.6203024846345</v>
      </c>
      <c r="N42" s="193">
        <f t="shared" si="14"/>
        <v>2639.403757733397</v>
      </c>
      <c r="O42" s="193">
        <f t="shared" si="14"/>
        <v>2914.204650715878</v>
      </c>
      <c r="P42" s="193">
        <f>P38*(1-P40)</f>
        <v>2957.9177204766152</v>
      </c>
    </row>
    <row r="43" spans="2:16" ht="15" customHeight="1" x14ac:dyDescent="0.2">
      <c r="B43" s="88" t="s">
        <v>237</v>
      </c>
      <c r="C43" s="184">
        <f>SUM(F44:O44)</f>
        <v>12309.845409660782</v>
      </c>
      <c r="E43" s="88" t="s">
        <v>238</v>
      </c>
      <c r="F43" s="194">
        <f>DCF!O$71</f>
        <v>3.4722222222222224E-2</v>
      </c>
      <c r="G43" s="194">
        <f>DCF!P$71</f>
        <v>0.56944444444444442</v>
      </c>
      <c r="H43" s="194">
        <f>DCF!Q$71</f>
        <v>1.5694444444444444</v>
      </c>
      <c r="I43" s="194">
        <f>DCF!R$71</f>
        <v>2.5694444444444446</v>
      </c>
      <c r="J43" s="194">
        <f>DCF!S$71</f>
        <v>3.5694444444444446</v>
      </c>
      <c r="K43" s="194">
        <f>DCF!T$71</f>
        <v>4.5694444444444446</v>
      </c>
      <c r="L43" s="194">
        <f>DCF!U$71</f>
        <v>5.5694444444444446</v>
      </c>
      <c r="M43" s="194">
        <f>DCF!V$71</f>
        <v>6.5694444444444446</v>
      </c>
      <c r="N43" s="194">
        <f>DCF!W$71</f>
        <v>7.5694444444444446</v>
      </c>
      <c r="O43" s="194">
        <f>DCF!X$71</f>
        <v>8.5694444444444446</v>
      </c>
    </row>
    <row r="44" spans="2:16" ht="15" customHeight="1" x14ac:dyDescent="0.2">
      <c r="B44" s="88" t="s">
        <v>75</v>
      </c>
      <c r="C44" s="184">
        <f>P42/($C$38-$C$39)</f>
        <v>41776.853198102195</v>
      </c>
      <c r="E44" s="88" t="s">
        <v>239</v>
      </c>
      <c r="F44" s="190">
        <f>F42*DCF!$O$70/(1+$C$38)^F43</f>
        <v>82.11957936015763</v>
      </c>
      <c r="G44" s="190">
        <f t="shared" ref="G44:O44" si="15">G42/(1+$C$38)^G43</f>
        <v>1265.0484160613914</v>
      </c>
      <c r="H44" s="190">
        <f t="shared" si="15"/>
        <v>1296.4623909655973</v>
      </c>
      <c r="I44" s="190">
        <f t="shared" si="15"/>
        <v>1323.1302805920577</v>
      </c>
      <c r="J44" s="190">
        <f t="shared" si="15"/>
        <v>1345.5232221825761</v>
      </c>
      <c r="K44" s="190">
        <f t="shared" si="15"/>
        <v>1364.4434911799585</v>
      </c>
      <c r="L44" s="190">
        <f t="shared" si="15"/>
        <v>1381.1054290297325</v>
      </c>
      <c r="M44" s="190">
        <f t="shared" si="15"/>
        <v>1397.264513031799</v>
      </c>
      <c r="N44" s="190">
        <f t="shared" si="15"/>
        <v>1415.4384187401279</v>
      </c>
      <c r="O44" s="190">
        <f t="shared" si="15"/>
        <v>1439.3096685173828</v>
      </c>
    </row>
    <row r="45" spans="2:16" ht="15" customHeight="1" x14ac:dyDescent="0.2">
      <c r="B45" s="88" t="s">
        <v>240</v>
      </c>
      <c r="C45" s="184">
        <f>C44/(1+$C$38)^O43</f>
        <v>20633.358303607423</v>
      </c>
    </row>
    <row r="46" spans="2:16" ht="15" customHeight="1" x14ac:dyDescent="0.2">
      <c r="B46" s="88" t="s">
        <v>241</v>
      </c>
      <c r="C46" s="184">
        <f>C43+C45</f>
        <v>32943.203713268202</v>
      </c>
    </row>
    <row r="47" spans="2:16" ht="15" customHeight="1" x14ac:dyDescent="0.2">
      <c r="B47" s="88" t="s">
        <v>242</v>
      </c>
      <c r="C47" s="184">
        <f>C46+$C$9-$C$10</f>
        <v>33843.203713268202</v>
      </c>
    </row>
    <row r="48" spans="2:16" ht="15" customHeight="1" x14ac:dyDescent="0.2">
      <c r="B48" s="187" t="s">
        <v>243</v>
      </c>
      <c r="C48" s="195">
        <f>C47/$C$11</f>
        <v>31.724037976441885</v>
      </c>
    </row>
    <row r="49" spans="2:16" ht="15" customHeight="1" x14ac:dyDescent="0.2">
      <c r="B49" s="88" t="s">
        <v>244</v>
      </c>
      <c r="C49" s="182">
        <f>1-P42/P38</f>
        <v>0.17481949225058824</v>
      </c>
    </row>
    <row r="50" spans="2:16" ht="15" customHeight="1" x14ac:dyDescent="0.2">
      <c r="B50" s="88" t="s">
        <v>245</v>
      </c>
      <c r="C50" s="182">
        <f>C45/C46</f>
        <v>0.62633126040795883</v>
      </c>
    </row>
    <row r="53" spans="2:16" ht="15" customHeight="1" x14ac:dyDescent="0.2">
      <c r="B53" s="86" t="s">
        <v>13</v>
      </c>
      <c r="C53" s="86"/>
      <c r="D53" s="86"/>
      <c r="E53" s="86"/>
      <c r="F53" s="86"/>
      <c r="G53" s="86"/>
      <c r="H53" s="86"/>
      <c r="I53" s="86"/>
      <c r="J53" s="86"/>
      <c r="K53" s="86"/>
      <c r="L53" s="86"/>
      <c r="M53" s="86"/>
      <c r="N53" s="86"/>
      <c r="O53" s="86"/>
      <c r="P53" s="86"/>
    </row>
    <row r="54" spans="2:16" ht="15" customHeight="1" x14ac:dyDescent="0.2">
      <c r="B54" s="187" t="s">
        <v>230</v>
      </c>
      <c r="C54" s="187" t="s">
        <v>144</v>
      </c>
      <c r="E54" s="187" t="s">
        <v>231</v>
      </c>
      <c r="F54" s="188" t="str">
        <f>"FY"&amp;RIGHT(DCF!O$38,2)</f>
        <v>FY26</v>
      </c>
      <c r="G54" s="188" t="str">
        <f>"FY"&amp;RIGHT(DCF!P$38,2)</f>
        <v>FY27</v>
      </c>
      <c r="H54" s="188" t="str">
        <f>"FY"&amp;RIGHT(DCF!Q$38,2)</f>
        <v>FY28</v>
      </c>
      <c r="I54" s="188" t="str">
        <f>"FY"&amp;RIGHT(DCF!R$38,2)</f>
        <v>FY29</v>
      </c>
      <c r="J54" s="188" t="str">
        <f>"FY"&amp;RIGHT(DCF!S$38,2)</f>
        <v>FY30</v>
      </c>
      <c r="K54" s="188" t="str">
        <f>"FY"&amp;RIGHT(DCF!T$38,2)</f>
        <v>FY31</v>
      </c>
      <c r="L54" s="188" t="str">
        <f>"FY"&amp;RIGHT(DCF!U$38,2)</f>
        <v>FY32</v>
      </c>
      <c r="M54" s="188" t="str">
        <f>"FY"&amp;RIGHT(DCF!V$38,2)</f>
        <v>FY33</v>
      </c>
      <c r="N54" s="188" t="str">
        <f>"FY"&amp;RIGHT(DCF!W$38,2)</f>
        <v>FY34</v>
      </c>
      <c r="O54" s="188" t="str">
        <f>"FY"&amp;RIGHT(DCF!X$38,2)</f>
        <v>FY35</v>
      </c>
      <c r="P54" s="188" t="s">
        <v>38</v>
      </c>
    </row>
    <row r="55" spans="2:16" ht="15" customHeight="1" x14ac:dyDescent="0.2">
      <c r="B55" s="88" t="s">
        <v>232</v>
      </c>
      <c r="C55" s="183">
        <f>DCF!$P$11</f>
        <v>0.11</v>
      </c>
      <c r="E55" s="88" t="s">
        <v>71</v>
      </c>
      <c r="F55" s="189">
        <f>$C$55</f>
        <v>0.11</v>
      </c>
      <c r="G55" s="189">
        <f t="shared" ref="G55:O55" si="16">F55-($C$55-$C$58)/$C$12</f>
        <v>0.1</v>
      </c>
      <c r="H55" s="189">
        <f t="shared" si="16"/>
        <v>9.0000000000000011E-2</v>
      </c>
      <c r="I55" s="189">
        <f t="shared" si="16"/>
        <v>8.0000000000000016E-2</v>
      </c>
      <c r="J55" s="189">
        <f t="shared" si="16"/>
        <v>7.0000000000000021E-2</v>
      </c>
      <c r="K55" s="189">
        <f t="shared" si="16"/>
        <v>6.0000000000000019E-2</v>
      </c>
      <c r="L55" s="189">
        <f t="shared" si="16"/>
        <v>5.0000000000000017E-2</v>
      </c>
      <c r="M55" s="189">
        <f t="shared" si="16"/>
        <v>4.0000000000000015E-2</v>
      </c>
      <c r="N55" s="189">
        <f t="shared" si="16"/>
        <v>3.0000000000000013E-2</v>
      </c>
      <c r="O55" s="189">
        <f t="shared" si="16"/>
        <v>2.0000000000000011E-2</v>
      </c>
    </row>
    <row r="56" spans="2:16" ht="15" customHeight="1" x14ac:dyDescent="0.2">
      <c r="B56" s="88" t="s">
        <v>233</v>
      </c>
      <c r="C56" s="183">
        <f>DCF!$P$13</f>
        <v>0.185</v>
      </c>
      <c r="E56" s="88" t="s">
        <v>14</v>
      </c>
      <c r="F56" s="190">
        <f>$C$8*(1+F55)</f>
        <v>15482.835000000001</v>
      </c>
      <c r="G56" s="190">
        <f t="shared" ref="G56:O56" si="17">F56*(1+G55)</f>
        <v>17031.118500000004</v>
      </c>
      <c r="H56" s="190">
        <f t="shared" si="17"/>
        <v>18563.919165000007</v>
      </c>
      <c r="I56" s="190">
        <f t="shared" si="17"/>
        <v>20049.032698200008</v>
      </c>
      <c r="J56" s="190">
        <f t="shared" si="17"/>
        <v>21452.46498707401</v>
      </c>
      <c r="K56" s="190">
        <f t="shared" si="17"/>
        <v>22739.612886298451</v>
      </c>
      <c r="L56" s="190">
        <f t="shared" si="17"/>
        <v>23876.593530613376</v>
      </c>
      <c r="M56" s="190">
        <f t="shared" si="17"/>
        <v>24831.65727183791</v>
      </c>
      <c r="N56" s="190">
        <f t="shared" si="17"/>
        <v>25576.606989993048</v>
      </c>
      <c r="O56" s="190">
        <f t="shared" si="17"/>
        <v>26088.139129792911</v>
      </c>
    </row>
    <row r="57" spans="2:16" ht="15" customHeight="1" x14ac:dyDescent="0.2">
      <c r="B57" s="88" t="s">
        <v>19</v>
      </c>
      <c r="C57" s="191">
        <f>DCF!$P$16</f>
        <v>8.2000000000000003E-2</v>
      </c>
      <c r="E57" s="88" t="s">
        <v>234</v>
      </c>
      <c r="F57" s="190">
        <f t="shared" ref="F57:O57" si="18">F56*$C$56*(1-$C$4)</f>
        <v>2520.6055380000003</v>
      </c>
      <c r="G57" s="190">
        <f t="shared" si="18"/>
        <v>2772.6660918000007</v>
      </c>
      <c r="H57" s="190">
        <f t="shared" si="18"/>
        <v>3022.2060400620012</v>
      </c>
      <c r="I57" s="190">
        <f t="shared" si="18"/>
        <v>3263.9825232669614</v>
      </c>
      <c r="J57" s="190">
        <f t="shared" si="18"/>
        <v>3492.4612998956491</v>
      </c>
      <c r="K57" s="190">
        <f t="shared" si="18"/>
        <v>3702.0089778893876</v>
      </c>
      <c r="L57" s="190">
        <f t="shared" si="18"/>
        <v>3887.1094267838571</v>
      </c>
      <c r="M57" s="190">
        <f t="shared" si="18"/>
        <v>4042.5938038552117</v>
      </c>
      <c r="N57" s="190">
        <f t="shared" si="18"/>
        <v>4163.8716179708681</v>
      </c>
      <c r="O57" s="190">
        <f t="shared" si="18"/>
        <v>4247.1490503302857</v>
      </c>
      <c r="P57" s="190">
        <f>O57*(1+$C$58)</f>
        <v>4332.0920313368915</v>
      </c>
    </row>
    <row r="58" spans="2:16" ht="15" customHeight="1" x14ac:dyDescent="0.2">
      <c r="B58" s="88" t="s">
        <v>235</v>
      </c>
      <c r="C58" s="183">
        <f>DCF!$P$17</f>
        <v>0.02</v>
      </c>
      <c r="E58" s="88" t="s">
        <v>44</v>
      </c>
      <c r="F58" s="189">
        <f>$C$55/(($C$6-$C$5+$C$7)/($C$56*(1-$C$4)))</f>
        <v>0.24331521739130441</v>
      </c>
      <c r="G58" s="189">
        <f t="shared" ref="G58:O58" si="19">F58-($F58-$C$57)/$C$12</f>
        <v>0.22539130434782614</v>
      </c>
      <c r="H58" s="189">
        <f t="shared" si="19"/>
        <v>0.20746739130434788</v>
      </c>
      <c r="I58" s="189">
        <f t="shared" si="19"/>
        <v>0.18954347826086962</v>
      </c>
      <c r="J58" s="189">
        <f t="shared" si="19"/>
        <v>0.17161956521739136</v>
      </c>
      <c r="K58" s="189">
        <f t="shared" si="19"/>
        <v>0.15369565217391309</v>
      </c>
      <c r="L58" s="189">
        <f t="shared" si="19"/>
        <v>0.13577173913043483</v>
      </c>
      <c r="M58" s="189">
        <f t="shared" si="19"/>
        <v>0.11784782608695657</v>
      </c>
      <c r="N58" s="189">
        <f t="shared" si="19"/>
        <v>9.9923913043478307E-2</v>
      </c>
      <c r="O58" s="189">
        <f t="shared" si="19"/>
        <v>8.2000000000000045E-2</v>
      </c>
      <c r="P58" s="189">
        <f>$C$57</f>
        <v>8.2000000000000003E-2</v>
      </c>
    </row>
    <row r="59" spans="2:16" ht="15" customHeight="1" x14ac:dyDescent="0.2">
      <c r="E59" s="88" t="s">
        <v>43</v>
      </c>
      <c r="F59" s="192">
        <f t="shared" ref="F59:O59" si="20">F55/F58</f>
        <v>0.452088452088452</v>
      </c>
      <c r="G59" s="192">
        <f t="shared" si="20"/>
        <v>0.44367283950617276</v>
      </c>
      <c r="H59" s="192">
        <f t="shared" si="20"/>
        <v>0.43380311206580391</v>
      </c>
      <c r="I59" s="192">
        <f t="shared" si="20"/>
        <v>0.42206675077417133</v>
      </c>
      <c r="J59" s="192">
        <f t="shared" si="20"/>
        <v>0.40787890303375768</v>
      </c>
      <c r="K59" s="192">
        <f t="shared" si="20"/>
        <v>0.39038189533239037</v>
      </c>
      <c r="L59" s="192">
        <f t="shared" si="20"/>
        <v>0.36826515090865419</v>
      </c>
      <c r="M59" s="192">
        <f t="shared" si="20"/>
        <v>0.33942077107544733</v>
      </c>
      <c r="N59" s="192">
        <f t="shared" si="20"/>
        <v>0.30022843467855975</v>
      </c>
      <c r="O59" s="192">
        <f t="shared" si="20"/>
        <v>0.24390243902439024</v>
      </c>
      <c r="P59" s="192">
        <f>$C$58/P58</f>
        <v>0.24390243902439024</v>
      </c>
    </row>
    <row r="60" spans="2:16" ht="15" customHeight="1" x14ac:dyDescent="0.2">
      <c r="E60" s="88" t="s">
        <v>236</v>
      </c>
      <c r="F60" s="190">
        <f t="shared" ref="F60:O60" si="21">F57*F59</f>
        <v>1139.536656</v>
      </c>
      <c r="G60" s="190">
        <f t="shared" si="21"/>
        <v>1230.156637951389</v>
      </c>
      <c r="H60" s="190">
        <f t="shared" si="21"/>
        <v>1311.0423854829658</v>
      </c>
      <c r="I60" s="190">
        <f t="shared" si="21"/>
        <v>1377.6184981789675</v>
      </c>
      <c r="J60" s="190">
        <f t="shared" si="21"/>
        <v>1424.5012838892887</v>
      </c>
      <c r="K60" s="190">
        <f t="shared" si="21"/>
        <v>1445.1972813259842</v>
      </c>
      <c r="L60" s="190">
        <f t="shared" si="21"/>
        <v>1431.4869396530094</v>
      </c>
      <c r="M60" s="190">
        <f t="shared" si="21"/>
        <v>1372.1403060493617</v>
      </c>
      <c r="N60" s="190">
        <f t="shared" si="21"/>
        <v>1250.1126580658756</v>
      </c>
      <c r="O60" s="190">
        <f t="shared" si="21"/>
        <v>1035.8900122756795</v>
      </c>
    </row>
    <row r="61" spans="2:16" ht="15" customHeight="1" x14ac:dyDescent="0.2">
      <c r="E61" s="87" t="s">
        <v>45</v>
      </c>
      <c r="F61" s="193">
        <f t="shared" ref="F61:O61" si="22">F57-F60</f>
        <v>1381.0688820000003</v>
      </c>
      <c r="G61" s="193">
        <f t="shared" si="22"/>
        <v>1542.5094538486117</v>
      </c>
      <c r="H61" s="193">
        <f t="shared" si="22"/>
        <v>1711.1636545790354</v>
      </c>
      <c r="I61" s="193">
        <f t="shared" si="22"/>
        <v>1886.3640250879939</v>
      </c>
      <c r="J61" s="193">
        <f t="shared" si="22"/>
        <v>2067.9600160063601</v>
      </c>
      <c r="K61" s="193">
        <f t="shared" si="22"/>
        <v>2256.8116965634035</v>
      </c>
      <c r="L61" s="193">
        <f t="shared" si="22"/>
        <v>2455.6224871308477</v>
      </c>
      <c r="M61" s="193">
        <f t="shared" si="22"/>
        <v>2670.45349780585</v>
      </c>
      <c r="N61" s="193">
        <f t="shared" si="22"/>
        <v>2913.7589599049925</v>
      </c>
      <c r="O61" s="193">
        <f t="shared" si="22"/>
        <v>3211.2590380546062</v>
      </c>
      <c r="P61" s="193">
        <f>P57*(1-P59)</f>
        <v>3275.4842188156986</v>
      </c>
    </row>
    <row r="62" spans="2:16" ht="15" customHeight="1" x14ac:dyDescent="0.2">
      <c r="B62" s="88" t="s">
        <v>237</v>
      </c>
      <c r="C62" s="184">
        <f>SUM(F63:O63)</f>
        <v>14171.784483887668</v>
      </c>
      <c r="E62" s="88" t="s">
        <v>238</v>
      </c>
      <c r="F62" s="194">
        <f>DCF!O$71</f>
        <v>3.4722222222222224E-2</v>
      </c>
      <c r="G62" s="194">
        <f>DCF!P$71</f>
        <v>0.56944444444444442</v>
      </c>
      <c r="H62" s="194">
        <f>DCF!Q$71</f>
        <v>1.5694444444444444</v>
      </c>
      <c r="I62" s="194">
        <f>DCF!R$71</f>
        <v>2.5694444444444446</v>
      </c>
      <c r="J62" s="194">
        <f>DCF!S$71</f>
        <v>3.5694444444444446</v>
      </c>
      <c r="K62" s="194">
        <f>DCF!T$71</f>
        <v>4.5694444444444446</v>
      </c>
      <c r="L62" s="194">
        <f>DCF!U$71</f>
        <v>5.5694444444444446</v>
      </c>
      <c r="M62" s="194">
        <f>DCF!V$71</f>
        <v>6.5694444444444446</v>
      </c>
      <c r="N62" s="194">
        <f>DCF!W$71</f>
        <v>7.5694444444444446</v>
      </c>
      <c r="O62" s="194">
        <f>DCF!X$71</f>
        <v>8.5694444444444446</v>
      </c>
    </row>
    <row r="63" spans="2:16" ht="15" customHeight="1" x14ac:dyDescent="0.2">
      <c r="B63" s="88" t="s">
        <v>75</v>
      </c>
      <c r="C63" s="184">
        <f>P61/($C$57-$C$58)</f>
        <v>52830.390626059656</v>
      </c>
      <c r="E63" s="88" t="s">
        <v>239</v>
      </c>
      <c r="F63" s="190">
        <f>F61*DCF!$O$70/(1+$C$57)^F62</f>
        <v>95.645469044954282</v>
      </c>
      <c r="G63" s="190">
        <f t="shared" ref="G63:O63" si="23">G61/(1+$C$57)^G62</f>
        <v>1474.8142015978306</v>
      </c>
      <c r="H63" s="190">
        <f t="shared" si="23"/>
        <v>1512.0764967352304</v>
      </c>
      <c r="I63" s="190">
        <f t="shared" si="23"/>
        <v>1540.5665374699897</v>
      </c>
      <c r="J63" s="190">
        <f t="shared" si="23"/>
        <v>1560.8811346578125</v>
      </c>
      <c r="K63" s="190">
        <f t="shared" si="23"/>
        <v>1574.3299496309819</v>
      </c>
      <c r="L63" s="190">
        <f t="shared" si="23"/>
        <v>1583.1963297322293</v>
      </c>
      <c r="M63" s="190">
        <f t="shared" si="23"/>
        <v>1591.2225751490951</v>
      </c>
      <c r="N63" s="190">
        <f t="shared" si="23"/>
        <v>1604.6202666197585</v>
      </c>
      <c r="O63" s="190">
        <f t="shared" si="23"/>
        <v>1634.4315232497868</v>
      </c>
    </row>
    <row r="64" spans="2:16" ht="15" customHeight="1" x14ac:dyDescent="0.2">
      <c r="B64" s="88" t="s">
        <v>240</v>
      </c>
      <c r="C64" s="184">
        <f>C63/(1+$C$57)^O62</f>
        <v>26889.034737335205</v>
      </c>
    </row>
    <row r="65" spans="2:16" ht="15" customHeight="1" x14ac:dyDescent="0.2">
      <c r="B65" s="88" t="s">
        <v>241</v>
      </c>
      <c r="C65" s="184">
        <f>C62+C64</f>
        <v>41060.819221222875</v>
      </c>
    </row>
    <row r="66" spans="2:16" ht="15" customHeight="1" x14ac:dyDescent="0.2">
      <c r="B66" s="88" t="s">
        <v>242</v>
      </c>
      <c r="C66" s="184">
        <f>C65+$C$9-$C$10</f>
        <v>41960.819221222875</v>
      </c>
    </row>
    <row r="67" spans="2:16" ht="15" customHeight="1" x14ac:dyDescent="0.2">
      <c r="B67" s="187" t="s">
        <v>243</v>
      </c>
      <c r="C67" s="195">
        <f>C66/$C$11</f>
        <v>39.333351350977573</v>
      </c>
    </row>
    <row r="68" spans="2:16" ht="15" customHeight="1" x14ac:dyDescent="0.2">
      <c r="B68" s="88" t="s">
        <v>244</v>
      </c>
      <c r="C68" s="182">
        <f>1-P61/P57</f>
        <v>0.24390243902439024</v>
      </c>
    </row>
    <row r="69" spans="2:16" ht="15" customHeight="1" x14ac:dyDescent="0.2">
      <c r="B69" s="88" t="s">
        <v>245</v>
      </c>
      <c r="C69" s="182">
        <f>C64/C65</f>
        <v>0.65485870100315047</v>
      </c>
    </row>
    <row r="72" spans="2:16" ht="15" customHeight="1" x14ac:dyDescent="0.2">
      <c r="B72" s="186" t="s">
        <v>246</v>
      </c>
    </row>
    <row r="73" spans="2:16" ht="15" customHeight="1" x14ac:dyDescent="0.2">
      <c r="B73" s="86" t="e">
        <f>"Sensitivity, terminal growth "&amp;TEXT(DCF!$D$92,"0.0%")</f>
        <v>#VALUE!</v>
      </c>
      <c r="C73" s="86"/>
      <c r="D73" s="86"/>
      <c r="E73" s="86"/>
      <c r="F73" s="86"/>
      <c r="G73" s="86"/>
      <c r="H73" s="86"/>
      <c r="I73" s="86"/>
      <c r="J73" s="86"/>
      <c r="K73" s="86"/>
      <c r="L73" s="86"/>
      <c r="M73" s="86"/>
      <c r="N73" s="86"/>
      <c r="O73" s="86"/>
      <c r="P73" s="86"/>
    </row>
    <row r="74" spans="2:16" ht="15" customHeight="1" x14ac:dyDescent="0.2">
      <c r="B74" s="187" t="s">
        <v>230</v>
      </c>
      <c r="C74" s="187" t="s">
        <v>144</v>
      </c>
      <c r="E74" s="187" t="s">
        <v>231</v>
      </c>
      <c r="F74" s="188" t="str">
        <f>"FY"&amp;RIGHT(DCF!O$38,2)</f>
        <v>FY26</v>
      </c>
      <c r="G74" s="188" t="str">
        <f>"FY"&amp;RIGHT(DCF!P$38,2)</f>
        <v>FY27</v>
      </c>
      <c r="H74" s="188" t="str">
        <f>"FY"&amp;RIGHT(DCF!Q$38,2)</f>
        <v>FY28</v>
      </c>
      <c r="I74" s="188" t="str">
        <f>"FY"&amp;RIGHT(DCF!R$38,2)</f>
        <v>FY29</v>
      </c>
      <c r="J74" s="188" t="str">
        <f>"FY"&amp;RIGHT(DCF!S$38,2)</f>
        <v>FY30</v>
      </c>
      <c r="K74" s="188" t="str">
        <f>"FY"&amp;RIGHT(DCF!T$38,2)</f>
        <v>FY31</v>
      </c>
      <c r="L74" s="188" t="str">
        <f>"FY"&amp;RIGHT(DCF!U$38,2)</f>
        <v>FY32</v>
      </c>
      <c r="M74" s="188" t="str">
        <f>"FY"&amp;RIGHT(DCF!V$38,2)</f>
        <v>FY33</v>
      </c>
      <c r="N74" s="188" t="str">
        <f>"FY"&amp;RIGHT(DCF!W$38,2)</f>
        <v>FY34</v>
      </c>
      <c r="O74" s="188" t="str">
        <f>"FY"&amp;RIGHT(DCF!X$38,2)</f>
        <v>FY35</v>
      </c>
      <c r="P74" s="188" t="s">
        <v>38</v>
      </c>
    </row>
    <row r="75" spans="2:16" ht="15" customHeight="1" x14ac:dyDescent="0.2">
      <c r="B75" s="88" t="s">
        <v>232</v>
      </c>
      <c r="C75" s="183">
        <f>DCF!$L$11</f>
        <v>9.0899999999999995E-2</v>
      </c>
      <c r="E75" s="88" t="s">
        <v>71</v>
      </c>
      <c r="F75" s="189">
        <f>$C$75</f>
        <v>9.0899999999999995E-2</v>
      </c>
      <c r="G75" s="189">
        <f t="shared" ref="G75:O75" si="24">F75-($C$75-$C$78)/$C$12</f>
        <v>8.1355555555555556E-2</v>
      </c>
      <c r="H75" s="189">
        <f t="shared" si="24"/>
        <v>7.1811111111111117E-2</v>
      </c>
      <c r="I75" s="189">
        <f t="shared" si="24"/>
        <v>6.2266666666666672E-2</v>
      </c>
      <c r="J75" s="189">
        <f t="shared" si="24"/>
        <v>5.2722222222222226E-2</v>
      </c>
      <c r="K75" s="189">
        <f t="shared" si="24"/>
        <v>4.317777777777778E-2</v>
      </c>
      <c r="L75" s="189">
        <f t="shared" si="24"/>
        <v>3.3633333333333335E-2</v>
      </c>
      <c r="M75" s="189">
        <f t="shared" si="24"/>
        <v>2.4088888888888889E-2</v>
      </c>
      <c r="N75" s="189">
        <f t="shared" si="24"/>
        <v>1.4544444444444445E-2</v>
      </c>
      <c r="O75" s="189">
        <f t="shared" si="24"/>
        <v>5.000000000000001E-3</v>
      </c>
    </row>
    <row r="76" spans="2:16" ht="15" customHeight="1" x14ac:dyDescent="0.2">
      <c r="B76" s="88" t="s">
        <v>233</v>
      </c>
      <c r="C76" s="183">
        <f>DCF!$L$13</f>
        <v>0.17219999999999999</v>
      </c>
      <c r="E76" s="88" t="s">
        <v>14</v>
      </c>
      <c r="F76" s="190">
        <f>$C$8*(1+F75)</f>
        <v>15216.41865</v>
      </c>
      <c r="G76" s="190">
        <f t="shared" ref="G76:O76" si="25">F76*(1+G75)</f>
        <v>16454.358842836667</v>
      </c>
      <c r="H76" s="190">
        <f t="shared" si="25"/>
        <v>17635.964633961703</v>
      </c>
      <c r="I76" s="190">
        <f t="shared" si="25"/>
        <v>18734.09736516972</v>
      </c>
      <c r="J76" s="190">
        <f t="shared" si="25"/>
        <v>19721.800609588943</v>
      </c>
      <c r="K76" s="190">
        <f t="shared" si="25"/>
        <v>20573.344133687417</v>
      </c>
      <c r="L76" s="190">
        <f t="shared" si="25"/>
        <v>21265.294274717104</v>
      </c>
      <c r="M76" s="190">
        <f t="shared" si="25"/>
        <v>21777.551585690289</v>
      </c>
      <c r="N76" s="190">
        <f t="shared" si="25"/>
        <v>22094.293974864384</v>
      </c>
      <c r="O76" s="190">
        <f t="shared" si="25"/>
        <v>22204.765444738703</v>
      </c>
    </row>
    <row r="77" spans="2:16" ht="15" customHeight="1" x14ac:dyDescent="0.2">
      <c r="B77" s="88" t="s">
        <v>19</v>
      </c>
      <c r="C77" s="191">
        <f>DCF!$L$16</f>
        <v>8.5802788961878651E-2</v>
      </c>
      <c r="E77" s="88" t="s">
        <v>234</v>
      </c>
      <c r="F77" s="190">
        <f t="shared" ref="F77:O77" si="26">F76*$C$76*(1-$C$4)</f>
        <v>2305.8352165463998</v>
      </c>
      <c r="G77" s="190">
        <f t="shared" si="26"/>
        <v>2493.4277216080973</v>
      </c>
      <c r="H77" s="190">
        <f t="shared" si="26"/>
        <v>2672.4835367720202</v>
      </c>
      <c r="I77" s="190">
        <f t="shared" si="26"/>
        <v>2838.8901783283586</v>
      </c>
      <c r="J77" s="190">
        <f t="shared" si="26"/>
        <v>2988.5627771746704</v>
      </c>
      <c r="K77" s="190">
        <f t="shared" si="26"/>
        <v>3117.6022766424562</v>
      </c>
      <c r="L77" s="190">
        <f t="shared" si="26"/>
        <v>3222.4576332135307</v>
      </c>
      <c r="M77" s="190">
        <f t="shared" si="26"/>
        <v>3300.0830570891635</v>
      </c>
      <c r="N77" s="190">
        <f t="shared" si="26"/>
        <v>3348.0809317750495</v>
      </c>
      <c r="O77" s="190">
        <f t="shared" si="26"/>
        <v>3364.821336433924</v>
      </c>
      <c r="P77" s="190">
        <f>O77*(1+$C$78)</f>
        <v>3381.6454431160932</v>
      </c>
    </row>
    <row r="78" spans="2:16" ht="15" customHeight="1" x14ac:dyDescent="0.2">
      <c r="B78" s="88" t="s">
        <v>235</v>
      </c>
      <c r="C78" s="183">
        <f>DCF!$D$92</f>
        <v>5.0000000000000001E-3</v>
      </c>
      <c r="E78" s="88" t="s">
        <v>44</v>
      </c>
      <c r="F78" s="189">
        <f>$C$75/(($C$6-$C$5+$C$7)/($C$76*(1-$C$4)))</f>
        <v>0.18715519565217395</v>
      </c>
      <c r="G78" s="189">
        <f t="shared" ref="G78:O78" si="27">F78-($F78-$C$77)/$C$12</f>
        <v>0.17589381713103003</v>
      </c>
      <c r="H78" s="189">
        <f t="shared" si="27"/>
        <v>0.16463243860988611</v>
      </c>
      <c r="I78" s="189">
        <f t="shared" si="27"/>
        <v>0.15337106008874218</v>
      </c>
      <c r="J78" s="189">
        <f t="shared" si="27"/>
        <v>0.14210968156759826</v>
      </c>
      <c r="K78" s="189">
        <f t="shared" si="27"/>
        <v>0.13084830304645434</v>
      </c>
      <c r="L78" s="189">
        <f t="shared" si="27"/>
        <v>0.11958692452531042</v>
      </c>
      <c r="M78" s="189">
        <f t="shared" si="27"/>
        <v>0.1083255460041665</v>
      </c>
      <c r="N78" s="189">
        <f t="shared" si="27"/>
        <v>9.7064167483022573E-2</v>
      </c>
      <c r="O78" s="189">
        <f t="shared" si="27"/>
        <v>8.5802788961878651E-2</v>
      </c>
      <c r="P78" s="189">
        <f>$C$77</f>
        <v>8.5802788961878651E-2</v>
      </c>
    </row>
    <row r="79" spans="2:16" ht="15" customHeight="1" x14ac:dyDescent="0.2">
      <c r="E79" s="88" t="s">
        <v>43</v>
      </c>
      <c r="F79" s="192">
        <f t="shared" ref="F79:O79" si="28">F75/F78</f>
        <v>0.48569316861999778</v>
      </c>
      <c r="G79" s="192">
        <f t="shared" si="28"/>
        <v>0.46252652243569592</v>
      </c>
      <c r="H79" s="192">
        <f t="shared" si="28"/>
        <v>0.43619053278603925</v>
      </c>
      <c r="I79" s="192">
        <f t="shared" si="28"/>
        <v>0.40598706581697025</v>
      </c>
      <c r="J79" s="192">
        <f t="shared" si="28"/>
        <v>0.37099669523320616</v>
      </c>
      <c r="K79" s="192">
        <f t="shared" si="28"/>
        <v>0.3299834753107086</v>
      </c>
      <c r="L79" s="192">
        <f t="shared" si="28"/>
        <v>0.28124590934032162</v>
      </c>
      <c r="M79" s="192">
        <f t="shared" si="28"/>
        <v>0.22237495934673032</v>
      </c>
      <c r="N79" s="192">
        <f t="shared" si="28"/>
        <v>0.1498436016255783</v>
      </c>
      <c r="O79" s="192">
        <f t="shared" si="28"/>
        <v>5.8273164083529415E-2</v>
      </c>
      <c r="P79" s="192">
        <f>$C$78/P78</f>
        <v>5.8273164083529401E-2</v>
      </c>
    </row>
    <row r="80" spans="2:16" ht="15" customHeight="1" x14ac:dyDescent="0.2">
      <c r="E80" s="88" t="s">
        <v>236</v>
      </c>
      <c r="F80" s="190">
        <f t="shared" ref="F80:O80" si="29">F77*F79</f>
        <v>1119.9284126399996</v>
      </c>
      <c r="G80" s="190">
        <f t="shared" si="29"/>
        <v>1153.2764530201537</v>
      </c>
      <c r="H80" s="190">
        <f t="shared" si="29"/>
        <v>1165.7120177665061</v>
      </c>
      <c r="I80" s="190">
        <f t="shared" si="29"/>
        <v>1152.5526936761457</v>
      </c>
      <c r="J80" s="190">
        <f t="shared" si="29"/>
        <v>1108.7469138287754</v>
      </c>
      <c r="K80" s="190">
        <f t="shared" si="29"/>
        <v>1028.7572338830548</v>
      </c>
      <c r="L80" s="190">
        <f t="shared" si="29"/>
        <v>906.30302736380008</v>
      </c>
      <c r="M80" s="190">
        <f t="shared" si="29"/>
        <v>733.85583566103628</v>
      </c>
      <c r="N80" s="190">
        <f t="shared" si="29"/>
        <v>501.68850535109556</v>
      </c>
      <c r="O80" s="190">
        <f t="shared" si="29"/>
        <v>196.07878584977479</v>
      </c>
    </row>
    <row r="81" spans="2:16" ht="15" customHeight="1" x14ac:dyDescent="0.2">
      <c r="E81" s="87" t="s">
        <v>45</v>
      </c>
      <c r="F81" s="193">
        <f t="shared" ref="F81:O81" si="30">F77-F80</f>
        <v>1185.9068039064002</v>
      </c>
      <c r="G81" s="193">
        <f t="shared" si="30"/>
        <v>1340.1512685879436</v>
      </c>
      <c r="H81" s="193">
        <f t="shared" si="30"/>
        <v>1506.7715190055142</v>
      </c>
      <c r="I81" s="193">
        <f t="shared" si="30"/>
        <v>1686.3374846522129</v>
      </c>
      <c r="J81" s="193">
        <f t="shared" si="30"/>
        <v>1879.815863345895</v>
      </c>
      <c r="K81" s="193">
        <f t="shared" si="30"/>
        <v>2088.8450427594016</v>
      </c>
      <c r="L81" s="193">
        <f t="shared" si="30"/>
        <v>2316.1546058497306</v>
      </c>
      <c r="M81" s="193">
        <f t="shared" si="30"/>
        <v>2566.2272214281275</v>
      </c>
      <c r="N81" s="193">
        <f t="shared" si="30"/>
        <v>2846.392426423954</v>
      </c>
      <c r="O81" s="193">
        <f t="shared" si="30"/>
        <v>3168.7425505841493</v>
      </c>
      <c r="P81" s="193">
        <f>P77*(1-P79)</f>
        <v>3184.5862633370693</v>
      </c>
    </row>
    <row r="82" spans="2:16" ht="15" customHeight="1" x14ac:dyDescent="0.2">
      <c r="B82" s="88" t="s">
        <v>237</v>
      </c>
      <c r="C82" s="184">
        <f>SUM(F83:O83)</f>
        <v>12935.223059584403</v>
      </c>
      <c r="E82" s="88" t="s">
        <v>238</v>
      </c>
      <c r="F82" s="194">
        <f>DCF!O$71</f>
        <v>3.4722222222222224E-2</v>
      </c>
      <c r="G82" s="194">
        <f>DCF!P$71</f>
        <v>0.56944444444444442</v>
      </c>
      <c r="H82" s="194">
        <f>DCF!Q$71</f>
        <v>1.5694444444444444</v>
      </c>
      <c r="I82" s="194">
        <f>DCF!R$71</f>
        <v>2.5694444444444446</v>
      </c>
      <c r="J82" s="194">
        <f>DCF!S$71</f>
        <v>3.5694444444444446</v>
      </c>
      <c r="K82" s="194">
        <f>DCF!T$71</f>
        <v>4.5694444444444446</v>
      </c>
      <c r="L82" s="194">
        <f>DCF!U$71</f>
        <v>5.5694444444444446</v>
      </c>
      <c r="M82" s="194">
        <f>DCF!V$71</f>
        <v>6.5694444444444446</v>
      </c>
      <c r="N82" s="194">
        <f>DCF!W$71</f>
        <v>7.5694444444444446</v>
      </c>
      <c r="O82" s="194">
        <f>DCF!X$71</f>
        <v>8.5694444444444446</v>
      </c>
    </row>
    <row r="83" spans="2:16" ht="15" customHeight="1" x14ac:dyDescent="0.2">
      <c r="B83" s="88" t="s">
        <v>75</v>
      </c>
      <c r="C83" s="184">
        <f>P81/($C$77-$C$78)</f>
        <v>39411.835955804716</v>
      </c>
      <c r="E83" s="88" t="s">
        <v>239</v>
      </c>
      <c r="F83" s="190">
        <f>F81*DCF!$O$70/(1+$C$77)^F82</f>
        <v>82.11957936015763</v>
      </c>
      <c r="G83" s="190">
        <f t="shared" ref="G83:O83" si="31">G81/(1+$C$77)^G82</f>
        <v>1278.7794258142389</v>
      </c>
      <c r="H83" s="190">
        <f t="shared" si="31"/>
        <v>1324.1533032458858</v>
      </c>
      <c r="I83" s="190">
        <f t="shared" si="31"/>
        <v>1364.8483738859436</v>
      </c>
      <c r="J83" s="190">
        <f t="shared" si="31"/>
        <v>1401.2133623194434</v>
      </c>
      <c r="K83" s="190">
        <f t="shared" si="31"/>
        <v>1433.9837535735919</v>
      </c>
      <c r="L83" s="190">
        <f t="shared" si="31"/>
        <v>1464.3827352048052</v>
      </c>
      <c r="M83" s="190">
        <f t="shared" si="31"/>
        <v>1494.2773342786716</v>
      </c>
      <c r="N83" s="190">
        <f t="shared" si="31"/>
        <v>1526.4406528811007</v>
      </c>
      <c r="O83" s="190">
        <f t="shared" si="31"/>
        <v>1565.024539020563</v>
      </c>
    </row>
    <row r="84" spans="2:16" ht="15" customHeight="1" x14ac:dyDescent="0.2">
      <c r="B84" s="88" t="s">
        <v>240</v>
      </c>
      <c r="C84" s="184">
        <f>C83/(1+$C$77)^O82</f>
        <v>19465.289279281049</v>
      </c>
    </row>
    <row r="85" spans="2:16" ht="15" customHeight="1" x14ac:dyDescent="0.2">
      <c r="B85" s="88" t="s">
        <v>241</v>
      </c>
      <c r="C85" s="184">
        <f>C82+C84</f>
        <v>32400.512338865454</v>
      </c>
    </row>
    <row r="86" spans="2:16" ht="15" customHeight="1" x14ac:dyDescent="0.2">
      <c r="B86" s="88" t="s">
        <v>242</v>
      </c>
      <c r="C86" s="184">
        <f>C85+$C$9-$C$10</f>
        <v>33300.512338865454</v>
      </c>
    </row>
    <row r="87" spans="2:16" ht="15" customHeight="1" x14ac:dyDescent="0.2">
      <c r="B87" s="187" t="s">
        <v>243</v>
      </c>
      <c r="C87" s="195">
        <f>C86/$C$11</f>
        <v>31.21532840163616</v>
      </c>
    </row>
    <row r="88" spans="2:16" ht="15" customHeight="1" x14ac:dyDescent="0.2">
      <c r="B88" s="88" t="s">
        <v>244</v>
      </c>
      <c r="C88" s="182">
        <f>1-P81/P77</f>
        <v>5.827316408352945E-2</v>
      </c>
    </row>
    <row r="89" spans="2:16" ht="15" customHeight="1" x14ac:dyDescent="0.2">
      <c r="B89" s="88" t="s">
        <v>245</v>
      </c>
      <c r="C89" s="182">
        <f>C84/C85</f>
        <v>0.60077103336208082</v>
      </c>
    </row>
    <row r="92" spans="2:16" ht="15" customHeight="1" x14ac:dyDescent="0.2">
      <c r="B92" s="86" t="e">
        <f>"Sensitivity, terminal growth "&amp;TEXT(DCF!$F$92,"0.0%")</f>
        <v>#VALUE!</v>
      </c>
      <c r="C92" s="86"/>
      <c r="D92" s="86"/>
      <c r="E92" s="86"/>
      <c r="F92" s="86"/>
      <c r="G92" s="86"/>
      <c r="H92" s="86"/>
      <c r="I92" s="86"/>
      <c r="J92" s="86"/>
      <c r="K92" s="86"/>
      <c r="L92" s="86"/>
      <c r="M92" s="86"/>
      <c r="N92" s="86"/>
      <c r="O92" s="86"/>
      <c r="P92" s="86"/>
    </row>
    <row r="93" spans="2:16" ht="15" customHeight="1" x14ac:dyDescent="0.2">
      <c r="B93" s="187" t="s">
        <v>230</v>
      </c>
      <c r="C93" s="187" t="s">
        <v>144</v>
      </c>
      <c r="E93" s="187" t="s">
        <v>231</v>
      </c>
      <c r="F93" s="188" t="str">
        <f>"FY"&amp;RIGHT(DCF!O$38,2)</f>
        <v>FY26</v>
      </c>
      <c r="G93" s="188" t="str">
        <f>"FY"&amp;RIGHT(DCF!P$38,2)</f>
        <v>FY27</v>
      </c>
      <c r="H93" s="188" t="str">
        <f>"FY"&amp;RIGHT(DCF!Q$38,2)</f>
        <v>FY28</v>
      </c>
      <c r="I93" s="188" t="str">
        <f>"FY"&amp;RIGHT(DCF!R$38,2)</f>
        <v>FY29</v>
      </c>
      <c r="J93" s="188" t="str">
        <f>"FY"&amp;RIGHT(DCF!S$38,2)</f>
        <v>FY30</v>
      </c>
      <c r="K93" s="188" t="str">
        <f>"FY"&amp;RIGHT(DCF!T$38,2)</f>
        <v>FY31</v>
      </c>
      <c r="L93" s="188" t="str">
        <f>"FY"&amp;RIGHT(DCF!U$38,2)</f>
        <v>FY32</v>
      </c>
      <c r="M93" s="188" t="str">
        <f>"FY"&amp;RIGHT(DCF!V$38,2)</f>
        <v>FY33</v>
      </c>
      <c r="N93" s="188" t="str">
        <f>"FY"&amp;RIGHT(DCF!W$38,2)</f>
        <v>FY34</v>
      </c>
      <c r="O93" s="188" t="str">
        <f>"FY"&amp;RIGHT(DCF!X$38,2)</f>
        <v>FY35</v>
      </c>
      <c r="P93" s="188" t="s">
        <v>38</v>
      </c>
    </row>
    <row r="94" spans="2:16" ht="15" customHeight="1" x14ac:dyDescent="0.2">
      <c r="B94" s="88" t="s">
        <v>232</v>
      </c>
      <c r="C94" s="183">
        <f>DCF!$L$11</f>
        <v>9.0899999999999995E-2</v>
      </c>
      <c r="E94" s="88" t="s">
        <v>71</v>
      </c>
      <c r="F94" s="189">
        <f>$C$94</f>
        <v>9.0899999999999995E-2</v>
      </c>
      <c r="G94" s="189">
        <f t="shared" ref="G94:O94" si="32">F94-($C$94-$C$97)/$C$12</f>
        <v>8.1911111111111101E-2</v>
      </c>
      <c r="H94" s="189">
        <f t="shared" si="32"/>
        <v>7.2922222222222208E-2</v>
      </c>
      <c r="I94" s="189">
        <f t="shared" si="32"/>
        <v>6.3933333333333314E-2</v>
      </c>
      <c r="J94" s="189">
        <f t="shared" si="32"/>
        <v>5.4944444444444428E-2</v>
      </c>
      <c r="K94" s="189">
        <f t="shared" si="32"/>
        <v>4.5955555555555541E-2</v>
      </c>
      <c r="L94" s="189">
        <f t="shared" si="32"/>
        <v>3.6966666666666655E-2</v>
      </c>
      <c r="M94" s="189">
        <f t="shared" si="32"/>
        <v>2.7977777777777768E-2</v>
      </c>
      <c r="N94" s="189">
        <f t="shared" si="32"/>
        <v>1.8988888888888882E-2</v>
      </c>
      <c r="O94" s="189">
        <f t="shared" si="32"/>
        <v>9.9999999999999933E-3</v>
      </c>
    </row>
    <row r="95" spans="2:16" ht="15" customHeight="1" x14ac:dyDescent="0.2">
      <c r="B95" s="88" t="s">
        <v>233</v>
      </c>
      <c r="C95" s="183">
        <f>DCF!$L$13</f>
        <v>0.17219999999999999</v>
      </c>
      <c r="E95" s="88" t="s">
        <v>14</v>
      </c>
      <c r="F95" s="190">
        <f>$C$8*(1+F94)</f>
        <v>15216.41865</v>
      </c>
      <c r="G95" s="190">
        <f t="shared" ref="G95:O95" si="33">F95*(1+G94)</f>
        <v>16462.812408753332</v>
      </c>
      <c r="H95" s="190">
        <f t="shared" si="33"/>
        <v>17663.317273627199</v>
      </c>
      <c r="I95" s="190">
        <f t="shared" si="33"/>
        <v>18792.592024654434</v>
      </c>
      <c r="J95" s="190">
        <f t="shared" si="33"/>
        <v>19825.140553120171</v>
      </c>
      <c r="K95" s="190">
        <f t="shared" si="33"/>
        <v>20736.215901205782</v>
      </c>
      <c r="L95" s="190">
        <f t="shared" si="33"/>
        <v>21502.764682353689</v>
      </c>
      <c r="M95" s="190">
        <f t="shared" si="33"/>
        <v>22104.364254244425</v>
      </c>
      <c r="N95" s="190">
        <f t="shared" si="33"/>
        <v>22524.101571027801</v>
      </c>
      <c r="O95" s="190">
        <f t="shared" si="33"/>
        <v>22749.342586738079</v>
      </c>
    </row>
    <row r="96" spans="2:16" ht="15" customHeight="1" x14ac:dyDescent="0.2">
      <c r="B96" s="88" t="s">
        <v>19</v>
      </c>
      <c r="C96" s="191">
        <f>DCF!$L$16</f>
        <v>8.5802788961878651E-2</v>
      </c>
      <c r="E96" s="88" t="s">
        <v>234</v>
      </c>
      <c r="F96" s="190">
        <f t="shared" ref="F96:O96" si="34">F95*$C$95*(1-$C$4)</f>
        <v>2305.8352165463998</v>
      </c>
      <c r="G96" s="190">
        <f t="shared" si="34"/>
        <v>2494.7087411728448</v>
      </c>
      <c r="H96" s="190">
        <f t="shared" si="34"/>
        <v>2676.6284463763714</v>
      </c>
      <c r="I96" s="190">
        <f t="shared" si="34"/>
        <v>2847.7542250480342</v>
      </c>
      <c r="J96" s="190">
        <f t="shared" si="34"/>
        <v>3004.2224988576181</v>
      </c>
      <c r="K96" s="190">
        <f t="shared" si="34"/>
        <v>3142.2832128051195</v>
      </c>
      <c r="L96" s="190">
        <f t="shared" si="34"/>
        <v>3258.4429489051486</v>
      </c>
      <c r="M96" s="190">
        <f t="shared" si="34"/>
        <v>3349.606941631183</v>
      </c>
      <c r="N96" s="190">
        <f t="shared" si="34"/>
        <v>3413.2122556672689</v>
      </c>
      <c r="O96" s="190">
        <f t="shared" si="34"/>
        <v>3447.3443782239415</v>
      </c>
      <c r="P96" s="190">
        <f>O96*(1+$C$97)</f>
        <v>3481.8178220061809</v>
      </c>
    </row>
    <row r="97" spans="2:16" ht="15" customHeight="1" x14ac:dyDescent="0.2">
      <c r="B97" s="88" t="s">
        <v>235</v>
      </c>
      <c r="C97" s="183">
        <f>DCF!$F$92</f>
        <v>0.01</v>
      </c>
      <c r="E97" s="88" t="s">
        <v>44</v>
      </c>
      <c r="F97" s="189">
        <f>$C$94/(($C$6-$C$5+$C$7)/($C$95*(1-$C$4)))</f>
        <v>0.18715519565217395</v>
      </c>
      <c r="G97" s="189">
        <f t="shared" ref="G97:O97" si="35">F97-($F97-$C$96)/$C$12</f>
        <v>0.17589381713103003</v>
      </c>
      <c r="H97" s="189">
        <f t="shared" si="35"/>
        <v>0.16463243860988611</v>
      </c>
      <c r="I97" s="189">
        <f t="shared" si="35"/>
        <v>0.15337106008874218</v>
      </c>
      <c r="J97" s="189">
        <f t="shared" si="35"/>
        <v>0.14210968156759826</v>
      </c>
      <c r="K97" s="189">
        <f t="shared" si="35"/>
        <v>0.13084830304645434</v>
      </c>
      <c r="L97" s="189">
        <f t="shared" si="35"/>
        <v>0.11958692452531042</v>
      </c>
      <c r="M97" s="189">
        <f t="shared" si="35"/>
        <v>0.1083255460041665</v>
      </c>
      <c r="N97" s="189">
        <f t="shared" si="35"/>
        <v>9.7064167483022573E-2</v>
      </c>
      <c r="O97" s="189">
        <f t="shared" si="35"/>
        <v>8.5802788961878651E-2</v>
      </c>
      <c r="P97" s="189">
        <f>$C$96</f>
        <v>8.5802788961878651E-2</v>
      </c>
    </row>
    <row r="98" spans="2:16" ht="15" customHeight="1" x14ac:dyDescent="0.2">
      <c r="E98" s="88" t="s">
        <v>43</v>
      </c>
      <c r="F98" s="192">
        <f t="shared" ref="F98:O98" si="36">F94/F97</f>
        <v>0.48569316861999778</v>
      </c>
      <c r="G98" s="192">
        <f t="shared" si="36"/>
        <v>0.46568499363506555</v>
      </c>
      <c r="H98" s="192">
        <f t="shared" si="36"/>
        <v>0.44293957398650391</v>
      </c>
      <c r="I98" s="192">
        <f t="shared" si="36"/>
        <v>0.41685395730029373</v>
      </c>
      <c r="J98" s="192">
        <f t="shared" si="36"/>
        <v>0.38663406911026421</v>
      </c>
      <c r="K98" s="192">
        <f t="shared" si="36"/>
        <v>0.35121246883301344</v>
      </c>
      <c r="L98" s="192">
        <f t="shared" si="36"/>
        <v>0.30911963672786574</v>
      </c>
      <c r="M98" s="192">
        <f t="shared" si="36"/>
        <v>0.258274975846433</v>
      </c>
      <c r="N98" s="192">
        <f t="shared" si="36"/>
        <v>0.19563232633927669</v>
      </c>
      <c r="O98" s="192">
        <f t="shared" si="36"/>
        <v>0.11654632816705872</v>
      </c>
      <c r="P98" s="192">
        <f>$C$97/P97</f>
        <v>0.1165463281670588</v>
      </c>
    </row>
    <row r="99" spans="2:16" ht="15" customHeight="1" x14ac:dyDescent="0.2">
      <c r="E99" s="88" t="s">
        <v>236</v>
      </c>
      <c r="F99" s="190">
        <f t="shared" ref="F99:O99" si="37">F96*F98</f>
        <v>1119.9284126399996</v>
      </c>
      <c r="G99" s="190">
        <f t="shared" si="37"/>
        <v>1161.7484242544185</v>
      </c>
      <c r="H99" s="190">
        <f t="shared" si="37"/>
        <v>1185.5846637581078</v>
      </c>
      <c r="I99" s="190">
        <f t="shared" si="37"/>
        <v>1187.0976181299043</v>
      </c>
      <c r="J99" s="190">
        <f t="shared" si="37"/>
        <v>1161.534769245927</v>
      </c>
      <c r="K99" s="190">
        <f t="shared" si="37"/>
        <v>1103.6090449418193</v>
      </c>
      <c r="L99" s="190">
        <f t="shared" si="37"/>
        <v>1007.2487006640351</v>
      </c>
      <c r="M99" s="190">
        <f t="shared" si="37"/>
        <v>865.1196519448381</v>
      </c>
      <c r="N99" s="190">
        <f t="shared" si="37"/>
        <v>667.73465386591783</v>
      </c>
      <c r="O99" s="190">
        <f t="shared" si="37"/>
        <v>401.77532920935249</v>
      </c>
    </row>
    <row r="100" spans="2:16" ht="15" customHeight="1" x14ac:dyDescent="0.2">
      <c r="E100" s="87" t="s">
        <v>45</v>
      </c>
      <c r="F100" s="193">
        <f t="shared" ref="F100:O100" si="38">F96-F99</f>
        <v>1185.9068039064002</v>
      </c>
      <c r="G100" s="193">
        <f t="shared" si="38"/>
        <v>1332.9603169184263</v>
      </c>
      <c r="H100" s="193">
        <f t="shared" si="38"/>
        <v>1491.0437826182635</v>
      </c>
      <c r="I100" s="193">
        <f t="shared" si="38"/>
        <v>1660.6566069181299</v>
      </c>
      <c r="J100" s="193">
        <f t="shared" si="38"/>
        <v>1842.6877296116911</v>
      </c>
      <c r="K100" s="193">
        <f t="shared" si="38"/>
        <v>2038.6741678633002</v>
      </c>
      <c r="L100" s="193">
        <f t="shared" si="38"/>
        <v>2251.1942482411132</v>
      </c>
      <c r="M100" s="193">
        <f t="shared" si="38"/>
        <v>2484.4872896863449</v>
      </c>
      <c r="N100" s="193">
        <f t="shared" si="38"/>
        <v>2745.4776018013508</v>
      </c>
      <c r="O100" s="193">
        <f t="shared" si="38"/>
        <v>3045.5690490145889</v>
      </c>
      <c r="P100" s="193">
        <f>P96*(1-P98)</f>
        <v>3076.0247395047345</v>
      </c>
    </row>
    <row r="101" spans="2:16" ht="15" customHeight="1" x14ac:dyDescent="0.2">
      <c r="B101" s="88" t="s">
        <v>237</v>
      </c>
      <c r="C101" s="184">
        <f>SUM(F102:O102)</f>
        <v>12628.017956423144</v>
      </c>
      <c r="E101" s="88" t="s">
        <v>238</v>
      </c>
      <c r="F101" s="194">
        <f>DCF!O$71</f>
        <v>3.4722222222222224E-2</v>
      </c>
      <c r="G101" s="194">
        <f>DCF!P$71</f>
        <v>0.56944444444444442</v>
      </c>
      <c r="H101" s="194">
        <f>DCF!Q$71</f>
        <v>1.5694444444444444</v>
      </c>
      <c r="I101" s="194">
        <f>DCF!R$71</f>
        <v>2.5694444444444446</v>
      </c>
      <c r="J101" s="194">
        <f>DCF!S$71</f>
        <v>3.5694444444444446</v>
      </c>
      <c r="K101" s="194">
        <f>DCF!T$71</f>
        <v>4.5694444444444446</v>
      </c>
      <c r="L101" s="194">
        <f>DCF!U$71</f>
        <v>5.5694444444444446</v>
      </c>
      <c r="M101" s="194">
        <f>DCF!V$71</f>
        <v>6.5694444444444446</v>
      </c>
      <c r="N101" s="194">
        <f>DCF!W$71</f>
        <v>7.5694444444444446</v>
      </c>
      <c r="O101" s="194">
        <f>DCF!X$71</f>
        <v>8.5694444444444446</v>
      </c>
    </row>
    <row r="102" spans="2:16" ht="15" customHeight="1" x14ac:dyDescent="0.2">
      <c r="B102" s="88" t="s">
        <v>75</v>
      </c>
      <c r="C102" s="184">
        <f>P100/($C$96-$C$97)</f>
        <v>40579.308250144626</v>
      </c>
      <c r="E102" s="88" t="s">
        <v>239</v>
      </c>
      <c r="F102" s="190">
        <f>F100*DCF!$O$70/(1+$C$96)^F101</f>
        <v>82.11957936015763</v>
      </c>
      <c r="G102" s="190">
        <f t="shared" ref="G102:O102" si="39">G100/(1+$C$96)^G101</f>
        <v>1271.9177817129037</v>
      </c>
      <c r="H102" s="190">
        <f t="shared" si="39"/>
        <v>1310.3317424935935</v>
      </c>
      <c r="I102" s="190">
        <f t="shared" si="39"/>
        <v>1344.0633859850457</v>
      </c>
      <c r="J102" s="190">
        <f t="shared" si="39"/>
        <v>1373.5380787340866</v>
      </c>
      <c r="K102" s="190">
        <f t="shared" si="39"/>
        <v>1399.5416489507697</v>
      </c>
      <c r="L102" s="190">
        <f t="shared" si="39"/>
        <v>1423.3117177888973</v>
      </c>
      <c r="M102" s="190">
        <f t="shared" si="39"/>
        <v>1446.681343445382</v>
      </c>
      <c r="N102" s="190">
        <f t="shared" si="39"/>
        <v>1472.3228547334168</v>
      </c>
      <c r="O102" s="190">
        <f t="shared" si="39"/>
        <v>1504.1898232188917</v>
      </c>
    </row>
    <row r="103" spans="2:16" ht="15" customHeight="1" x14ac:dyDescent="0.2">
      <c r="B103" s="88" t="s">
        <v>240</v>
      </c>
      <c r="C103" s="184">
        <f>C102/(1+$C$96)^O101</f>
        <v>20041.897432231741</v>
      </c>
    </row>
    <row r="104" spans="2:16" ht="15" customHeight="1" x14ac:dyDescent="0.2">
      <c r="B104" s="88" t="s">
        <v>241</v>
      </c>
      <c r="C104" s="184">
        <f>C101+C103</f>
        <v>32669.915388654885</v>
      </c>
    </row>
    <row r="105" spans="2:16" ht="15" customHeight="1" x14ac:dyDescent="0.2">
      <c r="B105" s="88" t="s">
        <v>242</v>
      </c>
      <c r="C105" s="184">
        <f>C104+$C$9-$C$10</f>
        <v>33569.915388654888</v>
      </c>
    </row>
    <row r="106" spans="2:16" ht="15" customHeight="1" x14ac:dyDescent="0.2">
      <c r="B106" s="187" t="s">
        <v>243</v>
      </c>
      <c r="C106" s="195">
        <f>C105/$C$11</f>
        <v>31.467862194089697</v>
      </c>
    </row>
    <row r="107" spans="2:16" ht="15" customHeight="1" x14ac:dyDescent="0.2">
      <c r="B107" s="88" t="s">
        <v>244</v>
      </c>
      <c r="C107" s="182">
        <f>1-P100/P96</f>
        <v>0.11654632816705879</v>
      </c>
    </row>
    <row r="108" spans="2:16" ht="15" customHeight="1" x14ac:dyDescent="0.2">
      <c r="B108" s="88" t="s">
        <v>245</v>
      </c>
      <c r="C108" s="182">
        <f>C103/C104</f>
        <v>0.61346646276260597</v>
      </c>
    </row>
    <row r="111" spans="2:16" ht="15" customHeight="1" x14ac:dyDescent="0.2">
      <c r="B111" s="86" t="e">
        <f>"Sensitivity, terminal growth "&amp;TEXT(DCF!$H$92,"0.0%")</f>
        <v>#VALUE!</v>
      </c>
      <c r="C111" s="86"/>
      <c r="D111" s="86"/>
      <c r="E111" s="86"/>
      <c r="F111" s="86"/>
      <c r="G111" s="86"/>
      <c r="H111" s="86"/>
      <c r="I111" s="86"/>
      <c r="J111" s="86"/>
      <c r="K111" s="86"/>
      <c r="L111" s="86"/>
      <c r="M111" s="86"/>
      <c r="N111" s="86"/>
      <c r="O111" s="86"/>
      <c r="P111" s="86"/>
    </row>
    <row r="112" spans="2:16" ht="15" customHeight="1" x14ac:dyDescent="0.2">
      <c r="B112" s="187" t="s">
        <v>230</v>
      </c>
      <c r="C112" s="187" t="s">
        <v>144</v>
      </c>
      <c r="E112" s="187" t="s">
        <v>231</v>
      </c>
      <c r="F112" s="188" t="str">
        <f>"FY"&amp;RIGHT(DCF!O$38,2)</f>
        <v>FY26</v>
      </c>
      <c r="G112" s="188" t="str">
        <f>"FY"&amp;RIGHT(DCF!P$38,2)</f>
        <v>FY27</v>
      </c>
      <c r="H112" s="188" t="str">
        <f>"FY"&amp;RIGHT(DCF!Q$38,2)</f>
        <v>FY28</v>
      </c>
      <c r="I112" s="188" t="str">
        <f>"FY"&amp;RIGHT(DCF!R$38,2)</f>
        <v>FY29</v>
      </c>
      <c r="J112" s="188" t="str">
        <f>"FY"&amp;RIGHT(DCF!S$38,2)</f>
        <v>FY30</v>
      </c>
      <c r="K112" s="188" t="str">
        <f>"FY"&amp;RIGHT(DCF!T$38,2)</f>
        <v>FY31</v>
      </c>
      <c r="L112" s="188" t="str">
        <f>"FY"&amp;RIGHT(DCF!U$38,2)</f>
        <v>FY32</v>
      </c>
      <c r="M112" s="188" t="str">
        <f>"FY"&amp;RIGHT(DCF!V$38,2)</f>
        <v>FY33</v>
      </c>
      <c r="N112" s="188" t="str">
        <f>"FY"&amp;RIGHT(DCF!W$38,2)</f>
        <v>FY34</v>
      </c>
      <c r="O112" s="188" t="str">
        <f>"FY"&amp;RIGHT(DCF!X$38,2)</f>
        <v>FY35</v>
      </c>
      <c r="P112" s="188" t="s">
        <v>38</v>
      </c>
    </row>
    <row r="113" spans="2:16" ht="15" customHeight="1" x14ac:dyDescent="0.2">
      <c r="B113" s="88" t="s">
        <v>232</v>
      </c>
      <c r="C113" s="183">
        <f>DCF!$L$11</f>
        <v>9.0899999999999995E-2</v>
      </c>
      <c r="E113" s="88" t="s">
        <v>71</v>
      </c>
      <c r="F113" s="189">
        <f>$C$113</f>
        <v>9.0899999999999995E-2</v>
      </c>
      <c r="G113" s="189">
        <f t="shared" ref="G113:O113" si="40">F113-($C$113-$C$116)/$C$12</f>
        <v>8.246666666666666E-2</v>
      </c>
      <c r="H113" s="189">
        <f t="shared" si="40"/>
        <v>7.4033333333333326E-2</v>
      </c>
      <c r="I113" s="189">
        <f t="shared" si="40"/>
        <v>6.5599999999999992E-2</v>
      </c>
      <c r="J113" s="189">
        <f t="shared" si="40"/>
        <v>5.7166666666666657E-2</v>
      </c>
      <c r="K113" s="189">
        <f t="shared" si="40"/>
        <v>4.8733333333333323E-2</v>
      </c>
      <c r="L113" s="189">
        <f t="shared" si="40"/>
        <v>4.0299999999999989E-2</v>
      </c>
      <c r="M113" s="189">
        <f t="shared" si="40"/>
        <v>3.1866666666666654E-2</v>
      </c>
      <c r="N113" s="189">
        <f t="shared" si="40"/>
        <v>2.343333333333332E-2</v>
      </c>
      <c r="O113" s="189">
        <f t="shared" si="40"/>
        <v>1.4999999999999987E-2</v>
      </c>
    </row>
    <row r="114" spans="2:16" ht="15" customHeight="1" x14ac:dyDescent="0.2">
      <c r="B114" s="88" t="s">
        <v>233</v>
      </c>
      <c r="C114" s="183">
        <f>DCF!$L$13</f>
        <v>0.17219999999999999</v>
      </c>
      <c r="E114" s="88" t="s">
        <v>14</v>
      </c>
      <c r="F114" s="190">
        <f>$C$8*(1+F113)</f>
        <v>15216.41865</v>
      </c>
      <c r="G114" s="190">
        <f t="shared" ref="G114:O114" si="41">F114*(1+G113)</f>
        <v>16471.265974670001</v>
      </c>
      <c r="H114" s="190">
        <f t="shared" si="41"/>
        <v>17690.688698994738</v>
      </c>
      <c r="I114" s="190">
        <f t="shared" si="41"/>
        <v>18851.197877648792</v>
      </c>
      <c r="J114" s="190">
        <f t="shared" si="41"/>
        <v>19928.858022987712</v>
      </c>
      <c r="K114" s="190">
        <f t="shared" si="41"/>
        <v>20900.057703974646</v>
      </c>
      <c r="L114" s="190">
        <f t="shared" si="41"/>
        <v>21742.330029444824</v>
      </c>
      <c r="M114" s="190">
        <f t="shared" si="41"/>
        <v>22435.185613049798</v>
      </c>
      <c r="N114" s="190">
        <f t="shared" si="41"/>
        <v>22960.9167959156</v>
      </c>
      <c r="O114" s="190">
        <f t="shared" si="41"/>
        <v>23305.330547854333</v>
      </c>
    </row>
    <row r="115" spans="2:16" ht="15" customHeight="1" x14ac:dyDescent="0.2">
      <c r="B115" s="88" t="s">
        <v>19</v>
      </c>
      <c r="C115" s="191">
        <f>DCF!$L$16</f>
        <v>8.5802788961878651E-2</v>
      </c>
      <c r="E115" s="88" t="s">
        <v>234</v>
      </c>
      <c r="F115" s="190">
        <f t="shared" ref="F115:O115" si="42">F114*$C$114*(1-$C$4)</f>
        <v>2305.8352165463998</v>
      </c>
      <c r="G115" s="190">
        <f t="shared" si="42"/>
        <v>2495.9897607375933</v>
      </c>
      <c r="H115" s="190">
        <f t="shared" si="42"/>
        <v>2680.7762026908667</v>
      </c>
      <c r="I115" s="190">
        <f t="shared" si="42"/>
        <v>2856.6351215873874</v>
      </c>
      <c r="J115" s="190">
        <f t="shared" si="42"/>
        <v>3019.9394293714658</v>
      </c>
      <c r="K115" s="190">
        <f t="shared" si="42"/>
        <v>3167.1111442295019</v>
      </c>
      <c r="L115" s="190">
        <f t="shared" si="42"/>
        <v>3294.7457233419509</v>
      </c>
      <c r="M115" s="190">
        <f t="shared" si="42"/>
        <v>3399.7382870591141</v>
      </c>
      <c r="N115" s="190">
        <f t="shared" si="42"/>
        <v>3479.405487585866</v>
      </c>
      <c r="O115" s="190">
        <f t="shared" si="42"/>
        <v>3531.5965698996538</v>
      </c>
      <c r="P115" s="190">
        <f>O115*(1+$C$116)</f>
        <v>3584.5705184481481</v>
      </c>
    </row>
    <row r="116" spans="2:16" ht="15" customHeight="1" x14ac:dyDescent="0.2">
      <c r="B116" s="88" t="s">
        <v>235</v>
      </c>
      <c r="C116" s="183">
        <f>DCF!$H$92</f>
        <v>1.4999999999999999E-2</v>
      </c>
      <c r="E116" s="88" t="s">
        <v>44</v>
      </c>
      <c r="F116" s="189">
        <f>$C$113/(($C$6-$C$5+$C$7)/($C$114*(1-$C$4)))</f>
        <v>0.18715519565217395</v>
      </c>
      <c r="G116" s="189">
        <f t="shared" ref="G116:O116" si="43">F116-($F116-$C$115)/$C$12</f>
        <v>0.17589381713103003</v>
      </c>
      <c r="H116" s="189">
        <f t="shared" si="43"/>
        <v>0.16463243860988611</v>
      </c>
      <c r="I116" s="189">
        <f t="shared" si="43"/>
        <v>0.15337106008874218</v>
      </c>
      <c r="J116" s="189">
        <f t="shared" si="43"/>
        <v>0.14210968156759826</v>
      </c>
      <c r="K116" s="189">
        <f t="shared" si="43"/>
        <v>0.13084830304645434</v>
      </c>
      <c r="L116" s="189">
        <f t="shared" si="43"/>
        <v>0.11958692452531042</v>
      </c>
      <c r="M116" s="189">
        <f t="shared" si="43"/>
        <v>0.1083255460041665</v>
      </c>
      <c r="N116" s="189">
        <f t="shared" si="43"/>
        <v>9.7064167483022573E-2</v>
      </c>
      <c r="O116" s="189">
        <f t="shared" si="43"/>
        <v>8.5802788961878651E-2</v>
      </c>
      <c r="P116" s="189">
        <f>$C$115</f>
        <v>8.5802788961878651E-2</v>
      </c>
    </row>
    <row r="117" spans="2:16" ht="15" customHeight="1" x14ac:dyDescent="0.2">
      <c r="E117" s="88" t="s">
        <v>43</v>
      </c>
      <c r="F117" s="192">
        <f t="shared" ref="F117:O117" si="44">F113/F116</f>
        <v>0.48569316861999778</v>
      </c>
      <c r="G117" s="192">
        <f t="shared" si="44"/>
        <v>0.46884346483443523</v>
      </c>
      <c r="H117" s="192">
        <f t="shared" si="44"/>
        <v>0.44968861518696873</v>
      </c>
      <c r="I117" s="192">
        <f t="shared" si="44"/>
        <v>0.42772084878361738</v>
      </c>
      <c r="J117" s="192">
        <f t="shared" si="44"/>
        <v>0.40227144298732248</v>
      </c>
      <c r="K117" s="192">
        <f t="shared" si="44"/>
        <v>0.37244146235531844</v>
      </c>
      <c r="L117" s="192">
        <f t="shared" si="44"/>
        <v>0.33699336411541003</v>
      </c>
      <c r="M117" s="192">
        <f t="shared" si="44"/>
        <v>0.29417499234613576</v>
      </c>
      <c r="N117" s="192">
        <f t="shared" si="44"/>
        <v>0.24142105105297512</v>
      </c>
      <c r="O117" s="192">
        <f t="shared" si="44"/>
        <v>0.17481949225058804</v>
      </c>
      <c r="P117" s="192">
        <f>$C$116/P116</f>
        <v>0.17481949225058821</v>
      </c>
    </row>
    <row r="118" spans="2:16" ht="15" customHeight="1" x14ac:dyDescent="0.2">
      <c r="E118" s="88" t="s">
        <v>236</v>
      </c>
      <c r="F118" s="190">
        <f t="shared" ref="F118:O118" si="45">F115*F117</f>
        <v>1119.9284126399996</v>
      </c>
      <c r="G118" s="190">
        <f t="shared" si="45"/>
        <v>1170.2284876154863</v>
      </c>
      <c r="H118" s="190">
        <f t="shared" si="45"/>
        <v>1205.5145382142364</v>
      </c>
      <c r="I118" s="190">
        <f t="shared" si="45"/>
        <v>1221.8423988704494</v>
      </c>
      <c r="J118" s="190">
        <f t="shared" si="45"/>
        <v>1214.8353919875708</v>
      </c>
      <c r="K118" s="190">
        <f t="shared" si="45"/>
        <v>1179.5635059986616</v>
      </c>
      <c r="L118" s="190">
        <f t="shared" si="45"/>
        <v>1110.307445213864</v>
      </c>
      <c r="M118" s="190">
        <f t="shared" si="45"/>
        <v>1000.1179845744796</v>
      </c>
      <c r="N118" s="190">
        <f t="shared" si="45"/>
        <v>840.00172985246911</v>
      </c>
      <c r="O118" s="190">
        <f t="shared" si="45"/>
        <v>617.39191918377583</v>
      </c>
    </row>
    <row r="119" spans="2:16" ht="15" customHeight="1" x14ac:dyDescent="0.2">
      <c r="E119" s="87" t="s">
        <v>45</v>
      </c>
      <c r="F119" s="193">
        <f t="shared" ref="F119:O119" si="46">F115-F118</f>
        <v>1185.9068039064002</v>
      </c>
      <c r="G119" s="193">
        <f t="shared" si="46"/>
        <v>1325.761273122107</v>
      </c>
      <c r="H119" s="193">
        <f t="shared" si="46"/>
        <v>1475.2616644766304</v>
      </c>
      <c r="I119" s="193">
        <f t="shared" si="46"/>
        <v>1634.792722716938</v>
      </c>
      <c r="J119" s="193">
        <f t="shared" si="46"/>
        <v>1805.104037383895</v>
      </c>
      <c r="K119" s="193">
        <f t="shared" si="46"/>
        <v>1987.5476382308402</v>
      </c>
      <c r="L119" s="193">
        <f t="shared" si="46"/>
        <v>2184.4382781280869</v>
      </c>
      <c r="M119" s="193">
        <f t="shared" si="46"/>
        <v>2399.6203024846345</v>
      </c>
      <c r="N119" s="193">
        <f t="shared" si="46"/>
        <v>2639.403757733397</v>
      </c>
      <c r="O119" s="193">
        <f t="shared" si="46"/>
        <v>2914.204650715878</v>
      </c>
      <c r="P119" s="193">
        <f>P115*(1-P117)</f>
        <v>2957.9177204766152</v>
      </c>
    </row>
    <row r="120" spans="2:16" ht="15" customHeight="1" x14ac:dyDescent="0.2">
      <c r="B120" s="88" t="s">
        <v>237</v>
      </c>
      <c r="C120" s="184">
        <f>SUM(F121:O121)</f>
        <v>12309.845409660782</v>
      </c>
      <c r="E120" s="88" t="s">
        <v>238</v>
      </c>
      <c r="F120" s="194">
        <f>DCF!O$71</f>
        <v>3.4722222222222224E-2</v>
      </c>
      <c r="G120" s="194">
        <f>DCF!P$71</f>
        <v>0.56944444444444442</v>
      </c>
      <c r="H120" s="194">
        <f>DCF!Q$71</f>
        <v>1.5694444444444444</v>
      </c>
      <c r="I120" s="194">
        <f>DCF!R$71</f>
        <v>2.5694444444444446</v>
      </c>
      <c r="J120" s="194">
        <f>DCF!S$71</f>
        <v>3.5694444444444446</v>
      </c>
      <c r="K120" s="194">
        <f>DCF!T$71</f>
        <v>4.5694444444444446</v>
      </c>
      <c r="L120" s="194">
        <f>DCF!U$71</f>
        <v>5.5694444444444446</v>
      </c>
      <c r="M120" s="194">
        <f>DCF!V$71</f>
        <v>6.5694444444444446</v>
      </c>
      <c r="N120" s="194">
        <f>DCF!W$71</f>
        <v>7.5694444444444446</v>
      </c>
      <c r="O120" s="194">
        <f>DCF!X$71</f>
        <v>8.5694444444444446</v>
      </c>
    </row>
    <row r="121" spans="2:16" ht="15" customHeight="1" x14ac:dyDescent="0.2">
      <c r="B121" s="88" t="s">
        <v>75</v>
      </c>
      <c r="C121" s="184">
        <f>P119/($C$115-$C$116)</f>
        <v>41776.853198102195</v>
      </c>
      <c r="E121" s="88" t="s">
        <v>239</v>
      </c>
      <c r="F121" s="190">
        <f>F119*DCF!$O$70/(1+$C$115)^F120</f>
        <v>82.11957936015763</v>
      </c>
      <c r="G121" s="190">
        <f t="shared" ref="G121:O121" si="47">G119/(1+$C$115)^G120</f>
        <v>1265.0484160613914</v>
      </c>
      <c r="H121" s="190">
        <f t="shared" si="47"/>
        <v>1296.4623909655973</v>
      </c>
      <c r="I121" s="190">
        <f t="shared" si="47"/>
        <v>1323.1302805920577</v>
      </c>
      <c r="J121" s="190">
        <f t="shared" si="47"/>
        <v>1345.5232221825761</v>
      </c>
      <c r="K121" s="190">
        <f t="shared" si="47"/>
        <v>1364.4434911799585</v>
      </c>
      <c r="L121" s="190">
        <f t="shared" si="47"/>
        <v>1381.1054290297325</v>
      </c>
      <c r="M121" s="190">
        <f t="shared" si="47"/>
        <v>1397.264513031799</v>
      </c>
      <c r="N121" s="190">
        <f t="shared" si="47"/>
        <v>1415.4384187401279</v>
      </c>
      <c r="O121" s="190">
        <f t="shared" si="47"/>
        <v>1439.3096685173828</v>
      </c>
    </row>
    <row r="122" spans="2:16" ht="15" customHeight="1" x14ac:dyDescent="0.2">
      <c r="B122" s="88" t="s">
        <v>240</v>
      </c>
      <c r="C122" s="184">
        <f>C121/(1+$C$115)^O120</f>
        <v>20633.358303607423</v>
      </c>
    </row>
    <row r="123" spans="2:16" ht="15" customHeight="1" x14ac:dyDescent="0.2">
      <c r="B123" s="88" t="s">
        <v>241</v>
      </c>
      <c r="C123" s="184">
        <f>C120+C122</f>
        <v>32943.203713268202</v>
      </c>
    </row>
    <row r="124" spans="2:16" ht="15" customHeight="1" x14ac:dyDescent="0.2">
      <c r="B124" s="88" t="s">
        <v>242</v>
      </c>
      <c r="C124" s="184">
        <f>C123+$C$9-$C$10</f>
        <v>33843.203713268202</v>
      </c>
    </row>
    <row r="125" spans="2:16" ht="15" customHeight="1" x14ac:dyDescent="0.2">
      <c r="B125" s="187" t="s">
        <v>243</v>
      </c>
      <c r="C125" s="195">
        <f>C124/$C$11</f>
        <v>31.724037976441885</v>
      </c>
    </row>
    <row r="126" spans="2:16" ht="15" customHeight="1" x14ac:dyDescent="0.2">
      <c r="B126" s="88" t="s">
        <v>244</v>
      </c>
      <c r="C126" s="182">
        <f>1-P119/P115</f>
        <v>0.17481949225058824</v>
      </c>
    </row>
    <row r="127" spans="2:16" ht="15" customHeight="1" x14ac:dyDescent="0.2">
      <c r="B127" s="88" t="s">
        <v>245</v>
      </c>
      <c r="C127" s="182">
        <f>C122/C123</f>
        <v>0.62633126040795883</v>
      </c>
    </row>
    <row r="130" spans="2:16" ht="15" customHeight="1" x14ac:dyDescent="0.2">
      <c r="B130" s="86" t="e">
        <f>"Sensitivity, terminal growth "&amp;TEXT(DCF!$J$92,"0.0%")</f>
        <v>#VALUE!</v>
      </c>
      <c r="C130" s="86"/>
      <c r="D130" s="86"/>
      <c r="E130" s="86"/>
      <c r="F130" s="86"/>
      <c r="G130" s="86"/>
      <c r="H130" s="86"/>
      <c r="I130" s="86"/>
      <c r="J130" s="86"/>
      <c r="K130" s="86"/>
      <c r="L130" s="86"/>
      <c r="M130" s="86"/>
      <c r="N130" s="86"/>
      <c r="O130" s="86"/>
      <c r="P130" s="86"/>
    </row>
    <row r="131" spans="2:16" ht="15" customHeight="1" x14ac:dyDescent="0.2">
      <c r="B131" s="187" t="s">
        <v>230</v>
      </c>
      <c r="C131" s="187" t="s">
        <v>144</v>
      </c>
      <c r="E131" s="187" t="s">
        <v>231</v>
      </c>
      <c r="F131" s="188" t="str">
        <f>"FY"&amp;RIGHT(DCF!O$38,2)</f>
        <v>FY26</v>
      </c>
      <c r="G131" s="188" t="str">
        <f>"FY"&amp;RIGHT(DCF!P$38,2)</f>
        <v>FY27</v>
      </c>
      <c r="H131" s="188" t="str">
        <f>"FY"&amp;RIGHT(DCF!Q$38,2)</f>
        <v>FY28</v>
      </c>
      <c r="I131" s="188" t="str">
        <f>"FY"&amp;RIGHT(DCF!R$38,2)</f>
        <v>FY29</v>
      </c>
      <c r="J131" s="188" t="str">
        <f>"FY"&amp;RIGHT(DCF!S$38,2)</f>
        <v>FY30</v>
      </c>
      <c r="K131" s="188" t="str">
        <f>"FY"&amp;RIGHT(DCF!T$38,2)</f>
        <v>FY31</v>
      </c>
      <c r="L131" s="188" t="str">
        <f>"FY"&amp;RIGHT(DCF!U$38,2)</f>
        <v>FY32</v>
      </c>
      <c r="M131" s="188" t="str">
        <f>"FY"&amp;RIGHT(DCF!V$38,2)</f>
        <v>FY33</v>
      </c>
      <c r="N131" s="188" t="str">
        <f>"FY"&amp;RIGHT(DCF!W$38,2)</f>
        <v>FY34</v>
      </c>
      <c r="O131" s="188" t="str">
        <f>"FY"&amp;RIGHT(DCF!X$38,2)</f>
        <v>FY35</v>
      </c>
      <c r="P131" s="188" t="s">
        <v>38</v>
      </c>
    </row>
    <row r="132" spans="2:16" ht="15" customHeight="1" x14ac:dyDescent="0.2">
      <c r="B132" s="88" t="s">
        <v>232</v>
      </c>
      <c r="C132" s="183">
        <f>DCF!$L$11</f>
        <v>9.0899999999999995E-2</v>
      </c>
      <c r="E132" s="88" t="s">
        <v>71</v>
      </c>
      <c r="F132" s="189">
        <f>$C$132</f>
        <v>9.0899999999999995E-2</v>
      </c>
      <c r="G132" s="189">
        <f t="shared" ref="G132:O132" si="48">F132-($C$132-$C$135)/$C$12</f>
        <v>8.3022222222222219E-2</v>
      </c>
      <c r="H132" s="189">
        <f t="shared" si="48"/>
        <v>7.5144444444444444E-2</v>
      </c>
      <c r="I132" s="189">
        <f t="shared" si="48"/>
        <v>6.7266666666666669E-2</v>
      </c>
      <c r="J132" s="189">
        <f t="shared" si="48"/>
        <v>5.9388888888888894E-2</v>
      </c>
      <c r="K132" s="189">
        <f t="shared" si="48"/>
        <v>5.1511111111111119E-2</v>
      </c>
      <c r="L132" s="189">
        <f t="shared" si="48"/>
        <v>4.3633333333333343E-2</v>
      </c>
      <c r="M132" s="189">
        <f t="shared" si="48"/>
        <v>3.5755555555555568E-2</v>
      </c>
      <c r="N132" s="189">
        <f t="shared" si="48"/>
        <v>2.7877777777777793E-2</v>
      </c>
      <c r="O132" s="189">
        <f t="shared" si="48"/>
        <v>2.0000000000000018E-2</v>
      </c>
    </row>
    <row r="133" spans="2:16" ht="15" customHeight="1" x14ac:dyDescent="0.2">
      <c r="B133" s="88" t="s">
        <v>233</v>
      </c>
      <c r="C133" s="183">
        <f>DCF!$L$13</f>
        <v>0.17219999999999999</v>
      </c>
      <c r="E133" s="88" t="s">
        <v>14</v>
      </c>
      <c r="F133" s="190">
        <f>$C$8*(1+F132)</f>
        <v>15216.41865</v>
      </c>
      <c r="G133" s="190">
        <f t="shared" ref="G133:O133" si="49">F133*(1+G132)</f>
        <v>16479.719540586666</v>
      </c>
      <c r="H133" s="190">
        <f t="shared" si="49"/>
        <v>17718.078910064305</v>
      </c>
      <c r="I133" s="190">
        <f t="shared" si="49"/>
        <v>18909.915018081298</v>
      </c>
      <c r="J133" s="190">
        <f t="shared" si="49"/>
        <v>20032.953859988462</v>
      </c>
      <c r="K133" s="190">
        <f t="shared" si="49"/>
        <v>21064.873572154087</v>
      </c>
      <c r="L133" s="190">
        <f t="shared" si="49"/>
        <v>21984.004222352411</v>
      </c>
      <c r="M133" s="190">
        <f t="shared" si="49"/>
        <v>22770.0545066583</v>
      </c>
      <c r="N133" s="190">
        <f t="shared" si="49"/>
        <v>23404.833026182809</v>
      </c>
      <c r="O133" s="190">
        <f t="shared" si="49"/>
        <v>23872.929686706466</v>
      </c>
    </row>
    <row r="134" spans="2:16" ht="15" customHeight="1" x14ac:dyDescent="0.2">
      <c r="B134" s="88" t="s">
        <v>19</v>
      </c>
      <c r="C134" s="191">
        <f>DCF!$L$16</f>
        <v>8.5802788961878651E-2</v>
      </c>
      <c r="E134" s="88" t="s">
        <v>234</v>
      </c>
      <c r="F134" s="190">
        <f t="shared" ref="F134:O134" si="50">F133*$C$133*(1-$C$4)</f>
        <v>2305.8352165463998</v>
      </c>
      <c r="G134" s="190">
        <f t="shared" si="50"/>
        <v>2497.2707803023409</v>
      </c>
      <c r="H134" s="190">
        <f t="shared" si="50"/>
        <v>2684.9268057155045</v>
      </c>
      <c r="I134" s="190">
        <f t="shared" si="50"/>
        <v>2865.5328821799671</v>
      </c>
      <c r="J134" s="190">
        <f t="shared" si="50"/>
        <v>3035.7136961272117</v>
      </c>
      <c r="K134" s="190">
        <f t="shared" si="50"/>
        <v>3192.0866816299417</v>
      </c>
      <c r="L134" s="190">
        <f t="shared" si="50"/>
        <v>3331.3680638383948</v>
      </c>
      <c r="M134" s="190">
        <f t="shared" si="50"/>
        <v>3450.4829797209723</v>
      </c>
      <c r="N134" s="190">
        <f t="shared" si="50"/>
        <v>3546.6747774556379</v>
      </c>
      <c r="O134" s="190">
        <f t="shared" si="50"/>
        <v>3617.608273004751</v>
      </c>
      <c r="P134" s="190">
        <f>O134*(1+$C$135)</f>
        <v>3689.960438464846</v>
      </c>
    </row>
    <row r="135" spans="2:16" ht="15" customHeight="1" x14ac:dyDescent="0.2">
      <c r="B135" s="88" t="s">
        <v>235</v>
      </c>
      <c r="C135" s="183">
        <f>DCF!$J$92</f>
        <v>0.02</v>
      </c>
      <c r="E135" s="88" t="s">
        <v>44</v>
      </c>
      <c r="F135" s="189">
        <f>$C$132/(($C$6-$C$5+$C$7)/($C$133*(1-$C$4)))</f>
        <v>0.18715519565217395</v>
      </c>
      <c r="G135" s="189">
        <f t="shared" ref="G135:O135" si="51">F135-($F135-$C$134)/$C$12</f>
        <v>0.17589381713103003</v>
      </c>
      <c r="H135" s="189">
        <f t="shared" si="51"/>
        <v>0.16463243860988611</v>
      </c>
      <c r="I135" s="189">
        <f t="shared" si="51"/>
        <v>0.15337106008874218</v>
      </c>
      <c r="J135" s="189">
        <f t="shared" si="51"/>
        <v>0.14210968156759826</v>
      </c>
      <c r="K135" s="189">
        <f t="shared" si="51"/>
        <v>0.13084830304645434</v>
      </c>
      <c r="L135" s="189">
        <f t="shared" si="51"/>
        <v>0.11958692452531042</v>
      </c>
      <c r="M135" s="189">
        <f t="shared" si="51"/>
        <v>0.1083255460041665</v>
      </c>
      <c r="N135" s="189">
        <f t="shared" si="51"/>
        <v>9.7064167483022573E-2</v>
      </c>
      <c r="O135" s="189">
        <f t="shared" si="51"/>
        <v>8.5802788961878651E-2</v>
      </c>
      <c r="P135" s="189">
        <f>$C$134</f>
        <v>8.5802788961878651E-2</v>
      </c>
    </row>
    <row r="136" spans="2:16" ht="15" customHeight="1" x14ac:dyDescent="0.2">
      <c r="E136" s="88" t="s">
        <v>43</v>
      </c>
      <c r="F136" s="192">
        <f t="shared" ref="F136:O136" si="52">F132/F135</f>
        <v>0.48569316861999778</v>
      </c>
      <c r="G136" s="192">
        <f t="shared" si="52"/>
        <v>0.47200193603380497</v>
      </c>
      <c r="H136" s="192">
        <f t="shared" si="52"/>
        <v>0.45643765638743355</v>
      </c>
      <c r="I136" s="192">
        <f t="shared" si="52"/>
        <v>0.43858774026694108</v>
      </c>
      <c r="J136" s="192">
        <f t="shared" si="52"/>
        <v>0.41790881686438081</v>
      </c>
      <c r="K136" s="192">
        <f t="shared" si="52"/>
        <v>0.39367045587762356</v>
      </c>
      <c r="L136" s="192">
        <f t="shared" si="52"/>
        <v>0.36486709150295443</v>
      </c>
      <c r="M136" s="192">
        <f t="shared" si="52"/>
        <v>0.33007500884583874</v>
      </c>
      <c r="N136" s="192">
        <f t="shared" si="52"/>
        <v>0.28720977576667389</v>
      </c>
      <c r="O136" s="192">
        <f t="shared" si="52"/>
        <v>0.23309265633411783</v>
      </c>
      <c r="P136" s="192">
        <f>$C$135/P135</f>
        <v>0.2330926563341176</v>
      </c>
    </row>
    <row r="137" spans="2:16" ht="15" customHeight="1" x14ac:dyDescent="0.2">
      <c r="E137" s="88" t="s">
        <v>236</v>
      </c>
      <c r="F137" s="190">
        <f t="shared" ref="F137:O137" si="53">F134*F136</f>
        <v>1119.9284126399996</v>
      </c>
      <c r="G137" s="190">
        <f t="shared" si="53"/>
        <v>1178.7166431033556</v>
      </c>
      <c r="H137" s="190">
        <f t="shared" si="53"/>
        <v>1225.501698772583</v>
      </c>
      <c r="I137" s="190">
        <f t="shared" si="53"/>
        <v>1256.7875914559265</v>
      </c>
      <c r="J137" s="190">
        <f t="shared" si="53"/>
        <v>1268.6515190875195</v>
      </c>
      <c r="K137" s="190">
        <f t="shared" si="53"/>
        <v>1256.6302191581499</v>
      </c>
      <c r="L137" s="190">
        <f t="shared" si="53"/>
        <v>1215.5065761785438</v>
      </c>
      <c r="M137" s="190">
        <f t="shared" si="53"/>
        <v>1138.918200053816</v>
      </c>
      <c r="N137" s="190">
        <f t="shared" si="53"/>
        <v>1018.6396675503518</v>
      </c>
      <c r="O137" s="190">
        <f t="shared" si="53"/>
        <v>843.2379219309579</v>
      </c>
    </row>
    <row r="138" spans="2:16" ht="15" customHeight="1" x14ac:dyDescent="0.2">
      <c r="E138" s="87" t="s">
        <v>45</v>
      </c>
      <c r="F138" s="193">
        <f t="shared" ref="F138:O138" si="54">F134-F137</f>
        <v>1185.9068039064002</v>
      </c>
      <c r="G138" s="193">
        <f t="shared" si="54"/>
        <v>1318.5541371989852</v>
      </c>
      <c r="H138" s="193">
        <f t="shared" si="54"/>
        <v>1459.4251069429215</v>
      </c>
      <c r="I138" s="193">
        <f t="shared" si="54"/>
        <v>1608.7452907240406</v>
      </c>
      <c r="J138" s="193">
        <f t="shared" si="54"/>
        <v>1767.0621770396922</v>
      </c>
      <c r="K138" s="193">
        <f t="shared" si="54"/>
        <v>1935.4564624717918</v>
      </c>
      <c r="L138" s="193">
        <f t="shared" si="54"/>
        <v>2115.8614876598513</v>
      </c>
      <c r="M138" s="193">
        <f t="shared" si="54"/>
        <v>2311.5647796671565</v>
      </c>
      <c r="N138" s="193">
        <f t="shared" si="54"/>
        <v>2528.0351099052859</v>
      </c>
      <c r="O138" s="193">
        <f t="shared" si="54"/>
        <v>2774.3703510737932</v>
      </c>
      <c r="P138" s="193">
        <f>P134*(1-P136)</f>
        <v>2829.8577580952697</v>
      </c>
    </row>
    <row r="139" spans="2:16" ht="15" customHeight="1" x14ac:dyDescent="0.2">
      <c r="B139" s="88" t="s">
        <v>237</v>
      </c>
      <c r="C139" s="184">
        <f>SUM(F140:O140)</f>
        <v>11980.434459967539</v>
      </c>
      <c r="E139" s="88" t="s">
        <v>238</v>
      </c>
      <c r="F139" s="194">
        <f>DCF!O$71</f>
        <v>3.4722222222222224E-2</v>
      </c>
      <c r="G139" s="194">
        <f>DCF!P$71</f>
        <v>0.56944444444444442</v>
      </c>
      <c r="H139" s="194">
        <f>DCF!Q$71</f>
        <v>1.5694444444444444</v>
      </c>
      <c r="I139" s="194">
        <f>DCF!R$71</f>
        <v>2.5694444444444446</v>
      </c>
      <c r="J139" s="194">
        <f>DCF!S$71</f>
        <v>3.5694444444444446</v>
      </c>
      <c r="K139" s="194">
        <f>DCF!T$71</f>
        <v>4.5694444444444446</v>
      </c>
      <c r="L139" s="194">
        <f>DCF!U$71</f>
        <v>5.5694444444444446</v>
      </c>
      <c r="M139" s="194">
        <f>DCF!V$71</f>
        <v>6.5694444444444446</v>
      </c>
      <c r="N139" s="194">
        <f>DCF!W$71</f>
        <v>7.5694444444444446</v>
      </c>
      <c r="O139" s="194">
        <f>DCF!X$71</f>
        <v>8.5694444444444446</v>
      </c>
    </row>
    <row r="140" spans="2:16" ht="15" customHeight="1" x14ac:dyDescent="0.2">
      <c r="B140" s="88" t="s">
        <v>75</v>
      </c>
      <c r="C140" s="184">
        <f>P138/($C$134-$C$135)</f>
        <v>43005.134018478813</v>
      </c>
      <c r="E140" s="88" t="s">
        <v>239</v>
      </c>
      <c r="F140" s="190">
        <f>F138*DCF!$O$70/(1+$C$134)^F139</f>
        <v>82.11957936015763</v>
      </c>
      <c r="G140" s="190">
        <f t="shared" ref="G140:O140" si="55">G138/(1+$C$134)^G139</f>
        <v>1258.1713288597014</v>
      </c>
      <c r="H140" s="190">
        <f t="shared" si="55"/>
        <v>1282.5451980097969</v>
      </c>
      <c r="I140" s="190">
        <f t="shared" si="55"/>
        <v>1302.0486195823444</v>
      </c>
      <c r="J140" s="190">
        <f t="shared" si="55"/>
        <v>1317.1668474539845</v>
      </c>
      <c r="K140" s="190">
        <f t="shared" si="55"/>
        <v>1328.6831077077866</v>
      </c>
      <c r="L140" s="190">
        <f t="shared" si="55"/>
        <v>1337.7479313290987</v>
      </c>
      <c r="M140" s="190">
        <f t="shared" si="55"/>
        <v>1345.9910440242531</v>
      </c>
      <c r="N140" s="190">
        <f t="shared" si="55"/>
        <v>1355.7145275707003</v>
      </c>
      <c r="O140" s="190">
        <f t="shared" si="55"/>
        <v>1370.2462760697149</v>
      </c>
    </row>
    <row r="141" spans="2:16" ht="15" customHeight="1" x14ac:dyDescent="0.2">
      <c r="B141" s="88" t="s">
        <v>240</v>
      </c>
      <c r="C141" s="184">
        <f>C140/(1+$C$134)^O139</f>
        <v>21239.999453530865</v>
      </c>
    </row>
    <row r="142" spans="2:16" ht="15" customHeight="1" x14ac:dyDescent="0.2">
      <c r="B142" s="88" t="s">
        <v>241</v>
      </c>
      <c r="C142" s="184">
        <f>C139+C141</f>
        <v>33220.433913498404</v>
      </c>
    </row>
    <row r="143" spans="2:16" ht="15" customHeight="1" x14ac:dyDescent="0.2">
      <c r="B143" s="88" t="s">
        <v>242</v>
      </c>
      <c r="C143" s="184">
        <f>C142+$C$9-$C$10</f>
        <v>34120.433913498404</v>
      </c>
    </row>
    <row r="144" spans="2:16" ht="15" customHeight="1" x14ac:dyDescent="0.2">
      <c r="B144" s="187" t="s">
        <v>243</v>
      </c>
      <c r="C144" s="195">
        <f>C143/$C$11</f>
        <v>31.983908805304093</v>
      </c>
    </row>
    <row r="145" spans="2:16" ht="15" customHeight="1" x14ac:dyDescent="0.2">
      <c r="B145" s="88" t="s">
        <v>244</v>
      </c>
      <c r="C145" s="182">
        <f>1-P138/P134</f>
        <v>0.23309265633411758</v>
      </c>
    </row>
    <row r="146" spans="2:16" ht="15" customHeight="1" x14ac:dyDescent="0.2">
      <c r="B146" s="88" t="s">
        <v>245</v>
      </c>
      <c r="C146" s="182">
        <f>C141/C142</f>
        <v>0.63936550343794429</v>
      </c>
    </row>
    <row r="149" spans="2:16" ht="15" customHeight="1" x14ac:dyDescent="0.2">
      <c r="B149" s="86" t="e">
        <f>"Sensitivity, terminal growth "&amp;TEXT(DCF!$L$92,"0.0%")</f>
        <v>#VALUE!</v>
      </c>
      <c r="C149" s="86"/>
      <c r="D149" s="86"/>
      <c r="E149" s="86"/>
      <c r="F149" s="86"/>
      <c r="G149" s="86"/>
      <c r="H149" s="86"/>
      <c r="I149" s="86"/>
      <c r="J149" s="86"/>
      <c r="K149" s="86"/>
      <c r="L149" s="86"/>
      <c r="M149" s="86"/>
      <c r="N149" s="86"/>
      <c r="O149" s="86"/>
      <c r="P149" s="86"/>
    </row>
    <row r="150" spans="2:16" ht="15" customHeight="1" x14ac:dyDescent="0.2">
      <c r="B150" s="187" t="s">
        <v>230</v>
      </c>
      <c r="C150" s="187" t="s">
        <v>144</v>
      </c>
      <c r="E150" s="187" t="s">
        <v>231</v>
      </c>
      <c r="F150" s="188" t="str">
        <f>"FY"&amp;RIGHT(DCF!O$38,2)</f>
        <v>FY26</v>
      </c>
      <c r="G150" s="188" t="str">
        <f>"FY"&amp;RIGHT(DCF!P$38,2)</f>
        <v>FY27</v>
      </c>
      <c r="H150" s="188" t="str">
        <f>"FY"&amp;RIGHT(DCF!Q$38,2)</f>
        <v>FY28</v>
      </c>
      <c r="I150" s="188" t="str">
        <f>"FY"&amp;RIGHT(DCF!R$38,2)</f>
        <v>FY29</v>
      </c>
      <c r="J150" s="188" t="str">
        <f>"FY"&amp;RIGHT(DCF!S$38,2)</f>
        <v>FY30</v>
      </c>
      <c r="K150" s="188" t="str">
        <f>"FY"&amp;RIGHT(DCF!T$38,2)</f>
        <v>FY31</v>
      </c>
      <c r="L150" s="188" t="str">
        <f>"FY"&amp;RIGHT(DCF!U$38,2)</f>
        <v>FY32</v>
      </c>
      <c r="M150" s="188" t="str">
        <f>"FY"&amp;RIGHT(DCF!V$38,2)</f>
        <v>FY33</v>
      </c>
      <c r="N150" s="188" t="str">
        <f>"FY"&amp;RIGHT(DCF!W$38,2)</f>
        <v>FY34</v>
      </c>
      <c r="O150" s="188" t="str">
        <f>"FY"&amp;RIGHT(DCF!X$38,2)</f>
        <v>FY35</v>
      </c>
      <c r="P150" s="188" t="s">
        <v>38</v>
      </c>
    </row>
    <row r="151" spans="2:16" ht="15" customHeight="1" x14ac:dyDescent="0.2">
      <c r="B151" s="88" t="s">
        <v>232</v>
      </c>
      <c r="C151" s="183">
        <f>DCF!$L$11</f>
        <v>9.0899999999999995E-2</v>
      </c>
      <c r="E151" s="88" t="s">
        <v>71</v>
      </c>
      <c r="F151" s="189">
        <f>$C$151</f>
        <v>9.0899999999999995E-2</v>
      </c>
      <c r="G151" s="189">
        <f t="shared" ref="G151:O151" si="56">F151-($C$151-$C$154)/$C$12</f>
        <v>8.3577777777777779E-2</v>
      </c>
      <c r="H151" s="189">
        <f t="shared" si="56"/>
        <v>7.6255555555555563E-2</v>
      </c>
      <c r="I151" s="189">
        <f t="shared" si="56"/>
        <v>6.8933333333333346E-2</v>
      </c>
      <c r="J151" s="189">
        <f t="shared" si="56"/>
        <v>6.1611111111111123E-2</v>
      </c>
      <c r="K151" s="189">
        <f t="shared" si="56"/>
        <v>5.42888888888889E-2</v>
      </c>
      <c r="L151" s="189">
        <f t="shared" si="56"/>
        <v>4.6966666666666677E-2</v>
      </c>
      <c r="M151" s="189">
        <f t="shared" si="56"/>
        <v>3.9644444444444454E-2</v>
      </c>
      <c r="N151" s="189">
        <f t="shared" si="56"/>
        <v>3.2322222222222231E-2</v>
      </c>
      <c r="O151" s="189">
        <f t="shared" si="56"/>
        <v>2.5000000000000012E-2</v>
      </c>
    </row>
    <row r="152" spans="2:16" ht="15" customHeight="1" x14ac:dyDescent="0.2">
      <c r="B152" s="88" t="s">
        <v>233</v>
      </c>
      <c r="C152" s="183">
        <f>DCF!$L$13</f>
        <v>0.17219999999999999</v>
      </c>
      <c r="E152" s="88" t="s">
        <v>14</v>
      </c>
      <c r="F152" s="190">
        <f>$C$8*(1+F151)</f>
        <v>15216.41865</v>
      </c>
      <c r="G152" s="190">
        <f t="shared" ref="G152:O152" si="57">F152*(1+G151)</f>
        <v>16488.173106503331</v>
      </c>
      <c r="H152" s="190">
        <f t="shared" si="57"/>
        <v>17745.487906835911</v>
      </c>
      <c r="I152" s="190">
        <f t="shared" si="57"/>
        <v>18968.743539880466</v>
      </c>
      <c r="J152" s="190">
        <f t="shared" si="57"/>
        <v>20137.428905754212</v>
      </c>
      <c r="K152" s="190">
        <f t="shared" si="57"/>
        <v>21230.667546126602</v>
      </c>
      <c r="L152" s="190">
        <f t="shared" si="57"/>
        <v>22227.801231876347</v>
      </c>
      <c r="M152" s="190">
        <f t="shared" si="57"/>
        <v>23109.01006293562</v>
      </c>
      <c r="N152" s="190">
        <f t="shared" si="57"/>
        <v>23855.944621525392</v>
      </c>
      <c r="O152" s="190">
        <f t="shared" si="57"/>
        <v>24452.343237063524</v>
      </c>
    </row>
    <row r="153" spans="2:16" ht="15" customHeight="1" x14ac:dyDescent="0.2">
      <c r="B153" s="88" t="s">
        <v>19</v>
      </c>
      <c r="C153" s="191">
        <f>DCF!$L$16</f>
        <v>8.5802788961878651E-2</v>
      </c>
      <c r="E153" s="88" t="s">
        <v>234</v>
      </c>
      <c r="F153" s="190">
        <f t="shared" ref="F153:O153" si="58">F152*$C$152*(1-$C$4)</f>
        <v>2305.8352165463998</v>
      </c>
      <c r="G153" s="190">
        <f t="shared" si="58"/>
        <v>2498.5517998670884</v>
      </c>
      <c r="H153" s="190">
        <f t="shared" si="58"/>
        <v>2689.0802554502866</v>
      </c>
      <c r="I153" s="190">
        <f t="shared" si="58"/>
        <v>2874.4475210593259</v>
      </c>
      <c r="J153" s="190">
        <f t="shared" si="58"/>
        <v>3051.5454266623701</v>
      </c>
      <c r="K153" s="190">
        <f t="shared" si="58"/>
        <v>3217.2104372698409</v>
      </c>
      <c r="L153" s="190">
        <f t="shared" si="58"/>
        <v>3368.3120874736142</v>
      </c>
      <c r="M153" s="190">
        <f t="shared" si="58"/>
        <v>3501.8469488970122</v>
      </c>
      <c r="N153" s="190">
        <f t="shared" si="58"/>
        <v>3615.034424167472</v>
      </c>
      <c r="O153" s="190">
        <f t="shared" si="58"/>
        <v>3705.4102847716581</v>
      </c>
      <c r="P153" s="190">
        <f>O153*(1+$C$154)</f>
        <v>3798.0455418909492</v>
      </c>
    </row>
    <row r="154" spans="2:16" ht="15" customHeight="1" x14ac:dyDescent="0.2">
      <c r="B154" s="88" t="s">
        <v>235</v>
      </c>
      <c r="C154" s="183">
        <f>DCF!$L$92</f>
        <v>2.5000000000000001E-2</v>
      </c>
      <c r="E154" s="88" t="s">
        <v>44</v>
      </c>
      <c r="F154" s="189">
        <f>$C$151/(($C$6-$C$5+$C$7)/($C$152*(1-$C$4)))</f>
        <v>0.18715519565217395</v>
      </c>
      <c r="G154" s="189">
        <f t="shared" ref="G154:O154" si="59">F154-($F154-$C$153)/$C$12</f>
        <v>0.17589381713103003</v>
      </c>
      <c r="H154" s="189">
        <f t="shared" si="59"/>
        <v>0.16463243860988611</v>
      </c>
      <c r="I154" s="189">
        <f t="shared" si="59"/>
        <v>0.15337106008874218</v>
      </c>
      <c r="J154" s="189">
        <f t="shared" si="59"/>
        <v>0.14210968156759826</v>
      </c>
      <c r="K154" s="189">
        <f t="shared" si="59"/>
        <v>0.13084830304645434</v>
      </c>
      <c r="L154" s="189">
        <f t="shared" si="59"/>
        <v>0.11958692452531042</v>
      </c>
      <c r="M154" s="189">
        <f t="shared" si="59"/>
        <v>0.1083255460041665</v>
      </c>
      <c r="N154" s="189">
        <f t="shared" si="59"/>
        <v>9.7064167483022573E-2</v>
      </c>
      <c r="O154" s="189">
        <f t="shared" si="59"/>
        <v>8.5802788961878651E-2</v>
      </c>
      <c r="P154" s="189">
        <f>$C$153</f>
        <v>8.5802788961878651E-2</v>
      </c>
    </row>
    <row r="155" spans="2:16" ht="15" customHeight="1" x14ac:dyDescent="0.2">
      <c r="E155" s="88" t="s">
        <v>43</v>
      </c>
      <c r="F155" s="192">
        <f t="shared" ref="F155:O155" si="60">F151/F154</f>
        <v>0.48569316861999778</v>
      </c>
      <c r="G155" s="192">
        <f t="shared" si="60"/>
        <v>0.47516040723317465</v>
      </c>
      <c r="H155" s="192">
        <f t="shared" si="60"/>
        <v>0.46318669758789838</v>
      </c>
      <c r="I155" s="192">
        <f t="shared" si="60"/>
        <v>0.44945463175026473</v>
      </c>
      <c r="J155" s="192">
        <f t="shared" si="60"/>
        <v>0.43354619074143907</v>
      </c>
      <c r="K155" s="192">
        <f t="shared" si="60"/>
        <v>0.41489944939992857</v>
      </c>
      <c r="L155" s="192">
        <f t="shared" si="60"/>
        <v>0.39274081889049872</v>
      </c>
      <c r="M155" s="192">
        <f t="shared" si="60"/>
        <v>0.36597502534554149</v>
      </c>
      <c r="N155" s="192">
        <f t="shared" si="60"/>
        <v>0.33299850048037233</v>
      </c>
      <c r="O155" s="192">
        <f t="shared" si="60"/>
        <v>0.29136582041764714</v>
      </c>
      <c r="P155" s="192">
        <f>$C$154/P154</f>
        <v>0.29136582041764703</v>
      </c>
    </row>
    <row r="156" spans="2:16" ht="15" customHeight="1" x14ac:dyDescent="0.2">
      <c r="E156" s="88" t="s">
        <v>236</v>
      </c>
      <c r="F156" s="190">
        <f t="shared" ref="F156:O156" si="61">F153*F155</f>
        <v>1119.9284126399996</v>
      </c>
      <c r="G156" s="190">
        <f t="shared" si="61"/>
        <v>1187.2128907180272</v>
      </c>
      <c r="H156" s="190">
        <f t="shared" si="61"/>
        <v>1245.5462030708404</v>
      </c>
      <c r="I156" s="190">
        <f t="shared" si="61"/>
        <v>1291.9337520631807</v>
      </c>
      <c r="J156" s="190">
        <f t="shared" si="61"/>
        <v>1322.98589560393</v>
      </c>
      <c r="K156" s="190">
        <f t="shared" si="61"/>
        <v>1334.8188390269604</v>
      </c>
      <c r="L156" s="190">
        <f t="shared" si="61"/>
        <v>1322.8736475131525</v>
      </c>
      <c r="M156" s="190">
        <f t="shared" si="61"/>
        <v>1281.5885258787912</v>
      </c>
      <c r="N156" s="190">
        <f t="shared" si="61"/>
        <v>1203.8010424326944</v>
      </c>
      <c r="O156" s="190">
        <f t="shared" si="61"/>
        <v>1079.6299076064818</v>
      </c>
    </row>
    <row r="157" spans="2:16" ht="15" customHeight="1" x14ac:dyDescent="0.2">
      <c r="E157" s="87" t="s">
        <v>45</v>
      </c>
      <c r="F157" s="193">
        <f t="shared" ref="F157:O157" si="62">F153-F156</f>
        <v>1185.9068039064002</v>
      </c>
      <c r="G157" s="193">
        <f t="shared" si="62"/>
        <v>1311.3389091490612</v>
      </c>
      <c r="H157" s="193">
        <f t="shared" si="62"/>
        <v>1443.5340523794462</v>
      </c>
      <c r="I157" s="193">
        <f t="shared" si="62"/>
        <v>1582.5137689961452</v>
      </c>
      <c r="J157" s="193">
        <f t="shared" si="62"/>
        <v>1728.5595310584401</v>
      </c>
      <c r="K157" s="193">
        <f t="shared" si="62"/>
        <v>1882.3915982428805</v>
      </c>
      <c r="L157" s="193">
        <f t="shared" si="62"/>
        <v>2045.4384399604617</v>
      </c>
      <c r="M157" s="193">
        <f t="shared" si="62"/>
        <v>2220.258423018221</v>
      </c>
      <c r="N157" s="193">
        <f t="shared" si="62"/>
        <v>2411.2333817347776</v>
      </c>
      <c r="O157" s="193">
        <f t="shared" si="62"/>
        <v>2625.7803771651761</v>
      </c>
      <c r="P157" s="193">
        <f>P153*(1-P155)</f>
        <v>2691.4248865943059</v>
      </c>
    </row>
    <row r="158" spans="2:16" ht="15" customHeight="1" x14ac:dyDescent="0.2">
      <c r="B158" s="88" t="s">
        <v>237</v>
      </c>
      <c r="C158" s="184">
        <f>SUM(F159:O159)</f>
        <v>11639.508806137803</v>
      </c>
      <c r="E158" s="88" t="s">
        <v>238</v>
      </c>
      <c r="F158" s="194">
        <f>DCF!O$71</f>
        <v>3.4722222222222224E-2</v>
      </c>
      <c r="G158" s="194">
        <f>DCF!P$71</f>
        <v>0.56944444444444442</v>
      </c>
      <c r="H158" s="194">
        <f>DCF!Q$71</f>
        <v>1.5694444444444444</v>
      </c>
      <c r="I158" s="194">
        <f>DCF!R$71</f>
        <v>2.5694444444444446</v>
      </c>
      <c r="J158" s="194">
        <f>DCF!S$71</f>
        <v>3.5694444444444446</v>
      </c>
      <c r="K158" s="194">
        <f>DCF!T$71</f>
        <v>4.5694444444444446</v>
      </c>
      <c r="L158" s="194">
        <f>DCF!U$71</f>
        <v>5.5694444444444446</v>
      </c>
      <c r="M158" s="194">
        <f>DCF!V$71</f>
        <v>6.5694444444444446</v>
      </c>
      <c r="N158" s="194">
        <f>DCF!W$71</f>
        <v>7.5694444444444446</v>
      </c>
      <c r="O158" s="194">
        <f>DCF!X$71</f>
        <v>8.5694444444444446</v>
      </c>
    </row>
    <row r="159" spans="2:16" ht="15" customHeight="1" x14ac:dyDescent="0.2">
      <c r="B159" s="88" t="s">
        <v>75</v>
      </c>
      <c r="C159" s="184">
        <f>P157/($C$153-$C$154)</f>
        <v>44264.826211865722</v>
      </c>
      <c r="E159" s="88" t="s">
        <v>239</v>
      </c>
      <c r="F159" s="190">
        <f>F157*DCF!$O$70/(1+$C$153)^F158</f>
        <v>82.11957936015763</v>
      </c>
      <c r="G159" s="190">
        <f t="shared" ref="G159:O159" si="63">G157/(1+$C$153)^G158</f>
        <v>1251.2865201078339</v>
      </c>
      <c r="H159" s="190">
        <f t="shared" si="63"/>
        <v>1268.5801129740944</v>
      </c>
      <c r="I159" s="190">
        <f t="shared" si="63"/>
        <v>1280.8179643305248</v>
      </c>
      <c r="J159" s="190">
        <f t="shared" si="63"/>
        <v>1288.4670034503497</v>
      </c>
      <c r="K159" s="190">
        <f t="shared" si="63"/>
        <v>1292.2542910018208</v>
      </c>
      <c r="L159" s="190">
        <f t="shared" si="63"/>
        <v>1293.2231422882323</v>
      </c>
      <c r="M159" s="190">
        <f t="shared" si="63"/>
        <v>1292.8246610645476</v>
      </c>
      <c r="N159" s="190">
        <f t="shared" si="63"/>
        <v>1293.0770273612768</v>
      </c>
      <c r="O159" s="190">
        <f t="shared" si="63"/>
        <v>1296.8585041989638</v>
      </c>
    </row>
    <row r="160" spans="2:16" ht="15" customHeight="1" x14ac:dyDescent="0.2">
      <c r="B160" s="88" t="s">
        <v>240</v>
      </c>
      <c r="C160" s="184">
        <f>C159/(1+$C$153)^O158</f>
        <v>21862.154508033389</v>
      </c>
    </row>
    <row r="161" spans="2:3" ht="15" customHeight="1" x14ac:dyDescent="0.2">
      <c r="B161" s="88" t="s">
        <v>241</v>
      </c>
      <c r="C161" s="184">
        <f>C158+C160</f>
        <v>33501.663314171194</v>
      </c>
    </row>
    <row r="162" spans="2:3" ht="15" customHeight="1" x14ac:dyDescent="0.2">
      <c r="B162" s="88" t="s">
        <v>242</v>
      </c>
      <c r="C162" s="184">
        <f>C161+$C$9-$C$10</f>
        <v>34401.663314171194</v>
      </c>
    </row>
    <row r="163" spans="2:3" ht="15" customHeight="1" x14ac:dyDescent="0.2">
      <c r="B163" s="187" t="s">
        <v>243</v>
      </c>
      <c r="C163" s="195">
        <f>C162/$C$11</f>
        <v>32.247528415983496</v>
      </c>
    </row>
    <row r="164" spans="2:3" ht="15" customHeight="1" x14ac:dyDescent="0.2">
      <c r="B164" s="88" t="s">
        <v>244</v>
      </c>
      <c r="C164" s="182">
        <f>1-P157/P153</f>
        <v>0.29136582041764703</v>
      </c>
    </row>
    <row r="165" spans="2:3" ht="15" customHeight="1" x14ac:dyDescent="0.2">
      <c r="B165" s="88" t="s">
        <v>245</v>
      </c>
      <c r="C165" s="182">
        <f>C160/C161</f>
        <v>0.65256922628034719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DCF</vt:lpstr>
      <vt:lpstr>Notes</vt:lpstr>
      <vt:lpstr>Valuation</vt:lpstr>
      <vt:lpstr>WACC</vt:lpstr>
      <vt:lpstr>Sources &amp; Checks</vt:lpstr>
      <vt:lpstr>Ratios</vt:lpstr>
      <vt:lpstr>Calc</vt:lpstr>
      <vt:lpstr>DCF!Print_Area</vt:lpstr>
      <vt:lpstr>Ratios!Print_Area</vt:lpstr>
      <vt:lpstr>'Sources &amp; Checks'!Print_Area</vt:lpstr>
      <vt:lpstr>Valuation!Print_Area</vt:lpstr>
      <vt:lpstr>WACC!Print_Area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Ryanair DCF valuation</dc:title>
  <dc:subject/>
  <dc:creator>Viktorie Kodickova</dc:creator>
  <dc:description/>
  <cp:lastModifiedBy>MS Office</cp:lastModifiedBy>
  <cp:revision>1</cp:revision>
  <dcterms:created xsi:type="dcterms:W3CDTF">2026-03-08T16:56:37Z</dcterms:created>
  <dcterms:modified xsi:type="dcterms:W3CDTF">2026-10-18T23:01:58Z</dcterms:modified>
  <dc:language>en-US</dc:language>
</cp:coreProperties>
</file>