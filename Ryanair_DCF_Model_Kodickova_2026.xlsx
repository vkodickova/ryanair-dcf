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CF" sheetId="1" state="visible" r:id="rId3"/>
    <sheet name="Notes" sheetId="2" state="visible" r:id="rId4"/>
    <sheet name="Valuation" sheetId="3" state="visible" r:id="rId5"/>
    <sheet name="WACC" sheetId="4" state="visible" r:id="rId6"/>
    <sheet name="Sources &amp; Checks" sheetId="5" state="visible" r:id="rId7"/>
    <sheet name="Ratios" sheetId="6" state="visible" r:id="rId8"/>
    <sheet name="Calc" sheetId="7" state="visible" r:id="rId9"/>
  </sheets>
  <definedNames>
    <definedName function="false" hidden="false" localSheetId="0" name="_xlnm.Print_Area" vbProcedure="false">DCF!$A$1:$Y$101</definedName>
    <definedName function="false" hidden="false" localSheetId="5" name="_xlnm.Print_Area" vbProcedure="false">Ratios!$A$1:$E$36</definedName>
    <definedName function="false" hidden="false" localSheetId="4" name="_xlnm.Print_Area" vbProcedure="false">'Sources &amp; Checks'!$A$1:$D$25</definedName>
    <definedName function="false" hidden="false" localSheetId="2" name="_xlnm.Print_Area" vbProcedure="false">Valuation!$A$1:$Z$30</definedName>
    <definedName function="false" hidden="false" localSheetId="3" name="_xlnm.Print_Area" vbProcedure="false">WACC!$A$1:$J$22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Arial"/>
            <family val="2"/>
          </rPr>
          <t xml:space="preserve">Valuation date aligned to current market price date.</t>
        </r>
      </text>
    </comment>
    <comment ref="I6" authorId="0">
      <text>
        <r>
          <rPr>
            <sz val="10"/>
            <rFont val="Arial"/>
            <family val="2"/>
          </rPr>
          <t xml:space="preserve">Linked to verified source sheet (market price on 06/03/2026).</t>
        </r>
      </text>
    </comment>
    <comment ref="L16" authorId="0">
      <text>
        <r>
          <rPr>
            <sz val="10"/>
            <rFont val="Arial"/>
            <family val="2"/>
          </rPr>
          <t xml:space="preserve">Base case WACC linked to WACC!F22. Conservative / Optimistic cases use 9.2% / 8.2%.</t>
        </r>
      </text>
    </comment>
    <comment ref="L17" authorId="0">
      <text>
        <r>
          <rPr>
            <sz val="10"/>
            <rFont val="Arial"/>
            <family val="2"/>
          </rPr>
          <t xml:space="preserve">Base terminal growth rate = 1.5% for a mature airline; sensitivity range 1.0% to 2.0%.</t>
        </r>
      </text>
    </comment>
    <comment ref="O41" authorId="0">
      <text>
        <r>
          <rPr>
            <sz val="10"/>
            <rFont val="Arial"/>
            <family val="2"/>
          </rPr>
          <t xml:space="preserve">Forward assumptions for Ryanair extend FY26-FY35. FY26-FY27 traffic/guidance anchored to Ryanair Q3 FY26 results/presentation (208m FY26 traffic; 216m FY27 traffic; plan to 300m by FY34). Longer-dated FY31-FY35 growth/margin/CapEx/NWC are valuation assumptions, tapered toward maturity and terminal growth.</t>
        </r>
      </text>
    </comment>
    <comment ref="O42" authorId="0">
      <text>
        <r>
          <rPr>
            <sz val="10"/>
            <rFont val="Arial"/>
            <family val="2"/>
          </rPr>
          <t xml:space="preserve">Base revenue growth path FY26-FY30: 9.0%, 4.5%, 6.0%, 4.5%, 4.0%. Anchored to FY26 guidance and management traffic targets (208m, 216m, 230m, 240m, 250m).</t>
        </r>
      </text>
    </comment>
    <comment ref="O47" authorId="0">
      <text>
        <r>
          <rPr>
            <sz val="10"/>
            <rFont val="Arial"/>
            <family val="2"/>
          </rPr>
          <t xml:space="preserve">Forward assumptions for Ryanair extend FY26-FY35. FY26-FY27 traffic/guidance anchored to Ryanair Q3 FY26 results/presentation (208m FY26 traffic; 216m FY27 traffic; plan to 300m by FY34). Longer-dated FY31-FY35 growth/margin/CapEx/NWC are valuation assumptions, tapered toward maturity and terminal growth.</t>
        </r>
      </text>
    </comment>
    <comment ref="O48" authorId="0">
      <text>
        <r>
          <rPr>
            <sz val="10"/>
            <rFont val="Arial"/>
            <family val="2"/>
          </rPr>
          <t xml:space="preserve">Base EBIT margin path FY26-FY30: 14.3%, 14.5%, 14.7%, 14.8%, 14.8%. Conservative relative to FY24 peak margin and reflects fuel / ATC / Boeing risk.</t>
        </r>
      </text>
    </comment>
    <comment ref="O57" authorId="0">
      <text>
        <r>
          <rPr>
            <sz val="10"/>
            <rFont val="Arial"/>
            <family val="2"/>
          </rPr>
          <t xml:space="preserve">Forward assumptions for Ryanair extend FY26-FY35. FY26-FY27 traffic/guidance anchored to Ryanair Q3 FY26 results/presentation (208m FY26 traffic; 216m FY27 traffic; plan to 300m by FY34). Longer-dated FY31-FY35 growth/margin/CapEx/NWC are valuation assumptions, tapered toward maturity and terminal growth.</t>
        </r>
      </text>
    </comment>
    <comment ref="O60" authorId="0">
      <text>
        <r>
          <rPr>
            <sz val="10"/>
            <rFont val="Arial"/>
            <family val="2"/>
          </rPr>
          <t xml:space="preserve">Forward assumptions for Ryanair extend FY26-FY35. FY26-FY27 traffic/guidance anchored to Ryanair Q3 FY26 results/presentation (208m FY26 traffic; 216m FY27 traffic; plan to 300m by FY34). Longer-dated FY31-FY35 growth/margin/CapEx/NWC are valuation assumptions, tapered toward maturity and terminal growth.</t>
        </r>
      </text>
    </comment>
    <comment ref="O63" authorId="0">
      <text>
        <r>
          <rPr>
            <sz val="10"/>
            <rFont val="Arial"/>
            <family val="2"/>
          </rPr>
          <t xml:space="preserve">Forward assumptions for Ryanair extend FY26-FY35. FY26-FY27 traffic/guidance anchored to Ryanair Q3 FY26 results/presentation (208m FY26 traffic; 216m FY27 traffic; plan to 300m by FY34). Longer-dated FY31-FY35 growth/margin/CapEx/NWC are valuation assumptions, tapered toward maturity and terminal growth.</t>
        </r>
      </text>
    </comment>
    <comment ref="S76" authorId="0">
      <text>
        <r>
          <rPr>
            <sz val="10"/>
            <rFont val="Arial"/>
            <family val="2"/>
          </rPr>
          <t xml:space="preserve">Linked to verified source sheet (gross cash at 31 Dec 2025).</t>
        </r>
      </text>
    </comment>
    <comment ref="S77" authorId="0">
      <text>
        <r>
          <rPr>
            <sz val="10"/>
            <rFont val="Arial"/>
            <family val="2"/>
          </rPr>
          <t xml:space="preserve">Linked to verified source sheet (gross debt at 31 Dec 2025).</t>
        </r>
      </text>
    </comment>
    <comment ref="S78" authorId="0">
      <text>
        <r>
          <rPr>
            <sz val="10"/>
            <rFont val="Arial"/>
            <family val="2"/>
          </rPr>
          <t xml:space="preserve">Equity value = enterprise value + cash - debt.</t>
        </r>
      </text>
    </comment>
    <comment ref="S80" authorId="0">
      <text>
        <r>
          <rPr>
            <sz val="10"/>
            <rFont val="Arial"/>
            <family val="2"/>
          </rPr>
          <t xml:space="preserve">Linked to verified source sheet (diluted shares).</t>
        </r>
      </text>
    </comment>
    <comment ref="T41" authorId="0">
      <text>
        <r>
          <rPr>
            <sz val="10"/>
            <rFont val="Arial"/>
            <family val="2"/>
          </rPr>
          <t xml:space="preserve">Forward assumptions for Ryanair extend FY26-FY35. FY26-FY27 traffic/guidance anchored to Ryanair Q3 FY26 results/presentation (208m FY26 traffic; 216m FY27 traffic; plan to 300m by FY34). Longer-dated FY31-FY35 growth/margin/CapEx/NWC are valuation assumptions, tapered toward maturity and terminal growth.</t>
        </r>
      </text>
    </comment>
    <comment ref="T47" authorId="0">
      <text>
        <r>
          <rPr>
            <sz val="10"/>
            <rFont val="Arial"/>
            <family val="2"/>
          </rPr>
          <t xml:space="preserve">Forward assumptions for Ryanair extend FY26-FY35. FY26-FY27 traffic/guidance anchored to Ryanair Q3 FY26 results/presentation (208m FY26 traffic; 216m FY27 traffic; plan to 300m by FY34). Longer-dated FY31-FY35 growth/margin/CapEx/NWC are valuation assumptions, tapered toward maturity and terminal growth.</t>
        </r>
      </text>
    </comment>
    <comment ref="T57" authorId="0">
      <text>
        <r>
          <rPr>
            <sz val="10"/>
            <rFont val="Arial"/>
            <family val="2"/>
          </rPr>
          <t xml:space="preserve">Forward assumptions for Ryanair extend FY26-FY35. FY26-FY27 traffic/guidance anchored to Ryanair Q3 FY26 results/presentation (208m FY26 traffic; 216m FY27 traffic; plan to 300m by FY34). Longer-dated FY31-FY35 growth/margin/CapEx/NWC are valuation assumptions, tapered toward maturity and terminal growth.</t>
        </r>
      </text>
    </comment>
    <comment ref="T60" authorId="0">
      <text>
        <r>
          <rPr>
            <sz val="10"/>
            <rFont val="Arial"/>
            <family val="2"/>
          </rPr>
          <t xml:space="preserve">Forward assumptions for Ryanair extend FY26-FY35. FY26-FY27 traffic/guidance anchored to Ryanair Q3 FY26 results/presentation (208m FY26 traffic; 216m FY27 traffic; plan to 300m by FY34). Longer-dated FY31-FY35 growth/margin/CapEx/NWC are valuation assumptions, tapered toward maturity and terminal growth.</t>
        </r>
      </text>
    </comment>
    <comment ref="T63" authorId="0">
      <text>
        <r>
          <rPr>
            <sz val="10"/>
            <rFont val="Arial"/>
            <family val="2"/>
          </rPr>
          <t xml:space="preserve">Forward assumptions for Ryanair extend FY26-FY35. FY26-FY27 traffic/guidance anchored to Ryanair Q3 FY26 results/presentation (208m FY26 traffic; 216m FY27 traffic; plan to 300m by FY34). Longer-dated FY31-FY35 growth/margin/CapEx/NWC are valuation assumptions, tapered toward maturity and terminal growth.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8" authorId="0">
      <text>
        <r>
          <rPr>
            <sz val="10"/>
            <rFont val="Arial"/>
            <family val="2"/>
          </rPr>
          <t xml:space="preserve">Linked to verified current share price.</t>
        </r>
      </text>
    </comment>
    <comment ref="J8" authorId="0">
      <text>
        <r>
          <rPr>
            <sz val="10"/>
            <rFont val="Arial"/>
            <family val="2"/>
          </rPr>
          <t xml:space="preserve">Market cap calculated using basic shares outstanding (not diluted).</t>
        </r>
      </text>
    </comment>
    <comment ref="L8" authorId="0">
      <text>
        <r>
          <rPr>
            <sz val="10"/>
            <rFont val="Arial"/>
            <family val="2"/>
          </rPr>
          <t xml:space="preserve">Enterprise value calculated as market cap - cash + debt using verified latest balance sheet inputs.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8" authorId="0">
      <text>
        <r>
          <rPr>
            <sz val="10"/>
            <rFont val="Arial"/>
            <family val="2"/>
          </rPr>
          <t xml:space="preserve">Market cap now linked to verified share price and basic shares outstanding.</t>
        </r>
      </text>
    </comment>
    <comment ref="F11" authorId="0">
      <text>
        <r>
          <rPr>
            <sz val="10"/>
            <rFont val="Arial"/>
            <family val="2"/>
          </rPr>
          <t xml:space="preserve">Source: https://www.ecb.europa.eu/stats/html/index.en.html (10-year AAA government bond yield 2.89% on 05-Mar-2026).</t>
        </r>
      </text>
    </comment>
    <comment ref="F12" authorId="0">
      <text>
        <r>
          <rPr>
            <sz val="10"/>
            <rFont val="Arial"/>
            <family val="2"/>
          </rPr>
          <t xml:space="preserve">Source: https://finance.yahoo.com/quote/RYA.IR/ (Beta (5Y Monthly) = 1.01, accessed Mar-2026).</t>
        </r>
      </text>
    </comment>
    <comment ref="F13" authorId="0">
      <text>
        <r>
          <rPr>
            <sz val="10"/>
            <rFont val="Arial"/>
            <family val="2"/>
          </rPr>
          <t xml:space="preserve">Source: https://www.kroll.com/en/reports/cost-of-capital/recommended-eurozone-equity-risk-premium-corresponding-risk-free-rates (Kroll notes a Eurozone ERP range of 5.5% to 6.0%; model uses 6.0% as a prudent upper-end assumption).</t>
        </r>
      </text>
    </comment>
    <comment ref="F15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 (gross debt c. €1.5bn at 31-Dec-2025).</t>
        </r>
      </text>
    </comment>
    <comment ref="F17" authorId="0">
      <text>
        <r>
          <rPr>
            <sz val="10"/>
            <rFont val="Arial"/>
            <family val="2"/>
          </rPr>
          <t xml:space="preserve">Analyst assumption: 3.0% pre-tax cost of debt. Ryanair is close to debt-free after the final bond maturity due May-2026; debt weighting in WACC is small.</t>
        </r>
      </text>
    </comment>
    <comment ref="F18" authorId="0">
      <text>
        <r>
          <rPr>
            <sz val="10"/>
            <rFont val="Arial"/>
            <family val="2"/>
          </rPr>
          <t xml:space="preserve">Source: https://investor.ryanair.com/wp-content/uploads/2025/05/Ryanair-2025-Annual-Report.pdf (FY25 effective tax rate ~10%).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Source: https://live.euronext.com/en/product/equities/IE00BYTBXV33-XMSM
Cross-check: https://www.marketscreener.com/quote/stock/RYANAIR-HOLDINGS-PLC-1412410/quotes/</t>
        </r>
      </text>
    </comment>
    <comment ref="B6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7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8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9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10" authorId="0">
      <text>
        <r>
          <rPr>
            <sz val="10"/>
            <rFont val="Arial"/>
            <family val="2"/>
          </rPr>
          <t xml:space="preserve">Source: https://www.investing.com/rates-bonds/germany-10-year-bond-yield-forecasts</t>
        </r>
      </text>
    </comment>
  </commentList>
</comments>
</file>

<file path=xl/sharedStrings.xml><?xml version="1.0" encoding="utf-8"?>
<sst xmlns="http://schemas.openxmlformats.org/spreadsheetml/2006/main" count="527" uniqueCount="253">
  <si>
    <t xml:space="preserve">DCF Model - Ryanair</t>
  </si>
  <si>
    <t xml:space="preserve">Ticker</t>
  </si>
  <si>
    <t xml:space="preserve">RYA.IR</t>
  </si>
  <si>
    <t xml:space="preserve">Implied Price Per Share</t>
  </si>
  <si>
    <t xml:space="preserve">Low-end</t>
  </si>
  <si>
    <t xml:space="preserve">Date</t>
  </si>
  <si>
    <t xml:space="preserve">Current Share Price</t>
  </si>
  <si>
    <t xml:space="preserve">High-end</t>
  </si>
  <si>
    <t xml:space="preserve">Year end</t>
  </si>
  <si>
    <t xml:space="preserve">Implied Upside/Downside</t>
  </si>
  <si>
    <t xml:space="preserve">X</t>
  </si>
  <si>
    <t xml:space="preserve">Assumption</t>
  </si>
  <si>
    <t xml:space="preserve">Switches</t>
  </si>
  <si>
    <t xml:space="preserve">Conservative</t>
  </si>
  <si>
    <t xml:space="preserve">Street/Base</t>
  </si>
  <si>
    <t xml:space="preserve">Optimistic</t>
  </si>
  <si>
    <t xml:space="preserve">Revenue</t>
  </si>
  <si>
    <t xml:space="preserve">Revenue Growth (Norm.)</t>
  </si>
  <si>
    <t xml:space="preserve">EBIT</t>
  </si>
  <si>
    <t xml:space="preserve">Norm. Years: FY17-19, FY24-25</t>
  </si>
  <si>
    <t xml:space="preserve">Fades to TGR</t>
  </si>
  <si>
    <t xml:space="preserve">WACC</t>
  </si>
  <si>
    <t xml:space="preserve">EBIT Margin (Norm.)</t>
  </si>
  <si>
    <t xml:space="preserve">TGR</t>
  </si>
  <si>
    <t xml:space="preserve">D&amp;A 8.0% | CapEx 18.3% | WC -2.9%</t>
  </si>
  <si>
    <t xml:space="preserve">Normalized avg</t>
  </si>
  <si>
    <t xml:space="preserve">Fade steps (FY27-FY35)</t>
  </si>
  <si>
    <t xml:space="preserve">Income Statement </t>
  </si>
  <si>
    <t xml:space="preserve">% growth</t>
  </si>
  <si>
    <t xml:space="preserve"> </t>
  </si>
  <si>
    <t xml:space="preserve">EBITDA</t>
  </si>
  <si>
    <t xml:space="preserve">% of Sales</t>
  </si>
  <si>
    <t xml:space="preserve">Taxes</t>
  </si>
  <si>
    <t xml:space="preserve">Tax rate</t>
  </si>
  <si>
    <t xml:space="preserve">Cash Flow Items</t>
  </si>
  <si>
    <t xml:space="preserve">D&amp;A</t>
  </si>
  <si>
    <t xml:space="preserve">CapEx</t>
  </si>
  <si>
    <t xml:space="preserve">Change in NW</t>
  </si>
  <si>
    <t xml:space="preserve">% of Change in Sales</t>
  </si>
  <si>
    <t xml:space="preserve">DCF</t>
  </si>
  <si>
    <t xml:space="preserve">TV year</t>
  </si>
  <si>
    <t xml:space="preserve">Conservative Case</t>
  </si>
  <si>
    <t xml:space="preserve">Street Case</t>
  </si>
  <si>
    <t xml:space="preserve">Optimistic Case</t>
  </si>
  <si>
    <t xml:space="preserve">EBIAT</t>
  </si>
  <si>
    <t xml:space="preserve">Reinvestment rate (% of NOPAT)</t>
  </si>
  <si>
    <t xml:space="preserve">Unlevered FCF</t>
  </si>
  <si>
    <t xml:space="preserve">Present Value of FCF</t>
  </si>
  <si>
    <t xml:space="preserve">Period</t>
  </si>
  <si>
    <t xml:space="preserve">Discount Period</t>
  </si>
  <si>
    <t xml:space="preserve">Terminal Value</t>
  </si>
  <si>
    <t xml:space="preserve">Present Value of Terminal Value</t>
  </si>
  <si>
    <t xml:space="preserve">Enterprise Value</t>
  </si>
  <si>
    <t xml:space="preserve">(+) Cash</t>
  </si>
  <si>
    <t xml:space="preserve">(-) Debt</t>
  </si>
  <si>
    <t xml:space="preserve">Equity Value</t>
  </si>
  <si>
    <t xml:space="preserve">Diluted Shares</t>
  </si>
  <si>
    <t xml:space="preserve">Implied Stock Price</t>
  </si>
  <si>
    <t xml:space="preserve">Scenario Analysis — Implied Share Price (€)</t>
  </si>
  <si>
    <t xml:space="preserve">Scenario</t>
  </si>
  <si>
    <t xml:space="preserve">Rev Growth</t>
  </si>
  <si>
    <t xml:space="preserve">EBIT Margin</t>
  </si>
  <si>
    <t xml:space="preserve">Implied Price</t>
  </si>
  <si>
    <t xml:space="preserve">Upside / Downside</t>
  </si>
  <si>
    <t xml:space="preserve">Base / Street</t>
  </si>
  <si>
    <t xml:space="preserve">Current Market Price (€26.19)</t>
  </si>
  <si>
    <t xml:space="preserve">Sensitivity Analysis - Implied Price (€)  |  Base-case drivers (Street: 9.1% growth fading to the TGR of each column, 17.2% EBIT margin)</t>
  </si>
  <si>
    <t xml:space="preserve">WACC \ TGR →</t>
  </si>
  <si>
    <t xml:space="preserve">Model notes</t>
  </si>
  <si>
    <t xml:space="preserve">Method</t>
  </si>
  <si>
    <t xml:space="preserve">Cost of equity</t>
  </si>
  <si>
    <t xml:space="preserve">WACC!F14, F10</t>
  </si>
  <si>
    <t xml:space="preserve">Blume adjusted beta = 1/3 x 1 + 2/3 x raw beta, used in the cost of equity.</t>
  </si>
  <si>
    <t xml:space="preserve">Terminal value</t>
  </si>
  <si>
    <t xml:space="preserve">DCF!Y54:Y66, X73</t>
  </si>
  <si>
    <t xml:space="preserve">Terminal FCF = NOPAT FY35 x (1+g) x (1 - g/WACC), TV = terminal FCF / (WACC - g). New investment earns its cost of capital (RONIC = WACC).</t>
  </si>
  <si>
    <t xml:space="preserve">Revenue growth</t>
  </si>
  <si>
    <t xml:space="preserve">DCF!P41:X43, D18</t>
  </si>
  <si>
    <t xml:space="preserve">FY26 growth is the scenario rate. From FY27 growth falls by (start growth - TGR) / 9 a year, so FY35 growth equals the terminal growth rate.</t>
  </si>
  <si>
    <t xml:space="preserve">Known weak points</t>
  </si>
  <si>
    <t xml:space="preserve">Tax at 10% against Pillar Two. A 15% rate would give about 29 per share.</t>
  </si>
  <si>
    <t xml:space="preserve">FY26 FCF is not prorated for the stub period.</t>
  </si>
  <si>
    <t xml:space="preserve">The "Total Debt 10,470" label in the Ratios balance sheet table is actually total liabilities.</t>
  </si>
  <si>
    <t xml:space="preserve">Leases are not added to debt separately.</t>
  </si>
  <si>
    <t xml:space="preserve">Comps</t>
  </si>
  <si>
    <t xml:space="preserve">Financial Data</t>
  </si>
  <si>
    <t xml:space="preserve">Multiples</t>
  </si>
  <si>
    <t xml:space="preserve">Multiples (EBIT basis)</t>
  </si>
  <si>
    <t xml:space="preserve">Price</t>
  </si>
  <si>
    <t xml:space="preserve">Market Cap</t>
  </si>
  <si>
    <t xml:space="preserve">EV</t>
  </si>
  <si>
    <t xml:space="preserve">Growth 24</t>
  </si>
  <si>
    <t xml:space="preserve">Growth 25</t>
  </si>
  <si>
    <t xml:space="preserve">EBIT Margin 24</t>
  </si>
  <si>
    <t xml:space="preserve">EBIT Margin 25</t>
  </si>
  <si>
    <t xml:space="preserve">EV/EBITDA 24</t>
  </si>
  <si>
    <t xml:space="preserve">EV/EBITDA 25</t>
  </si>
  <si>
    <t xml:space="preserve">EV/Sales 24</t>
  </si>
  <si>
    <t xml:space="preserve">EV/Sales 25</t>
  </si>
  <si>
    <t xml:space="preserve">EV/EBIT 24</t>
  </si>
  <si>
    <t xml:space="preserve">EV/EBIT 25</t>
  </si>
  <si>
    <t xml:space="preserve">Name</t>
  </si>
  <si>
    <t xml:space="preserve">(Local CCY)</t>
  </si>
  <si>
    <t xml:space="preserve">(Local CCY M)</t>
  </si>
  <si>
    <t xml:space="preserve">(%)</t>
  </si>
  <si>
    <t xml:space="preserve">(x)</t>
  </si>
  <si>
    <t xml:space="preserve">EUR / GBP</t>
  </si>
  <si>
    <t xml:space="preserve">EUR M / GBP M</t>
  </si>
  <si>
    <t xml:space="preserve">Ryanair Holdings plc</t>
  </si>
  <si>
    <t xml:space="preserve">EZJ.L</t>
  </si>
  <si>
    <t xml:space="preserve">easyJet plc</t>
  </si>
  <si>
    <t xml:space="preserve">WIZZ.L</t>
  </si>
  <si>
    <t xml:space="preserve">Wizz Air Holdings plc</t>
  </si>
  <si>
    <t xml:space="preserve">IAG.MC</t>
  </si>
  <si>
    <t xml:space="preserve">International Airlines Group</t>
  </si>
  <si>
    <t xml:space="preserve">LHA.DE</t>
  </si>
  <si>
    <t xml:space="preserve">Deutsche Lufthansa AG</t>
  </si>
  <si>
    <t xml:space="preserve">AF.PA</t>
  </si>
  <si>
    <t xml:space="preserve">Air France-KLM</t>
  </si>
  <si>
    <t xml:space="preserve">PEER AVG (EX-RYA)</t>
  </si>
  <si>
    <t xml:space="preserve">PEER MEDIAN (EX-RYA)</t>
  </si>
  <si>
    <t xml:space="preserve">Implied Valuation from Peer Medians (Ryanair)</t>
  </si>
  <si>
    <t xml:space="preserve">Metric</t>
  </si>
  <si>
    <t xml:space="preserve">Peer Median Multiple (FY25)</t>
  </si>
  <si>
    <t xml:space="preserve">Ryanair Metric (FY25, EUR M)</t>
  </si>
  <si>
    <t xml:space="preserve">Implied EV (EUR M)</t>
  </si>
  <si>
    <t xml:space="preserve">Implied Equity (EUR M)</t>
  </si>
  <si>
    <t xml:space="preserve">Implied Price (€)</t>
  </si>
  <si>
    <t xml:space="preserve">vs. Mkt €26.19</t>
  </si>
  <si>
    <t xml:space="preserve">EV/EBITDA (FY25)</t>
  </si>
  <si>
    <t xml:space="preserve">EV/Sales (FY25)</t>
  </si>
  <si>
    <t xml:space="preserve">EV/EBIT (FY25)</t>
  </si>
  <si>
    <t xml:space="preserve">Note: Peer medians exclude Ryanair (EX-RYA). Implied EV = Multiple × Ryanair metric. Net Debt Bridge: (+) Cash €2,400M, (−) Debt €1,500M. Shares: 1,066.8M diluted. Large discount vs DCF reflects Ryanair's structurally superior margins vs legacy carriers — direct comps multiples understate intrinsic value.</t>
  </si>
  <si>
    <t xml:space="preserve">WACC = % of equity x cost of equity + % of debt x cost of debt x (1- Tax Rate)</t>
  </si>
  <si>
    <t xml:space="preserve">Cost of equity = Risk Free rate + Adjusted Beta x Market Risk Premium</t>
  </si>
  <si>
    <t xml:space="preserve">% of Equity</t>
  </si>
  <si>
    <t xml:space="preserve">Cost of Equity</t>
  </si>
  <si>
    <t xml:space="preserve">Risk Free Rate</t>
  </si>
  <si>
    <t xml:space="preserve">Beta (raw)</t>
  </si>
  <si>
    <t xml:space="preserve">Market Risk Premium</t>
  </si>
  <si>
    <t xml:space="preserve">Adjusted Beta (Blume: 1/3 x 1.0 + 2/3 x raw beta)</t>
  </si>
  <si>
    <t xml:space="preserve">Debt</t>
  </si>
  <si>
    <t xml:space="preserve">% of Debt</t>
  </si>
  <si>
    <t xml:space="preserve">Cost of Debt</t>
  </si>
  <si>
    <t xml:space="preserve">Tax Rate</t>
  </si>
  <si>
    <t xml:space="preserve">Total</t>
  </si>
  <si>
    <t xml:space="preserve">Verified Inputs &amp; Sources</t>
  </si>
  <si>
    <t xml:space="preserve">Value</t>
  </si>
  <si>
    <t xml:space="preserve">Units</t>
  </si>
  <si>
    <t xml:space="preserve">Source / Note</t>
  </si>
  <si>
    <t xml:space="preserve">Valuation date</t>
  </si>
  <si>
    <t xml:space="preserve">date</t>
  </si>
  <si>
    <t xml:space="preserve">Aligned to market price date used in the model.</t>
  </si>
  <si>
    <t xml:space="preserve">Current share price</t>
  </si>
  <si>
    <t xml:space="preserve">EUR/share</t>
  </si>
  <si>
    <t xml:space="preserve">Euronext Dublin last traded price on 06/03/2026.</t>
  </si>
  <si>
    <t xml:space="preserve">Gross cash</t>
  </si>
  <si>
    <t xml:space="preserve">EUR m</t>
  </si>
  <si>
    <t xml:space="preserve">Ryanair Q3 FY26 results: gross cash at 31 Dec 2025.</t>
  </si>
  <si>
    <t xml:space="preserve">Gross debt</t>
  </si>
  <si>
    <t xml:space="preserve">Ryanair Q3 FY26 results: gross debt at 31 Dec 2025.</t>
  </si>
  <si>
    <t xml:space="preserve">Basic shares outstanding</t>
  </si>
  <si>
    <t xml:space="preserve">m shares</t>
  </si>
  <si>
    <t xml:space="preserve">Balance at 31 Dec 2025; used for market cap and EV bridge.</t>
  </si>
  <si>
    <t xml:space="preserve">Diluted shares</t>
  </si>
  <si>
    <t xml:space="preserve">9M FY26 diluted weighted average shares; used for per-share DCF.</t>
  </si>
  <si>
    <t xml:space="preserve">Risk-free rate</t>
  </si>
  <si>
    <t xml:space="preserve">%</t>
  </si>
  <si>
    <t xml:space="preserve">Germany 10Y government bond yield on 06/03/2026.</t>
  </si>
  <si>
    <t xml:space="preserve">Beta</t>
  </si>
  <si>
    <t xml:space="preserve">x</t>
  </si>
  <si>
    <t xml:space="preserve">Analyst assumption retained from original model.</t>
  </si>
  <si>
    <t xml:space="preserve">Market risk premium</t>
  </si>
  <si>
    <t xml:space="preserve">Pre-tax cost of debt</t>
  </si>
  <si>
    <t xml:space="preserve">Analyst assumption retained from original model / Irish tax profile.</t>
  </si>
  <si>
    <t xml:space="preserve">Control note</t>
  </si>
  <si>
    <t xml:space="preserve">Market cap uses basic shares; DCF per-share output uses diluted shares.</t>
  </si>
  <si>
    <t xml:space="preserve">DCF Forecast Methodology</t>
  </si>
  <si>
    <t xml:space="preserve">Normalized Historical Average</t>
  </si>
  <si>
    <t xml:space="preserve">-</t>
  </si>
  <si>
    <t xml:space="preserve">All forecast drivers (revenue growth, EBIT margin, D&amp;A, CapEx, ΔWC) use flat normalized avg. Normal years: FY2017-2019 + FY2024-2025. Excluded: FY2020-2023 (Covid disruption + rebound distortion). Revenue growth starts at the normalised rate in FY26 and fades in equal steps to the terminal growth rate by FY35.</t>
  </si>
  <si>
    <t xml:space="preserve">Normalized Revenue Growth</t>
  </si>
  <si>
    <t xml:space="preserve">Avg of FY17(1.7%), FY18(7.6%), FY19(7.6%), FY24(24.8%), FY25(3.8%) excl. Covid years</t>
  </si>
  <si>
    <t xml:space="preserve">Normalized EBIT Margin</t>
  </si>
  <si>
    <t xml:space="preserve">Avg of FY17(23.1%), FY18(23.3%), FY19(13.2%), FY24(15.3%), FY25(11.2%) excl. Covid years</t>
  </si>
  <si>
    <t xml:space="preserve">Normalized D&amp;A %</t>
  </si>
  <si>
    <t xml:space="preserve">Avg of FY17-FY19 + FY24-FY25 D&amp;A as % of Revenue</t>
  </si>
  <si>
    <t xml:space="preserve">Normalized CapEx %</t>
  </si>
  <si>
    <t xml:space="preserve">Avg of FY17-FY19 + FY24-FY25 CapEx as % of Revenue</t>
  </si>
  <si>
    <t xml:space="preserve">Normalized ΔWC %</t>
  </si>
  <si>
    <t xml:space="preserve">Avg of FY17-FY19 + FY24-FY25 change in net working capital as % of Revenue (negative = cash source, typical for airlines)</t>
  </si>
  <si>
    <t xml:space="preserve">⚠ Data Note</t>
  </si>
  <si>
    <t xml:space="preserve">FY2016 historical revenue (€6,535.8M) should be verified against Ryanair's FY2016 Annual Report (year ended 31 March 2016). Some databases report FY2016 total revenues as ~€5,654M (ex-ancillary supplements). If restated, the normalized growth average would adjust from 9.09% to approx. 9.5%.</t>
  </si>
  <si>
    <t xml:space="preserve">Income Statement Data (€ million)</t>
  </si>
  <si>
    <t xml:space="preserve">FY23</t>
  </si>
  <si>
    <t xml:space="preserve">FY24</t>
  </si>
  <si>
    <t xml:space="preserve">FY25</t>
  </si>
  <si>
    <t xml:space="preserve">Total Revenue1</t>
  </si>
  <si>
    <t xml:space="preserve">Total Operating Costs1</t>
  </si>
  <si>
    <t xml:space="preserve">Profit Before Tax1</t>
  </si>
  <si>
    <t xml:space="preserve">Profit After Tax (Net Income)1</t>
  </si>
  <si>
    <t xml:space="preserve">Balance Sheet Data (€ million)</t>
  </si>
  <si>
    <t xml:space="preserve">Total Assets1</t>
  </si>
  <si>
    <t xml:space="preserve">Shareholder Equity1</t>
  </si>
  <si>
    <t xml:space="preserve">Gross Cash1</t>
  </si>
  <si>
    <t xml:space="preserve">Current Liabilities1</t>
  </si>
  <si>
    <t xml:space="preserve">Non-Current Liabilities1</t>
  </si>
  <si>
    <t xml:space="preserve">Total Debt</t>
  </si>
  <si>
    <t xml:space="preserve">Ratio</t>
  </si>
  <si>
    <t xml:space="preserve">Revenue Growth</t>
  </si>
  <si>
    <t xml:space="preserve">Net Income Growth</t>
  </si>
  <si>
    <t xml:space="preserve">n.m</t>
  </si>
  <si>
    <t xml:space="preserve">Net Profit Margin</t>
  </si>
  <si>
    <t xml:space="preserve">Operating Margin</t>
  </si>
  <si>
    <t xml:space="preserve">Cost-to-Revenue</t>
  </si>
  <si>
    <t xml:space="preserve">ROA</t>
  </si>
  <si>
    <t xml:space="preserve">ROE</t>
  </si>
  <si>
    <t xml:space="preserve">Debt Ratio</t>
  </si>
  <si>
    <t xml:space="preserve">Equity Ratio</t>
  </si>
  <si>
    <t xml:space="preserve">1 Ryanair Holdings plc. (2025). Ryanair 2025 annual report. Retrieved 6 March 2026</t>
  </si>
  <si>
    <t xml:space="preserve">Note: Revenue Growth (FY23) - Calculated using FY22 revenue of €4,800.9m and FY23 revenue of €10,775m, resulting in growth of 124.40%. FY22 is used only as a base year.</t>
  </si>
  <si>
    <t xml:space="preserve">Note: Net Income Growth (FY23) - FY22 net income was a loss of €240.8m, while FY23 net income was €1,313.8m. Because the base year is negative, the growth rate is not meaningful and reflects a turnaround from loss to profit.</t>
  </si>
  <si>
    <t xml:space="preserve">Calc</t>
  </si>
  <si>
    <t xml:space="preserve">Inputs</t>
  </si>
  <si>
    <t xml:space="preserve">D&amp;A (% of sales)</t>
  </si>
  <si>
    <t xml:space="preserve">CapEx (% of sales)</t>
  </si>
  <si>
    <t xml:space="preserve">Change in NWC (% of sales, negative = cash source)</t>
  </si>
  <si>
    <t xml:space="preserve">Revenue FY25 (base year, EUR m)</t>
  </si>
  <si>
    <t xml:space="preserve">Cash (EUR m)</t>
  </si>
  <si>
    <t xml:space="preserve">Debt (EUR m)</t>
  </si>
  <si>
    <t xml:space="preserve">Diluted shares (m)</t>
  </si>
  <si>
    <t xml:space="preserve">Growth fade steps (FY27 to FY35)</t>
  </si>
  <si>
    <t xml:space="preserve">Scenarios</t>
  </si>
  <si>
    <t xml:space="preserve">Parameter</t>
  </si>
  <si>
    <t xml:space="preserve">Line</t>
  </si>
  <si>
    <t xml:space="preserve">Start growth (FY26)</t>
  </si>
  <si>
    <t xml:space="preserve">EBIT margin</t>
  </si>
  <si>
    <t xml:space="preserve">NOPAT = EBIT x (1 - tax)</t>
  </si>
  <si>
    <t xml:space="preserve">Terminal growth rate</t>
  </si>
  <si>
    <t xml:space="preserve">Change in NWC</t>
  </si>
  <si>
    <t xml:space="preserve">Sum of PV of FCF FY26 to FY35</t>
  </si>
  <si>
    <t xml:space="preserve">Discount period (years)</t>
  </si>
  <si>
    <t xml:space="preserve">PV of FCF</t>
  </si>
  <si>
    <t xml:space="preserve">PV of terminal value</t>
  </si>
  <si>
    <t xml:space="preserve">Enterprise value</t>
  </si>
  <si>
    <t xml:space="preserve">Equity value (EV + cash - debt)</t>
  </si>
  <si>
    <t xml:space="preserve">Implied price per share (EUR)</t>
  </si>
  <si>
    <t xml:space="preserve">Sensitivity table cash flows</t>
  </si>
  <si>
    <t xml:space="preserve">Sensitivity, terminal growth from DCF!D92</t>
  </si>
  <si>
    <t xml:space="preserve">Sensitivity, terminal growth from DCF!F92</t>
  </si>
  <si>
    <t xml:space="preserve">Sensitivity, terminal growth from DCF!H92</t>
  </si>
  <si>
    <t xml:space="preserve">Sensitivity, terminal growth from DCF!J92</t>
  </si>
  <si>
    <t xml:space="preserve">Sensitivity, terminal growth from DCF!L92</t>
  </si>
</sst>
</file>

<file path=xl/styles.xml><?xml version="1.0" encoding="utf-8"?>
<styleSheet xmlns="http://schemas.openxmlformats.org/spreadsheetml/2006/main">
  <numFmts count="26">
    <numFmt numFmtId="164" formatCode="General"/>
    <numFmt numFmtId="165" formatCode="_(* #,##0.00_);_(* \(#,##0.00\);_(* \-??_);_(@_)"/>
    <numFmt numFmtId="166" formatCode="0%"/>
    <numFmt numFmtId="167" formatCode="\€#,##0.00"/>
    <numFmt numFmtId="168" formatCode="m/d/yyyy"/>
    <numFmt numFmtId="169" formatCode="dd\-mmm\-yyyy"/>
    <numFmt numFmtId="170" formatCode="\+0.0%;\(0.0%\)"/>
    <numFmt numFmtId="171" formatCode="0.0%"/>
    <numFmt numFmtId="172" formatCode="0"/>
    <numFmt numFmtId="173" formatCode="#,##0.0;\(#,##0.0\);\-"/>
    <numFmt numFmtId="174" formatCode="0.0%;\(0.0%\);\-"/>
    <numFmt numFmtId="175" formatCode="_(* #,##0_);_(* \(#,##0\);_(* \-??_);_(@_)"/>
    <numFmt numFmtId="176" formatCode="0.00"/>
    <numFmt numFmtId="177" formatCode="0.000"/>
    <numFmt numFmtId="178" formatCode="#,##0;\(#,##0\);\-"/>
    <numFmt numFmtId="179" formatCode="_-* #,##0.00_-;\-* #,##0.00_-;_-* \-??_-;_-@_-"/>
    <numFmt numFmtId="180" formatCode="#,##0"/>
    <numFmt numFmtId="181" formatCode="0.00\x"/>
    <numFmt numFmtId="182" formatCode="0.000\x"/>
    <numFmt numFmtId="183" formatCode="0.0"/>
    <numFmt numFmtId="184" formatCode="0.0\x"/>
    <numFmt numFmtId="185" formatCode="0.0000\x"/>
    <numFmt numFmtId="186" formatCode="#,##0.0"/>
    <numFmt numFmtId="187" formatCode="_-* #,##0_-;\-* #,##0_-;_-* \-??_-;_-@_-"/>
    <numFmt numFmtId="188" formatCode="0.00%"/>
    <numFmt numFmtId="189" formatCode="0.000%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2"/>
      <charset val="1"/>
    </font>
    <font>
      <i val="true"/>
      <sz val="9"/>
      <color theme="1"/>
      <name val="Calibri"/>
      <family val="2"/>
      <charset val="1"/>
    </font>
    <font>
      <i val="true"/>
      <sz val="10"/>
      <color rgb="FF0015FF"/>
      <name val="Arial"/>
      <family val="2"/>
      <charset val="1"/>
    </font>
    <font>
      <i val="true"/>
      <sz val="10"/>
      <color theme="1"/>
      <name val="Arial"/>
      <family val="2"/>
      <charset val="1"/>
    </font>
    <font>
      <b val="true"/>
      <sz val="1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8"/>
      <color theme="1"/>
      <name val="Arial"/>
      <family val="2"/>
      <charset val="1"/>
    </font>
    <font>
      <sz val="8"/>
      <color theme="1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u val="single"/>
      <sz val="10"/>
      <color rgb="FF0015FF"/>
      <name val="Calibri"/>
      <family val="2"/>
      <charset val="1"/>
    </font>
    <font>
      <u val="single"/>
      <sz val="11"/>
      <color rgb="FF0000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9C570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sz val="8"/>
      <color rgb="FF0015FF"/>
      <name val="Calibri"/>
      <family val="2"/>
      <charset val="1"/>
    </font>
    <font>
      <b val="true"/>
      <sz val="9"/>
      <color theme="1"/>
      <name val="Arial"/>
      <family val="2"/>
      <charset val="1"/>
    </font>
    <font>
      <sz val="14"/>
      <color theme="1"/>
      <name val="Calibri"/>
      <family val="2"/>
      <charset val="1"/>
    </font>
    <font>
      <sz val="9"/>
      <color theme="1"/>
      <name val="Arial"/>
      <family val="2"/>
      <charset val="1"/>
    </font>
    <font>
      <sz val="9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sz val="9"/>
      <color rgb="FF008000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9"/>
      <name val="Arial"/>
      <family val="2"/>
      <charset val="1"/>
    </font>
    <font>
      <sz val="11"/>
      <color theme="0"/>
      <name val="Calibri"/>
      <family val="2"/>
      <charset val="1"/>
    </font>
    <font>
      <sz val="9"/>
      <color theme="0"/>
      <name val="Arial"/>
      <family val="2"/>
      <charset val="1"/>
    </font>
    <font>
      <sz val="9"/>
      <color rgb="FF000000"/>
      <name val="Arial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9"/>
      <color theme="1"/>
      <name val="Arial"/>
      <family val="2"/>
      <charset val="1"/>
    </font>
    <font>
      <b val="true"/>
      <sz val="10"/>
      <color theme="0"/>
      <name val="Arial"/>
      <family val="2"/>
      <charset val="1"/>
    </font>
    <font>
      <b val="true"/>
      <sz val="9"/>
      <color theme="0"/>
      <name val="Arial"/>
      <family val="2"/>
      <charset val="1"/>
    </font>
    <font>
      <i val="true"/>
      <sz val="8"/>
      <color theme="1"/>
      <name val="Arial"/>
      <family val="2"/>
      <charset val="1"/>
    </font>
    <font>
      <sz val="10"/>
      <color rgb="FF14181F"/>
      <name val="Calibri"/>
      <family val="2"/>
      <charset val="1"/>
    </font>
    <font>
      <sz val="10"/>
      <name val="Arial"/>
      <family val="2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9"/>
      <name val="Arial"/>
      <family val="2"/>
      <charset val="1"/>
    </font>
    <font>
      <b val="true"/>
      <sz val="11"/>
      <color theme="0"/>
      <name val="Calibri"/>
      <family val="2"/>
      <charset val="1"/>
    </font>
    <font>
      <i val="true"/>
      <sz val="8"/>
      <color theme="0"/>
      <name val="Arial"/>
      <family val="2"/>
      <charset val="1"/>
    </font>
    <font>
      <sz val="9"/>
      <color rgb="FFFF0000"/>
      <name val="Arial"/>
      <family val="2"/>
      <charset val="1"/>
    </font>
    <font>
      <i val="true"/>
      <sz val="8"/>
      <name val="Arial"/>
      <family val="2"/>
      <charset val="1"/>
    </font>
    <font>
      <sz val="6"/>
      <color rgb="FF232A31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9"/>
      <color rgb="FFFF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CC99"/>
        <bgColor rgb="FFFFEB9C"/>
      </patternFill>
    </fill>
    <fill>
      <patternFill patternType="solid">
        <fgColor rgb="FFFFEB9C"/>
        <bgColor rgb="FFFFCC99"/>
      </patternFill>
    </fill>
    <fill>
      <patternFill patternType="solid">
        <fgColor rgb="FFD6E4F0"/>
        <bgColor rgb="FFDEEBF7"/>
      </patternFill>
    </fill>
    <fill>
      <patternFill patternType="solid">
        <fgColor rgb="FF1F3864"/>
        <bgColor rgb="FF333F4F"/>
      </patternFill>
    </fill>
    <fill>
      <patternFill patternType="solid">
        <fgColor theme="3" tint="-0.25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2F75B6"/>
        <bgColor rgb="FF008080"/>
      </patternFill>
    </fill>
    <fill>
      <patternFill patternType="solid">
        <fgColor rgb="FFF2F2F2"/>
        <bgColor rgb="FFE7E6E6"/>
      </patternFill>
    </fill>
    <fill>
      <patternFill patternType="solid">
        <fgColor rgb="FFFFFFFF"/>
        <bgColor rgb="FFF2F2F2"/>
      </patternFill>
    </fill>
    <fill>
      <patternFill patternType="solid">
        <fgColor theme="2"/>
        <bgColor rgb="FFDEEBF7"/>
      </patternFill>
    </fill>
    <fill>
      <patternFill patternType="solid">
        <fgColor rgb="FF1F4E78"/>
        <bgColor rgb="FF1F3864"/>
      </patternFill>
    </fill>
    <fill>
      <patternFill patternType="solid">
        <fgColor theme="8" tint="0.3999"/>
        <bgColor rgb="FFB7C9D6"/>
      </patternFill>
    </fill>
    <fill>
      <patternFill patternType="solid">
        <fgColor theme="8" tint="0.7999"/>
        <bgColor rgb="FFD6E4F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 style="thin">
        <color rgb="FFB7C9D6"/>
      </top>
      <bottom style="thin">
        <color rgb="FFB7C9D6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4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</cellStyleXfs>
  <cellXfs count="1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2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2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4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4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4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6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36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4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0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0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5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50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1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4" fillId="13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7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7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7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7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7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7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7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7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7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7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9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3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llDataCopyrightStyle" xfId="20"/>
    <cellStyle name="amountsStyle" xfId="21"/>
    <cellStyle name="Arial10ItalicBlueStyle" xfId="22"/>
    <cellStyle name="Arial10ItalicStyle" xfId="23"/>
    <cellStyle name="bondFinValueStyle" xfId="24"/>
    <cellStyle name="Comma 2" xfId="25"/>
    <cellStyle name="companyNameStyle" xfId="26"/>
    <cellStyle name="downloadOnStyle" xfId="27"/>
    <cellStyle name="filedDateStyle" xfId="28"/>
    <cellStyle name="finCategoryStyle" xfId="29"/>
    <cellStyle name="finHeaderTitleStyle" xfId="30"/>
    <cellStyle name="finItemStyle" xfId="31"/>
    <cellStyle name="finValueStyle" xfId="32"/>
    <cellStyle name="FooterStyle" xfId="33"/>
    <cellStyle name="headerLinkStyle" xfId="34"/>
    <cellStyle name="hyperLinkStyle" xfId="35"/>
    <cellStyle name="Input" xfId="36"/>
    <cellStyle name="Neutrale" xfId="37"/>
    <cellStyle name="Normal 2" xfId="38"/>
    <cellStyle name="Normal 3" xfId="39"/>
    <cellStyle name="Percent 2" xfId="40"/>
    <cellStyle name="SourcingSheetBaseStyle" xfId="41"/>
    <cellStyle name="summaryStatsHeaderStyle" xfId="42"/>
    <cellStyle name="summaryStatsHeaderTitleStyle" xfId="43"/>
    <cellStyle name="viewHeaderStyle" xfId="4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DEEBF7"/>
      <rgbColor rgb="FF660066"/>
      <rgbColor rgb="FFFF8080"/>
      <rgbColor rgb="FF1F4E78"/>
      <rgbColor rgb="FFB7C9D6"/>
      <rgbColor rgb="FF000080"/>
      <rgbColor rgb="FFFF00FF"/>
      <rgbColor rgb="FFFFFF00"/>
      <rgbColor rgb="FF00FFFF"/>
      <rgbColor rgb="FF800080"/>
      <rgbColor rgb="FF800000"/>
      <rgbColor rgb="FF008080"/>
      <rgbColor rgb="FF0015FF"/>
      <rgbColor rgb="FF00CCFF"/>
      <rgbColor rgb="FFD6E4F0"/>
      <rgbColor rgb="FFE7E6E6"/>
      <rgbColor rgb="FFFFEB9C"/>
      <rgbColor rgb="FF9DC3E6"/>
      <rgbColor rgb="FFFF99CC"/>
      <rgbColor rgb="FFCC99FF"/>
      <rgbColor rgb="FFFFCC99"/>
      <rgbColor rgb="FF2F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14181F"/>
      <rgbColor rgb="FF333F4F"/>
      <rgbColor rgb="FF9C5700"/>
      <rgbColor rgb="FF993366"/>
      <rgbColor rgb="FF3F3F76"/>
      <rgbColor rgb="FF232A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3:Y101"/>
  <sheetViews>
    <sheetView showFormulas="false" showGridLines="fals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F1" activeCellId="0" sqref="F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4"/>
    <col collapsed="false" customWidth="true" hidden="false" outlineLevel="0" max="4" min="4" style="1" width="16"/>
    <col collapsed="false" customWidth="true" hidden="false" outlineLevel="0" max="5" min="5" style="1" width="11"/>
    <col collapsed="false" customWidth="true" hidden="false" outlineLevel="0" max="6" min="6" style="1" width="27.5"/>
    <col collapsed="false" customWidth="true" hidden="false" outlineLevel="0" max="7" min="7" style="1" width="11"/>
    <col collapsed="false" customWidth="true" hidden="false" outlineLevel="0" max="8" min="8" style="1" width="14.33"/>
    <col collapsed="false" customWidth="true" hidden="false" outlineLevel="0" max="9" min="9" style="1" width="11"/>
    <col collapsed="false" customWidth="true" hidden="false" outlineLevel="0" max="10" min="10" style="1" width="27.5"/>
    <col collapsed="false" customWidth="true" hidden="false" outlineLevel="0" max="11" min="11" style="1" width="11"/>
    <col collapsed="false" customWidth="true" hidden="false" outlineLevel="0" max="12" min="12" style="1" width="14.33"/>
    <col collapsed="false" customWidth="true" hidden="false" outlineLevel="0" max="13" min="13" style="1" width="24.83"/>
    <col collapsed="false" customWidth="true" hidden="false" outlineLevel="0" max="14" min="14" style="1" width="27.5"/>
    <col collapsed="false" customWidth="true" hidden="false" outlineLevel="0" max="15" min="15" style="1" width="11"/>
    <col collapsed="false" customWidth="true" hidden="false" outlineLevel="0" max="16" min="16" style="1" width="14.33"/>
    <col collapsed="false" customWidth="true" hidden="false" outlineLevel="0" max="25" min="17" style="1" width="11"/>
  </cols>
  <sheetData>
    <row r="3" s="2" customFormat="true" ht="21" hidden="false" customHeight="true" outlineLevel="0" collapsed="false">
      <c r="B3" s="3" t="s">
        <v>0</v>
      </c>
      <c r="C3" s="4"/>
    </row>
    <row r="4" customFormat="false" ht="18.75" hidden="false" customHeight="true" outlineLevel="0" collapsed="false">
      <c r="B4" s="5"/>
      <c r="C4" s="5"/>
    </row>
    <row r="5" customFormat="false" ht="18.75" hidden="false" customHeight="true" outlineLevel="0" collapsed="false">
      <c r="B5" s="6" t="s">
        <v>1</v>
      </c>
      <c r="C5" s="5"/>
      <c r="D5" s="7" t="s">
        <v>2</v>
      </c>
      <c r="F5" s="8" t="s">
        <v>3</v>
      </c>
      <c r="I5" s="9" t="n">
        <f aca="false">S81</f>
        <v>31.4079389359073</v>
      </c>
      <c r="K5" s="8" t="s">
        <v>4</v>
      </c>
    </row>
    <row r="6" customFormat="false" ht="18.75" hidden="false" customHeight="true" outlineLevel="0" collapsed="false">
      <c r="B6" s="6" t="s">
        <v>5</v>
      </c>
      <c r="C6" s="5"/>
      <c r="D6" s="10" t="n">
        <f aca="false">'Sources &amp; Checks'!$B$4</f>
        <v>46087</v>
      </c>
      <c r="F6" s="8" t="s">
        <v>6</v>
      </c>
      <c r="I6" s="9" t="n">
        <f aca="false">'Sources &amp; Checks'!$B$5</f>
        <v>26.19</v>
      </c>
      <c r="K6" s="8" t="s">
        <v>7</v>
      </c>
    </row>
    <row r="7" customFormat="false" ht="18.75" hidden="false" customHeight="true" outlineLevel="0" collapsed="false">
      <c r="B7" s="6" t="s">
        <v>8</v>
      </c>
      <c r="C7" s="5"/>
      <c r="D7" s="11" t="n">
        <v>46112</v>
      </c>
      <c r="F7" s="8" t="s">
        <v>9</v>
      </c>
      <c r="I7" s="12" t="n">
        <f aca="false">I5/I6-1</f>
        <v>0.199234018171337</v>
      </c>
    </row>
    <row r="9" customFormat="false" ht="15" hidden="false" customHeight="true" outlineLevel="0" collapsed="false">
      <c r="A9" s="13" t="s">
        <v>10</v>
      </c>
      <c r="B9" s="14" t="s">
        <v>11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customFormat="false" ht="15" hidden="false" customHeight="true" outlineLevel="0" collapsed="false">
      <c r="B10" s="8" t="s">
        <v>12</v>
      </c>
      <c r="F10" s="8" t="s">
        <v>13</v>
      </c>
      <c r="J10" s="8" t="s">
        <v>14</v>
      </c>
      <c r="N10" s="8" t="s">
        <v>15</v>
      </c>
    </row>
    <row r="11" customFormat="false" ht="15" hidden="false" customHeight="true" outlineLevel="0" collapsed="false">
      <c r="B11" s="8" t="s">
        <v>16</v>
      </c>
      <c r="D11" s="16" t="n">
        <v>2</v>
      </c>
      <c r="F11" s="8" t="s">
        <v>17</v>
      </c>
      <c r="H11" s="17" t="n">
        <v>0.07</v>
      </c>
      <c r="J11" s="8" t="s">
        <v>17</v>
      </c>
      <c r="L11" s="17" t="n">
        <f aca="false">'Sources &amp; Checks'!$B$19</f>
        <v>0.0909</v>
      </c>
      <c r="N11" s="8" t="s">
        <v>17</v>
      </c>
      <c r="P11" s="17" t="n">
        <v>0.11</v>
      </c>
    </row>
    <row r="12" customFormat="false" ht="15" hidden="false" customHeight="true" outlineLevel="0" collapsed="false">
      <c r="B12" s="8" t="s">
        <v>18</v>
      </c>
      <c r="D12" s="16" t="n">
        <v>2</v>
      </c>
      <c r="F12" s="8" t="s">
        <v>19</v>
      </c>
      <c r="H12" s="17" t="s">
        <v>20</v>
      </c>
      <c r="J12" s="8" t="s">
        <v>19</v>
      </c>
      <c r="L12" s="17" t="s">
        <v>20</v>
      </c>
      <c r="N12" s="8" t="s">
        <v>19</v>
      </c>
      <c r="P12" s="17" t="s">
        <v>20</v>
      </c>
    </row>
    <row r="13" customFormat="false" ht="15" hidden="false" customHeight="true" outlineLevel="0" collapsed="false">
      <c r="B13" s="8" t="s">
        <v>21</v>
      </c>
      <c r="D13" s="16" t="n">
        <v>2</v>
      </c>
      <c r="F13" s="8" t="s">
        <v>22</v>
      </c>
      <c r="H13" s="17" t="n">
        <v>0.16</v>
      </c>
      <c r="J13" s="8" t="s">
        <v>22</v>
      </c>
      <c r="L13" s="17" t="n">
        <f aca="false">'Sources &amp; Checks'!$B$20</f>
        <v>0.1722</v>
      </c>
      <c r="N13" s="8" t="s">
        <v>22</v>
      </c>
      <c r="P13" s="17" t="n">
        <v>0.185</v>
      </c>
    </row>
    <row r="14" customFormat="false" ht="15" hidden="false" customHeight="true" outlineLevel="0" collapsed="false">
      <c r="B14" s="8" t="s">
        <v>23</v>
      </c>
      <c r="D14" s="16" t="n">
        <v>2</v>
      </c>
      <c r="F14" s="8" t="s">
        <v>24</v>
      </c>
      <c r="H14" s="17" t="s">
        <v>25</v>
      </c>
      <c r="J14" s="8" t="s">
        <v>24</v>
      </c>
      <c r="L14" s="17" t="s">
        <v>25</v>
      </c>
      <c r="N14" s="8" t="s">
        <v>24</v>
      </c>
      <c r="P14" s="17" t="s">
        <v>25</v>
      </c>
    </row>
    <row r="15" customFormat="false" ht="15" hidden="false" customHeight="true" outlineLevel="0" collapsed="false">
      <c r="F15" s="8"/>
    </row>
    <row r="16" customFormat="false" ht="15" hidden="false" customHeight="true" outlineLevel="0" collapsed="false">
      <c r="B16" s="8" t="s">
        <v>21</v>
      </c>
      <c r="D16" s="18" t="n">
        <f aca="false">CHOOSE(D13,H16,L16,P16)</f>
        <v>0.0858338239797238</v>
      </c>
      <c r="F16" s="8" t="s">
        <v>21</v>
      </c>
      <c r="H16" s="19" t="n">
        <v>0.092</v>
      </c>
      <c r="J16" s="8" t="s">
        <v>21</v>
      </c>
      <c r="L16" s="19" t="n">
        <f aca="false">WACC!F22</f>
        <v>0.0858338239797238</v>
      </c>
      <c r="N16" s="8" t="s">
        <v>21</v>
      </c>
      <c r="P16" s="19" t="n">
        <v>0.082</v>
      </c>
    </row>
    <row r="17" customFormat="false" ht="15" hidden="false" customHeight="true" outlineLevel="0" collapsed="false">
      <c r="B17" s="8" t="s">
        <v>23</v>
      </c>
      <c r="D17" s="19" t="n">
        <f aca="false">CHOOSE(D14,H17,L17,P17)</f>
        <v>0.015</v>
      </c>
      <c r="F17" s="8" t="s">
        <v>23</v>
      </c>
      <c r="H17" s="19" t="n">
        <v>0.01</v>
      </c>
      <c r="J17" s="8" t="s">
        <v>23</v>
      </c>
      <c r="L17" s="19" t="n">
        <v>0.015</v>
      </c>
      <c r="N17" s="8" t="s">
        <v>23</v>
      </c>
      <c r="P17" s="19" t="n">
        <v>0.02</v>
      </c>
    </row>
    <row r="18" customFormat="false" ht="15" hidden="false" customHeight="true" outlineLevel="0" collapsed="false">
      <c r="B18" s="8" t="s">
        <v>26</v>
      </c>
      <c r="D18" s="20" t="n">
        <f aca="false">COLUMNS(P40:X40)</f>
        <v>9</v>
      </c>
    </row>
    <row r="19" customFormat="false" ht="15" hidden="false" customHeight="true" outlineLevel="0" collapsed="false">
      <c r="A19" s="21" t="s">
        <v>10</v>
      </c>
      <c r="B19" s="22" t="s">
        <v>27</v>
      </c>
      <c r="C19" s="15"/>
      <c r="D19" s="15"/>
      <c r="E19" s="23" t="n">
        <v>2016</v>
      </c>
      <c r="F19" s="23" t="n">
        <f aca="false">E19+1</f>
        <v>2017</v>
      </c>
      <c r="G19" s="23" t="n">
        <f aca="false">F19+1</f>
        <v>2018</v>
      </c>
      <c r="H19" s="23" t="n">
        <f aca="false">G19+1</f>
        <v>2019</v>
      </c>
      <c r="I19" s="23" t="n">
        <f aca="false">H19+1</f>
        <v>2020</v>
      </c>
      <c r="J19" s="23" t="n">
        <f aca="false">I19+1</f>
        <v>2021</v>
      </c>
      <c r="K19" s="23" t="n">
        <f aca="false">J19+1</f>
        <v>2022</v>
      </c>
      <c r="L19" s="23" t="n">
        <f aca="false">K19+1</f>
        <v>2023</v>
      </c>
      <c r="M19" s="23" t="n">
        <f aca="false">L19+1</f>
        <v>2024</v>
      </c>
      <c r="N19" s="23" t="n">
        <f aca="false">M19+1</f>
        <v>2025</v>
      </c>
      <c r="O19" s="23" t="n">
        <f aca="false">N19+1</f>
        <v>2026</v>
      </c>
      <c r="P19" s="23" t="n">
        <f aca="false">O19+1</f>
        <v>2027</v>
      </c>
      <c r="Q19" s="23" t="n">
        <f aca="false">P19+1</f>
        <v>2028</v>
      </c>
      <c r="R19" s="23" t="n">
        <f aca="false">Q19+1</f>
        <v>2029</v>
      </c>
      <c r="S19" s="23" t="n">
        <f aca="false">R19+1</f>
        <v>2030</v>
      </c>
      <c r="T19" s="23" t="n">
        <f aca="false">S19+1</f>
        <v>2031</v>
      </c>
      <c r="U19" s="23" t="n">
        <f aca="false">T19+1</f>
        <v>2032</v>
      </c>
      <c r="V19" s="23" t="n">
        <f aca="false">U19+1</f>
        <v>2033</v>
      </c>
      <c r="W19" s="23" t="n">
        <f aca="false">V19+1</f>
        <v>2034</v>
      </c>
      <c r="X19" s="23" t="n">
        <f aca="false">W19+1</f>
        <v>2035</v>
      </c>
    </row>
    <row r="20" customFormat="false" ht="15" hidden="false" customHeight="true" outlineLevel="0" collapsed="false">
      <c r="B20" s="24" t="s">
        <v>16</v>
      </c>
      <c r="E20" s="25" t="n">
        <v>6535.8</v>
      </c>
      <c r="F20" s="25" t="n">
        <v>6647.8</v>
      </c>
      <c r="G20" s="25" t="n">
        <v>7151</v>
      </c>
      <c r="H20" s="25" t="n">
        <v>7697.4</v>
      </c>
      <c r="I20" s="25" t="n">
        <v>8494.8</v>
      </c>
      <c r="J20" s="25" t="n">
        <v>1635.8</v>
      </c>
      <c r="K20" s="25" t="n">
        <v>4800.9</v>
      </c>
      <c r="L20" s="25" t="n">
        <v>10775.2</v>
      </c>
      <c r="M20" s="25" t="n">
        <v>13443.8</v>
      </c>
      <c r="N20" s="25" t="n">
        <v>13948.5</v>
      </c>
      <c r="O20" s="25" t="n">
        <f aca="false">N20*(1+O21)</f>
        <v>15216.41865</v>
      </c>
      <c r="P20" s="25" t="n">
        <f aca="false">O20*(1+P21)</f>
        <v>16471.26597467</v>
      </c>
      <c r="Q20" s="25" t="n">
        <f aca="false">P20*(1+Q21)</f>
        <v>17690.6886989947</v>
      </c>
      <c r="R20" s="25" t="n">
        <f aca="false">Q20*(1+R21)</f>
        <v>18851.1978776488</v>
      </c>
      <c r="S20" s="25" t="n">
        <f aca="false">R20*(1+S21)</f>
        <v>19928.8580229877</v>
      </c>
      <c r="T20" s="25" t="n">
        <f aca="false">T39</f>
        <v>20900.0577039746</v>
      </c>
      <c r="U20" s="25" t="n">
        <f aca="false">U39</f>
        <v>21742.3300294448</v>
      </c>
      <c r="V20" s="25" t="n">
        <f aca="false">V39</f>
        <v>22435.1856130498</v>
      </c>
      <c r="W20" s="25" t="n">
        <f aca="false">W39</f>
        <v>22960.9167959156</v>
      </c>
      <c r="X20" s="26" t="n">
        <f aca="false">X39</f>
        <v>23305.3305478543</v>
      </c>
    </row>
    <row r="21" customFormat="false" ht="15" hidden="false" customHeight="true" outlineLevel="0" collapsed="false">
      <c r="B21" s="27" t="s">
        <v>28</v>
      </c>
      <c r="C21" s="28"/>
      <c r="D21" s="28"/>
      <c r="E21" s="27" t="s">
        <v>29</v>
      </c>
      <c r="F21" s="27" t="n">
        <f aca="false">F20/E20-1</f>
        <v>0.0171363872823527</v>
      </c>
      <c r="G21" s="27" t="n">
        <f aca="false">G20/F20-1</f>
        <v>0.0756942146273956</v>
      </c>
      <c r="H21" s="27" t="n">
        <f aca="false">H20/G20-1</f>
        <v>0.0764088938609984</v>
      </c>
      <c r="I21" s="27" t="n">
        <f aca="false">I20/H20-1</f>
        <v>0.103593421155195</v>
      </c>
      <c r="J21" s="27" t="n">
        <f aca="false">J20/I20-1</f>
        <v>-0.807435136789565</v>
      </c>
      <c r="K21" s="27" t="n">
        <f aca="false">K20/J20-1</f>
        <v>1.9348942413498</v>
      </c>
      <c r="L21" s="27" t="n">
        <f aca="false">L20/K20-1</f>
        <v>1.24441250598846</v>
      </c>
      <c r="M21" s="27" t="n">
        <f aca="false">M20/L20-1</f>
        <v>0.247661296310045</v>
      </c>
      <c r="N21" s="27" t="n">
        <f aca="false">N20/M20-1</f>
        <v>0.0375414689299156</v>
      </c>
      <c r="O21" s="27" t="n">
        <f aca="false">O40</f>
        <v>0.0909</v>
      </c>
      <c r="P21" s="27" t="n">
        <f aca="false">P40</f>
        <v>0.0824666666666667</v>
      </c>
      <c r="Q21" s="27" t="n">
        <f aca="false">Q40</f>
        <v>0.0740333333333333</v>
      </c>
      <c r="R21" s="27" t="n">
        <f aca="false">R40</f>
        <v>0.0656</v>
      </c>
      <c r="S21" s="27" t="n">
        <f aca="false">S40</f>
        <v>0.0571666666666667</v>
      </c>
      <c r="T21" s="27" t="n">
        <f aca="false">T40</f>
        <v>0.0487333333333333</v>
      </c>
      <c r="U21" s="27" t="n">
        <f aca="false">U40</f>
        <v>0.0403</v>
      </c>
      <c r="V21" s="27" t="n">
        <f aca="false">V40</f>
        <v>0.0318666666666667</v>
      </c>
      <c r="W21" s="27" t="n">
        <f aca="false">W40</f>
        <v>0.0234333333333333</v>
      </c>
      <c r="X21" s="29" t="n">
        <f aca="false">X40</f>
        <v>0.015</v>
      </c>
    </row>
    <row r="22" customFormat="false" ht="15" hidden="false" customHeight="true" outlineLevel="0" collapsed="false">
      <c r="B22" s="24" t="s">
        <v>30</v>
      </c>
      <c r="E22" s="25" t="n">
        <f aca="false">E23+E28</f>
        <v>1887.4</v>
      </c>
      <c r="F22" s="25" t="n">
        <f aca="false">F23+F28</f>
        <v>2031.5</v>
      </c>
      <c r="G22" s="25" t="n">
        <f aca="false">G23+G28</f>
        <v>2228.3</v>
      </c>
      <c r="H22" s="25" t="n">
        <f aca="false">H23+H28</f>
        <v>1657.3</v>
      </c>
      <c r="I22" s="25" t="n">
        <f aca="false">I23+I28</f>
        <v>1876.1</v>
      </c>
      <c r="J22" s="25" t="n">
        <f aca="false">J23+J28</f>
        <v>-268.4</v>
      </c>
      <c r="K22" s="25" t="n">
        <f aca="false">K23+K28</f>
        <v>379.8</v>
      </c>
      <c r="L22" s="25" t="n">
        <f aca="false">L23+L28</f>
        <v>2365.8</v>
      </c>
      <c r="M22" s="25" t="n">
        <f aca="false">M23+M28</f>
        <v>3120.2</v>
      </c>
      <c r="N22" s="25" t="n">
        <f aca="false">N23+N28</f>
        <v>2772.4</v>
      </c>
      <c r="O22" s="25" t="n">
        <f aca="false">O45+O56</f>
        <v>3845.188992855</v>
      </c>
      <c r="P22" s="25" t="n">
        <f aca="false">P45+P56</f>
        <v>4162.28891179911</v>
      </c>
      <c r="Q22" s="25" t="n">
        <f aca="false">Q45+Q56</f>
        <v>4470.43703423597</v>
      </c>
      <c r="R22" s="25" t="n">
        <f aca="false">R45+R56</f>
        <v>4763.69770368185</v>
      </c>
      <c r="S22" s="25" t="n">
        <f aca="false">S45+S56</f>
        <v>5036.02242240899</v>
      </c>
      <c r="T22" s="25" t="n">
        <f aca="false">T45+T56</f>
        <v>5281.44458179439</v>
      </c>
      <c r="U22" s="25" t="n">
        <f aca="false">U45+U56</f>
        <v>5494.28679844071</v>
      </c>
      <c r="V22" s="25" t="n">
        <f aca="false">V45+V56</f>
        <v>5669.37140441768</v>
      </c>
      <c r="W22" s="25" t="n">
        <f aca="false">W45+W56</f>
        <v>5802.22367432787</v>
      </c>
      <c r="X22" s="26" t="n">
        <f aca="false">X45+X56</f>
        <v>5889.25702944279</v>
      </c>
    </row>
    <row r="23" customFormat="false" ht="15" hidden="false" customHeight="true" outlineLevel="0" collapsed="false">
      <c r="B23" s="24" t="s">
        <v>18</v>
      </c>
      <c r="E23" s="25" t="n">
        <v>1460.1</v>
      </c>
      <c r="F23" s="25" t="n">
        <v>1534</v>
      </c>
      <c r="G23" s="25" t="n">
        <v>1667.3</v>
      </c>
      <c r="H23" s="25" t="n">
        <v>1016.8</v>
      </c>
      <c r="I23" s="25" t="n">
        <v>1127.4</v>
      </c>
      <c r="J23" s="25" t="n">
        <v>-839.4</v>
      </c>
      <c r="K23" s="25" t="n">
        <v>-339.6</v>
      </c>
      <c r="L23" s="25" t="n">
        <v>1442.6</v>
      </c>
      <c r="M23" s="25" t="n">
        <v>2060.7</v>
      </c>
      <c r="N23" s="25" t="n">
        <v>1558</v>
      </c>
      <c r="O23" s="25" t="n">
        <f aca="false">O20*O24</f>
        <v>2620.26729153</v>
      </c>
      <c r="P23" s="25" t="n">
        <f aca="false">P20*P24</f>
        <v>2836.35200083817</v>
      </c>
      <c r="Q23" s="25" t="n">
        <f aca="false">Q20*Q24</f>
        <v>3046.33659396689</v>
      </c>
      <c r="R23" s="25" t="n">
        <f aca="false">R20*R24</f>
        <v>3246.17627453112</v>
      </c>
      <c r="S23" s="25" t="n">
        <f aca="false">S20*S24</f>
        <v>3431.74935155848</v>
      </c>
      <c r="T23" s="25" t="n">
        <f aca="false">T45</f>
        <v>3598.98993662443</v>
      </c>
      <c r="U23" s="25" t="n">
        <f aca="false">U45</f>
        <v>3744.0292310704</v>
      </c>
      <c r="V23" s="25" t="n">
        <f aca="false">V45</f>
        <v>3863.33896256718</v>
      </c>
      <c r="W23" s="25" t="n">
        <f aca="false">W45</f>
        <v>3953.86987225667</v>
      </c>
      <c r="X23" s="26" t="n">
        <f aca="false">X45</f>
        <v>4013.17792034052</v>
      </c>
    </row>
    <row r="24" customFormat="false" ht="15" hidden="false" customHeight="true" outlineLevel="0" collapsed="false">
      <c r="B24" s="27" t="s">
        <v>31</v>
      </c>
      <c r="C24" s="28"/>
      <c r="D24" s="28"/>
      <c r="E24" s="27" t="n">
        <f aca="false">E23/E20</f>
        <v>0.223400348847884</v>
      </c>
      <c r="F24" s="27" t="n">
        <f aca="false">F23/F20</f>
        <v>0.230753031077951</v>
      </c>
      <c r="G24" s="27" t="n">
        <f aca="false">G23/G20</f>
        <v>0.2331562019298</v>
      </c>
      <c r="H24" s="27" t="n">
        <f aca="false">H23/H20</f>
        <v>0.132096552082521</v>
      </c>
      <c r="I24" s="27" t="n">
        <f aca="false">I23/I20</f>
        <v>0.132716485379291</v>
      </c>
      <c r="J24" s="27" t="n">
        <f aca="false">J23/J20</f>
        <v>-0.513143416065534</v>
      </c>
      <c r="K24" s="27" t="n">
        <f aca="false">K23/K20</f>
        <v>-0.0707367368618384</v>
      </c>
      <c r="L24" s="27" t="n">
        <f aca="false">L23/L20</f>
        <v>0.133881505679709</v>
      </c>
      <c r="M24" s="27" t="n">
        <f aca="false">M23/M20</f>
        <v>0.15328255403978</v>
      </c>
      <c r="N24" s="27" t="n">
        <f aca="false">N23/N20</f>
        <v>0.111696598200523</v>
      </c>
      <c r="O24" s="27" t="n">
        <f aca="false">O46</f>
        <v>0.1722</v>
      </c>
      <c r="P24" s="27" t="n">
        <f aca="false">P46</f>
        <v>0.1722</v>
      </c>
      <c r="Q24" s="27" t="n">
        <f aca="false">Q46</f>
        <v>0.1722</v>
      </c>
      <c r="R24" s="27" t="n">
        <f aca="false">R46</f>
        <v>0.1722</v>
      </c>
      <c r="S24" s="27" t="n">
        <f aca="false">S46</f>
        <v>0.1722</v>
      </c>
      <c r="T24" s="27" t="n">
        <f aca="false">T46</f>
        <v>0.1722</v>
      </c>
      <c r="U24" s="27" t="n">
        <f aca="false">U46</f>
        <v>0.1722</v>
      </c>
      <c r="V24" s="27" t="n">
        <f aca="false">V46</f>
        <v>0.1722</v>
      </c>
      <c r="W24" s="27" t="n">
        <f aca="false">W46</f>
        <v>0.1722</v>
      </c>
      <c r="X24" s="29" t="n">
        <f aca="false">X46</f>
        <v>0.1722</v>
      </c>
    </row>
    <row r="25" customFormat="false" ht="15" hidden="false" customHeight="true" outlineLevel="0" collapsed="false">
      <c r="B25" s="24" t="s">
        <v>32</v>
      </c>
      <c r="E25" s="25" t="n">
        <v>162.8</v>
      </c>
      <c r="F25" s="25" t="n">
        <v>154.4</v>
      </c>
      <c r="G25" s="25" t="n">
        <v>161.1</v>
      </c>
      <c r="H25" s="25" t="n">
        <v>63.1</v>
      </c>
      <c r="I25" s="25" t="n">
        <v>21.6</v>
      </c>
      <c r="J25" s="25" t="n">
        <v>-93.6</v>
      </c>
      <c r="K25" s="25" t="n">
        <v>-189</v>
      </c>
      <c r="L25" s="25" t="n">
        <v>128.7</v>
      </c>
      <c r="M25" s="25" t="n">
        <v>210.9</v>
      </c>
      <c r="N25" s="25" t="n">
        <v>172.8</v>
      </c>
      <c r="O25" s="25" t="n">
        <f aca="false">O23*O26</f>
        <v>262.026729153</v>
      </c>
      <c r="P25" s="25" t="n">
        <f aca="false">P23*P26</f>
        <v>283.635200083817</v>
      </c>
      <c r="Q25" s="25" t="n">
        <f aca="false">Q23*Q26</f>
        <v>304.633659396689</v>
      </c>
      <c r="R25" s="25" t="n">
        <f aca="false">R23*R26</f>
        <v>324.617627453112</v>
      </c>
      <c r="S25" s="25" t="n">
        <f aca="false">S23*S26</f>
        <v>343.174935155848</v>
      </c>
      <c r="T25" s="25" t="n">
        <f aca="false">T51</f>
        <v>359.898993662443</v>
      </c>
      <c r="U25" s="25" t="n">
        <f aca="false">U51</f>
        <v>374.40292310704</v>
      </c>
      <c r="V25" s="25" t="n">
        <f aca="false">V51</f>
        <v>386.333896256718</v>
      </c>
      <c r="W25" s="25" t="n">
        <f aca="false">W51</f>
        <v>395.386987225667</v>
      </c>
      <c r="X25" s="26" t="n">
        <f aca="false">X51</f>
        <v>401.317792034052</v>
      </c>
    </row>
    <row r="26" customFormat="false" ht="15" hidden="false" customHeight="true" outlineLevel="0" collapsed="false">
      <c r="B26" s="27" t="s">
        <v>33</v>
      </c>
      <c r="C26" s="28"/>
      <c r="D26" s="28"/>
      <c r="E26" s="27" t="n">
        <f aca="false">E25/E23</f>
        <v>0.111499212382714</v>
      </c>
      <c r="F26" s="27" t="n">
        <f aca="false">F25/F23</f>
        <v>0.100651890482399</v>
      </c>
      <c r="G26" s="27" t="n">
        <f aca="false">G25/G23</f>
        <v>0.0966232831524021</v>
      </c>
      <c r="H26" s="27" t="n">
        <f aca="false">H25/H23</f>
        <v>0.0620574350904799</v>
      </c>
      <c r="I26" s="27" t="n">
        <f aca="false">I25/I23</f>
        <v>0.0191591271953167</v>
      </c>
      <c r="J26" s="27" t="n">
        <f aca="false">J25/J23</f>
        <v>0.111508220157255</v>
      </c>
      <c r="K26" s="27" t="n">
        <f aca="false">K25/K23</f>
        <v>0.556537102473498</v>
      </c>
      <c r="L26" s="27" t="n">
        <f aca="false">L25/L23</f>
        <v>0.0892139193123527</v>
      </c>
      <c r="M26" s="27" t="n">
        <f aca="false">M25/M23</f>
        <v>0.102343863735624</v>
      </c>
      <c r="N26" s="27" t="n">
        <f aca="false">N25/N23</f>
        <v>0.110911424903723</v>
      </c>
      <c r="O26" s="27" t="n">
        <f aca="false">O52</f>
        <v>0.1</v>
      </c>
      <c r="P26" s="27" t="n">
        <f aca="false">P52</f>
        <v>0.1</v>
      </c>
      <c r="Q26" s="27" t="n">
        <f aca="false">Q52</f>
        <v>0.1</v>
      </c>
      <c r="R26" s="27" t="n">
        <f aca="false">R52</f>
        <v>0.1</v>
      </c>
      <c r="S26" s="27" t="n">
        <f aca="false">S52</f>
        <v>0.1</v>
      </c>
      <c r="T26" s="27" t="n">
        <f aca="false">T52</f>
        <v>0.1</v>
      </c>
      <c r="U26" s="27" t="n">
        <f aca="false">U52</f>
        <v>0.1</v>
      </c>
      <c r="V26" s="27" t="n">
        <f aca="false">V52</f>
        <v>0.1</v>
      </c>
      <c r="W26" s="27" t="n">
        <f aca="false">W52</f>
        <v>0.1</v>
      </c>
      <c r="X26" s="29" t="n">
        <f aca="false">X52</f>
        <v>0.1</v>
      </c>
    </row>
    <row r="27" customFormat="false" ht="15" hidden="false" customHeight="true" outlineLevel="0" collapsed="false">
      <c r="A27" s="21" t="s">
        <v>10</v>
      </c>
      <c r="B27" s="22" t="s">
        <v>34</v>
      </c>
      <c r="C27" s="15"/>
      <c r="D27" s="23"/>
      <c r="E27" s="23" t="n">
        <f aca="false">E19</f>
        <v>2016</v>
      </c>
      <c r="F27" s="23" t="n">
        <f aca="false">F19</f>
        <v>2017</v>
      </c>
      <c r="G27" s="23" t="n">
        <f aca="false">G19</f>
        <v>2018</v>
      </c>
      <c r="H27" s="23" t="n">
        <f aca="false">H19</f>
        <v>2019</v>
      </c>
      <c r="I27" s="23" t="n">
        <f aca="false">I19</f>
        <v>2020</v>
      </c>
      <c r="J27" s="23" t="n">
        <f aca="false">J19</f>
        <v>2021</v>
      </c>
      <c r="K27" s="23" t="n">
        <f aca="false">K19</f>
        <v>2022</v>
      </c>
      <c r="L27" s="23" t="n">
        <f aca="false">L19</f>
        <v>2023</v>
      </c>
      <c r="M27" s="23" t="n">
        <f aca="false">M19</f>
        <v>2024</v>
      </c>
      <c r="N27" s="23" t="n">
        <f aca="false">N19</f>
        <v>2025</v>
      </c>
      <c r="O27" s="23" t="n">
        <f aca="false">O19</f>
        <v>2026</v>
      </c>
      <c r="P27" s="23" t="n">
        <f aca="false">P19</f>
        <v>2027</v>
      </c>
      <c r="Q27" s="23" t="n">
        <f aca="false">Q19</f>
        <v>2028</v>
      </c>
      <c r="R27" s="23" t="n">
        <f aca="false">R19</f>
        <v>2029</v>
      </c>
      <c r="S27" s="23" t="n">
        <f aca="false">S19</f>
        <v>2030</v>
      </c>
      <c r="T27" s="23" t="n">
        <f aca="false">T38</f>
        <v>2031</v>
      </c>
      <c r="U27" s="23" t="n">
        <f aca="false">U38</f>
        <v>2032</v>
      </c>
      <c r="V27" s="23" t="n">
        <f aca="false">V38</f>
        <v>2033</v>
      </c>
      <c r="W27" s="23" t="n">
        <f aca="false">W38</f>
        <v>2034</v>
      </c>
      <c r="X27" s="23" t="n">
        <f aca="false">X38</f>
        <v>2035</v>
      </c>
    </row>
    <row r="28" customFormat="false" ht="15" hidden="false" customHeight="true" outlineLevel="0" collapsed="false">
      <c r="B28" s="24" t="s">
        <v>35</v>
      </c>
      <c r="E28" s="25" t="n">
        <v>427.3</v>
      </c>
      <c r="F28" s="25" t="n">
        <v>497.5</v>
      </c>
      <c r="G28" s="25" t="n">
        <v>561</v>
      </c>
      <c r="H28" s="25" t="n">
        <v>640.5</v>
      </c>
      <c r="I28" s="25" t="n">
        <v>748.7</v>
      </c>
      <c r="J28" s="25" t="n">
        <v>571</v>
      </c>
      <c r="K28" s="25" t="n">
        <v>719.4</v>
      </c>
      <c r="L28" s="25" t="n">
        <v>923.2</v>
      </c>
      <c r="M28" s="25" t="n">
        <v>1059.5</v>
      </c>
      <c r="N28" s="25" t="n">
        <v>1214.4</v>
      </c>
      <c r="O28" s="25" t="n">
        <f aca="false">O20*O29</f>
        <v>1224.921701325</v>
      </c>
      <c r="P28" s="25" t="n">
        <f aca="false">P20*P29</f>
        <v>1325.93691096094</v>
      </c>
      <c r="Q28" s="25" t="n">
        <f aca="false">Q20*Q29</f>
        <v>1424.10044026908</v>
      </c>
      <c r="R28" s="25" t="n">
        <f aca="false">R20*R29</f>
        <v>1517.52142915073</v>
      </c>
      <c r="S28" s="25" t="n">
        <f aca="false">S20*S29</f>
        <v>1604.27307085051</v>
      </c>
      <c r="T28" s="25" t="n">
        <f aca="false">T56</f>
        <v>1682.45464516996</v>
      </c>
      <c r="U28" s="25" t="n">
        <f aca="false">U56</f>
        <v>1750.25756737031</v>
      </c>
      <c r="V28" s="25" t="n">
        <f aca="false">V56</f>
        <v>1806.03244185051</v>
      </c>
      <c r="W28" s="25" t="n">
        <f aca="false">W56</f>
        <v>1848.35380207121</v>
      </c>
      <c r="X28" s="25" t="n">
        <f aca="false">X56</f>
        <v>1876.07910910227</v>
      </c>
    </row>
    <row r="29" customFormat="false" ht="15" hidden="false" customHeight="true" outlineLevel="0" collapsed="false">
      <c r="B29" s="27" t="s">
        <v>31</v>
      </c>
      <c r="C29" s="30"/>
      <c r="D29" s="30"/>
      <c r="E29" s="27" t="n">
        <f aca="false">E28/E20</f>
        <v>0.0653783775513327</v>
      </c>
      <c r="F29" s="27" t="n">
        <f aca="false">F28/F20</f>
        <v>0.0748367881103523</v>
      </c>
      <c r="G29" s="27" t="n">
        <f aca="false">G28/G20</f>
        <v>0.078450566354356</v>
      </c>
      <c r="H29" s="27" t="n">
        <f aca="false">H28/H20</f>
        <v>0.083209915036246</v>
      </c>
      <c r="I29" s="27" t="n">
        <f aca="false">I28/I20</f>
        <v>0.0881362716014503</v>
      </c>
      <c r="J29" s="27" t="n">
        <f aca="false">J28/J20</f>
        <v>0.349064677833476</v>
      </c>
      <c r="K29" s="27" t="n">
        <f aca="false">K28/K20</f>
        <v>0.149846903705555</v>
      </c>
      <c r="L29" s="27" t="n">
        <f aca="false">L28/L20</f>
        <v>0.0856782240700869</v>
      </c>
      <c r="M29" s="27" t="n">
        <f aca="false">M28/M20</f>
        <v>0.0788095627724304</v>
      </c>
      <c r="N29" s="27" t="n">
        <f aca="false">N28/N20</f>
        <v>0.0870631250672115</v>
      </c>
      <c r="O29" s="27" t="n">
        <f aca="false">O57</f>
        <v>0.0805</v>
      </c>
      <c r="P29" s="27" t="n">
        <f aca="false">P57</f>
        <v>0.0805</v>
      </c>
      <c r="Q29" s="27" t="n">
        <f aca="false">Q57</f>
        <v>0.0805</v>
      </c>
      <c r="R29" s="27" t="n">
        <f aca="false">R57</f>
        <v>0.0805</v>
      </c>
      <c r="S29" s="27" t="n">
        <f aca="false">S57</f>
        <v>0.0805</v>
      </c>
      <c r="T29" s="27" t="n">
        <f aca="false">T57</f>
        <v>0.0805</v>
      </c>
      <c r="U29" s="27" t="n">
        <f aca="false">U57</f>
        <v>0.0805</v>
      </c>
      <c r="V29" s="27" t="n">
        <f aca="false">V57</f>
        <v>0.0805</v>
      </c>
      <c r="W29" s="27" t="n">
        <f aca="false">W57</f>
        <v>0.0805</v>
      </c>
      <c r="X29" s="27" t="n">
        <f aca="false">X57</f>
        <v>0.0805</v>
      </c>
    </row>
    <row r="30" customFormat="false" ht="15" hidden="false" customHeight="true" outlineLevel="0" collapsed="false">
      <c r="C30" s="30"/>
      <c r="D30" s="30"/>
      <c r="E30" s="30"/>
    </row>
    <row r="31" customFormat="false" ht="15" hidden="false" customHeight="true" outlineLevel="0" collapsed="false">
      <c r="B31" s="24" t="s">
        <v>36</v>
      </c>
      <c r="E31" s="25" t="n">
        <v>1217.7</v>
      </c>
      <c r="F31" s="25" t="n">
        <v>1449.8</v>
      </c>
      <c r="G31" s="25" t="n">
        <v>1470.6</v>
      </c>
      <c r="H31" s="25" t="n">
        <v>1546.7</v>
      </c>
      <c r="I31" s="25" t="n">
        <v>578.8</v>
      </c>
      <c r="J31" s="25" t="n">
        <v>294.7</v>
      </c>
      <c r="K31" s="25" t="n">
        <v>1181.6</v>
      </c>
      <c r="L31" s="25" t="n">
        <v>1914.7</v>
      </c>
      <c r="M31" s="25" t="n">
        <v>2391.9</v>
      </c>
      <c r="N31" s="25" t="n">
        <v>1552.5</v>
      </c>
      <c r="O31" s="25" t="n">
        <f aca="false">O20*O32</f>
        <v>2781.56132922</v>
      </c>
      <c r="P31" s="25" t="n">
        <f aca="false">P20*P32</f>
        <v>3010.94742016968</v>
      </c>
      <c r="Q31" s="25" t="n">
        <f aca="false">Q20*Q32</f>
        <v>3233.85789417624</v>
      </c>
      <c r="R31" s="25" t="n">
        <f aca="false">R20*R32</f>
        <v>3445.9989720342</v>
      </c>
      <c r="S31" s="25" t="n">
        <f aca="false">S20*S32</f>
        <v>3642.99524660215</v>
      </c>
      <c r="T31" s="25" t="n">
        <f aca="false">T59</f>
        <v>3820.53054828657</v>
      </c>
      <c r="U31" s="25" t="n">
        <f aca="false">U59</f>
        <v>3974.49792938251</v>
      </c>
      <c r="V31" s="25" t="n">
        <f aca="false">V59</f>
        <v>4101.1519300655</v>
      </c>
      <c r="W31" s="25" t="n">
        <f aca="false">W59</f>
        <v>4197.25559029337</v>
      </c>
      <c r="X31" s="25" t="n">
        <f aca="false">X59</f>
        <v>4260.21442414777</v>
      </c>
    </row>
    <row r="32" customFormat="false" ht="15" hidden="false" customHeight="true" outlineLevel="0" collapsed="false">
      <c r="B32" s="27" t="s">
        <v>31</v>
      </c>
      <c r="C32" s="28"/>
      <c r="D32" s="28"/>
      <c r="E32" s="27" t="n">
        <f aca="false">E31/E20</f>
        <v>0.186312310658221</v>
      </c>
      <c r="F32" s="27" t="n">
        <f aca="false">F31/F20</f>
        <v>0.21808718673847</v>
      </c>
      <c r="G32" s="27" t="n">
        <f aca="false">G31/G20</f>
        <v>0.205649559502168</v>
      </c>
      <c r="H32" s="27" t="n">
        <f aca="false">H31/H20</f>
        <v>0.200937979057864</v>
      </c>
      <c r="I32" s="27" t="n">
        <f aca="false">I31/I20</f>
        <v>0.0681358007251495</v>
      </c>
      <c r="J32" s="27" t="n">
        <f aca="false">J31/J20</f>
        <v>0.180156498349431</v>
      </c>
      <c r="K32" s="27" t="n">
        <f aca="false">K31/K20</f>
        <v>0.246120519069341</v>
      </c>
      <c r="L32" s="27" t="n">
        <f aca="false">L31/L20</f>
        <v>0.177695077585567</v>
      </c>
      <c r="M32" s="27" t="n">
        <f aca="false">M31/M20</f>
        <v>0.177918445677561</v>
      </c>
      <c r="N32" s="27" t="n">
        <f aca="false">N31/N20</f>
        <v>0.111302290568878</v>
      </c>
      <c r="O32" s="27" t="n">
        <f aca="false">O60</f>
        <v>0.1828</v>
      </c>
      <c r="P32" s="27" t="n">
        <f aca="false">P60</f>
        <v>0.1828</v>
      </c>
      <c r="Q32" s="27" t="n">
        <f aca="false">Q60</f>
        <v>0.1828</v>
      </c>
      <c r="R32" s="27" t="n">
        <f aca="false">R60</f>
        <v>0.1828</v>
      </c>
      <c r="S32" s="27" t="n">
        <f aca="false">S60</f>
        <v>0.1828</v>
      </c>
      <c r="T32" s="27" t="n">
        <f aca="false">T60</f>
        <v>0.1828</v>
      </c>
      <c r="U32" s="27" t="n">
        <f aca="false">U60</f>
        <v>0.1828</v>
      </c>
      <c r="V32" s="27" t="n">
        <f aca="false">V60</f>
        <v>0.1828</v>
      </c>
      <c r="W32" s="27" t="n">
        <f aca="false">W60</f>
        <v>0.1828</v>
      </c>
      <c r="X32" s="27" t="n">
        <f aca="false">X60</f>
        <v>0.1828</v>
      </c>
    </row>
    <row r="34" customFormat="false" ht="15" hidden="false" customHeight="true" outlineLevel="0" collapsed="false">
      <c r="B34" s="24" t="s">
        <v>37</v>
      </c>
      <c r="E34" s="25" t="n">
        <v>-135.6</v>
      </c>
      <c r="F34" s="25" t="n">
        <v>-113.1</v>
      </c>
      <c r="G34" s="25" t="n">
        <v>-168.9</v>
      </c>
      <c r="H34" s="25" t="n">
        <v>-514.3</v>
      </c>
      <c r="I34" s="25" t="n">
        <v>388.5</v>
      </c>
      <c r="J34" s="25" t="n">
        <v>1703.2</v>
      </c>
      <c r="K34" s="25" t="n">
        <v>-1785.9</v>
      </c>
      <c r="L34" s="25" t="n">
        <v>-1353.9</v>
      </c>
      <c r="M34" s="25" t="n">
        <v>-19</v>
      </c>
      <c r="N34" s="25" t="n">
        <v>-480.3</v>
      </c>
      <c r="O34" s="25" t="n">
        <f aca="false">O20*O35</f>
        <v>-436.711215255</v>
      </c>
      <c r="P34" s="25" t="n">
        <f aca="false">P20*P35</f>
        <v>-472.725333473029</v>
      </c>
      <c r="Q34" s="25" t="n">
        <f aca="false">Q20*Q35</f>
        <v>-507.722765661149</v>
      </c>
      <c r="R34" s="25" t="n">
        <f aca="false">R20*R35</f>
        <v>-541.02937908852</v>
      </c>
      <c r="S34" s="25" t="n">
        <f aca="false">S20*S35</f>
        <v>-571.958225259747</v>
      </c>
      <c r="T34" s="25" t="n">
        <f aca="false">T62</f>
        <v>-599.831656104072</v>
      </c>
      <c r="U34" s="25" t="n">
        <f aca="false">U62</f>
        <v>-624.004871845066</v>
      </c>
      <c r="V34" s="25" t="n">
        <f aca="false">V62</f>
        <v>-643.889827094529</v>
      </c>
      <c r="W34" s="25" t="n">
        <f aca="false">W62</f>
        <v>-658.978312042778</v>
      </c>
      <c r="X34" s="25" t="n">
        <f aca="false">X62</f>
        <v>-668.862986723419</v>
      </c>
    </row>
    <row r="35" customFormat="false" ht="15" hidden="false" customHeight="true" outlineLevel="0" collapsed="false">
      <c r="B35" s="27" t="s">
        <v>31</v>
      </c>
      <c r="C35" s="30"/>
      <c r="D35" s="30"/>
      <c r="E35" s="27" t="n">
        <f aca="false">E34/E20</f>
        <v>-0.0207472688882769</v>
      </c>
      <c r="F35" s="27" t="n">
        <f aca="false">F34/F20</f>
        <v>-0.0170131472065947</v>
      </c>
      <c r="G35" s="27" t="n">
        <f aca="false">G34/G20</f>
        <v>-0.0236190742553489</v>
      </c>
      <c r="H35" s="27" t="n">
        <f aca="false">H34/H20</f>
        <v>-0.0668147686231715</v>
      </c>
      <c r="I35" s="27" t="n">
        <f aca="false">I34/I20</f>
        <v>0.0457338607147902</v>
      </c>
      <c r="J35" s="27" t="n">
        <f aca="false">J34/J20</f>
        <v>1.04120308106125</v>
      </c>
      <c r="K35" s="27" t="n">
        <f aca="false">K34/K20</f>
        <v>-0.37199275135912</v>
      </c>
      <c r="L35" s="27" t="n">
        <f aca="false">L34/L20</f>
        <v>-0.125649639913876</v>
      </c>
      <c r="M35" s="27" t="n">
        <f aca="false">M34/M20</f>
        <v>-0.00141329088501763</v>
      </c>
      <c r="N35" s="27" t="n">
        <f aca="false">N34/N20</f>
        <v>-0.0344338100871061</v>
      </c>
      <c r="O35" s="27" t="n">
        <f aca="false">O63</f>
        <v>-0.0287</v>
      </c>
      <c r="P35" s="27" t="n">
        <f aca="false">P63</f>
        <v>-0.0287</v>
      </c>
      <c r="Q35" s="27" t="n">
        <f aca="false">Q63</f>
        <v>-0.0287</v>
      </c>
      <c r="R35" s="27" t="n">
        <f aca="false">R63</f>
        <v>-0.0287</v>
      </c>
      <c r="S35" s="27" t="n">
        <f aca="false">S63</f>
        <v>-0.0287</v>
      </c>
      <c r="T35" s="27" t="n">
        <f aca="false">T63</f>
        <v>-0.0287</v>
      </c>
      <c r="U35" s="27" t="n">
        <f aca="false">U63</f>
        <v>-0.0287</v>
      </c>
      <c r="V35" s="27" t="n">
        <f aca="false">V63</f>
        <v>-0.0287</v>
      </c>
      <c r="W35" s="27" t="n">
        <f aca="false">W63</f>
        <v>-0.0287</v>
      </c>
      <c r="X35" s="27" t="n">
        <f aca="false">X63</f>
        <v>-0.0287</v>
      </c>
    </row>
    <row r="36" customFormat="false" ht="15" hidden="false" customHeight="true" outlineLevel="0" collapsed="false">
      <c r="B36" s="31" t="s">
        <v>38</v>
      </c>
      <c r="C36" s="30"/>
      <c r="D36" s="30"/>
      <c r="E36" s="30"/>
      <c r="F36" s="31" t="n">
        <f aca="false">F34/(F20-E20)</f>
        <v>-1.00982142857143</v>
      </c>
      <c r="G36" s="31" t="n">
        <f aca="false">G34/(G20-F20)</f>
        <v>-0.335651828298887</v>
      </c>
      <c r="H36" s="31" t="n">
        <f aca="false">H34/(H20-G20)</f>
        <v>-0.941251830161055</v>
      </c>
      <c r="I36" s="31" t="n">
        <f aca="false">I34/(I20-H20)</f>
        <v>0.487208427389015</v>
      </c>
      <c r="J36" s="31" t="n">
        <f aca="false">J34/(J20-I20)</f>
        <v>-0.248316081061379</v>
      </c>
      <c r="K36" s="31" t="n">
        <f aca="false">K34/(K20-J20)</f>
        <v>-0.56424757511611</v>
      </c>
      <c r="L36" s="31" t="n">
        <f aca="false">L34/(L20-K20)</f>
        <v>-0.226620691963912</v>
      </c>
      <c r="M36" s="31" t="n">
        <f aca="false">M34/(M20-L20)</f>
        <v>-0.00711983811736491</v>
      </c>
      <c r="N36" s="31" t="n">
        <f aca="false">N34/(N20-M20)</f>
        <v>-0.951654448187041</v>
      </c>
    </row>
    <row r="38" customFormat="false" ht="15" hidden="false" customHeight="true" outlineLevel="0" collapsed="false">
      <c r="A38" s="21" t="s">
        <v>10</v>
      </c>
      <c r="B38" s="32" t="s">
        <v>39</v>
      </c>
      <c r="C38" s="33"/>
      <c r="D38" s="34"/>
      <c r="E38" s="23" t="n">
        <f aca="false">E27</f>
        <v>2016</v>
      </c>
      <c r="F38" s="23" t="n">
        <f aca="false">E38+1</f>
        <v>2017</v>
      </c>
      <c r="G38" s="23" t="n">
        <f aca="false">F38+1</f>
        <v>2018</v>
      </c>
      <c r="H38" s="23" t="n">
        <f aca="false">G38+1</f>
        <v>2019</v>
      </c>
      <c r="I38" s="23" t="n">
        <f aca="false">H38+1</f>
        <v>2020</v>
      </c>
      <c r="J38" s="23" t="n">
        <f aca="false">I38+1</f>
        <v>2021</v>
      </c>
      <c r="K38" s="23" t="n">
        <f aca="false">J38+1</f>
        <v>2022</v>
      </c>
      <c r="L38" s="23" t="n">
        <f aca="false">K38+1</f>
        <v>2023</v>
      </c>
      <c r="M38" s="23" t="n">
        <f aca="false">L38+1</f>
        <v>2024</v>
      </c>
      <c r="N38" s="23" t="n">
        <f aca="false">M38+1</f>
        <v>2025</v>
      </c>
      <c r="O38" s="23" t="n">
        <f aca="false">N38+1</f>
        <v>2026</v>
      </c>
      <c r="P38" s="23" t="n">
        <f aca="false">O38+1</f>
        <v>2027</v>
      </c>
      <c r="Q38" s="23" t="n">
        <f aca="false">P38+1</f>
        <v>2028</v>
      </c>
      <c r="R38" s="23" t="n">
        <f aca="false">Q38+1</f>
        <v>2029</v>
      </c>
      <c r="S38" s="23" t="n">
        <f aca="false">R38+1</f>
        <v>2030</v>
      </c>
      <c r="T38" s="23" t="n">
        <f aca="false">S38+1</f>
        <v>2031</v>
      </c>
      <c r="U38" s="23" t="n">
        <f aca="false">T38+1</f>
        <v>2032</v>
      </c>
      <c r="V38" s="23" t="n">
        <f aca="false">U38+1</f>
        <v>2033</v>
      </c>
      <c r="W38" s="23" t="n">
        <f aca="false">V38+1</f>
        <v>2034</v>
      </c>
      <c r="X38" s="23" t="n">
        <f aca="false">W38+1</f>
        <v>2035</v>
      </c>
      <c r="Y38" s="35" t="s">
        <v>40</v>
      </c>
    </row>
    <row r="39" customFormat="false" ht="15" hidden="false" customHeight="true" outlineLevel="0" collapsed="false">
      <c r="B39" s="24" t="s">
        <v>16</v>
      </c>
      <c r="E39" s="25" t="n">
        <f aca="false">E20</f>
        <v>6535.8</v>
      </c>
      <c r="F39" s="25" t="n">
        <f aca="false">F20</f>
        <v>6647.8</v>
      </c>
      <c r="G39" s="25" t="n">
        <f aca="false">G20</f>
        <v>7151</v>
      </c>
      <c r="H39" s="25" t="n">
        <f aca="false">H20</f>
        <v>7697.4</v>
      </c>
      <c r="I39" s="25" t="n">
        <f aca="false">I20</f>
        <v>8494.8</v>
      </c>
      <c r="J39" s="25" t="n">
        <f aca="false">J20</f>
        <v>1635.8</v>
      </c>
      <c r="K39" s="25" t="n">
        <f aca="false">K20</f>
        <v>4800.9</v>
      </c>
      <c r="L39" s="25" t="n">
        <f aca="false">L20</f>
        <v>10775.2</v>
      </c>
      <c r="M39" s="25" t="n">
        <f aca="false">M20</f>
        <v>13443.8</v>
      </c>
      <c r="N39" s="25" t="n">
        <f aca="false">N20</f>
        <v>13948.5</v>
      </c>
      <c r="O39" s="25" t="n">
        <f aca="false">N39*(1+O40)</f>
        <v>15216.41865</v>
      </c>
      <c r="P39" s="25" t="n">
        <f aca="false">O39*(1+P40)</f>
        <v>16471.26597467</v>
      </c>
      <c r="Q39" s="25" t="n">
        <f aca="false">P39*(1+Q40)</f>
        <v>17690.6886989947</v>
      </c>
      <c r="R39" s="25" t="n">
        <f aca="false">Q39*(1+R40)</f>
        <v>18851.1978776488</v>
      </c>
      <c r="S39" s="25" t="n">
        <f aca="false">R39*(1+S40)</f>
        <v>19928.8580229877</v>
      </c>
      <c r="T39" s="25" t="n">
        <f aca="false">S39*(1+T40)</f>
        <v>20900.0577039746</v>
      </c>
      <c r="U39" s="25" t="n">
        <f aca="false">T39*(1+U40)</f>
        <v>21742.3300294448</v>
      </c>
      <c r="V39" s="25" t="n">
        <f aca="false">U39*(1+V40)</f>
        <v>22435.1856130498</v>
      </c>
      <c r="W39" s="25" t="n">
        <f aca="false">V39*(1+W40)</f>
        <v>22960.9167959156</v>
      </c>
      <c r="X39" s="25" t="n">
        <f aca="false">W39*(1+X40)</f>
        <v>23305.3305478543</v>
      </c>
    </row>
    <row r="40" customFormat="false" ht="15" hidden="false" customHeight="true" outlineLevel="0" collapsed="false">
      <c r="B40" s="27" t="s">
        <v>28</v>
      </c>
      <c r="C40" s="28"/>
      <c r="D40" s="28"/>
      <c r="E40" s="28"/>
      <c r="F40" s="27" t="n">
        <f aca="false">F39/E39-1</f>
        <v>0.0171363872823527</v>
      </c>
      <c r="G40" s="27" t="n">
        <f aca="false">G39/F39-1</f>
        <v>0.0756942146273956</v>
      </c>
      <c r="H40" s="27" t="n">
        <f aca="false">H39/G39-1</f>
        <v>0.0764088938609984</v>
      </c>
      <c r="I40" s="27" t="n">
        <f aca="false">I39/H39-1</f>
        <v>0.103593421155195</v>
      </c>
      <c r="J40" s="27" t="n">
        <f aca="false">J39/I39-1</f>
        <v>-0.807435136789565</v>
      </c>
      <c r="K40" s="27" t="n">
        <f aca="false">K39/J39-1</f>
        <v>1.9348942413498</v>
      </c>
      <c r="L40" s="27" t="n">
        <f aca="false">L39/K39-1</f>
        <v>1.24441250598846</v>
      </c>
      <c r="M40" s="27" t="n">
        <f aca="false">M39/L39-1</f>
        <v>0.247661296310045</v>
      </c>
      <c r="N40" s="27" t="n">
        <f aca="false">N39/M39-1</f>
        <v>0.0375414689299156</v>
      </c>
      <c r="O40" s="27" t="n">
        <f aca="false">INDEX(O41:O43,$D$11)</f>
        <v>0.0909</v>
      </c>
      <c r="P40" s="27" t="n">
        <f aca="false">INDEX(P41:P43,$D$11)</f>
        <v>0.0824666666666667</v>
      </c>
      <c r="Q40" s="27" t="n">
        <f aca="false">INDEX(Q41:Q43,$D$11)</f>
        <v>0.0740333333333333</v>
      </c>
      <c r="R40" s="27" t="n">
        <f aca="false">INDEX(R41:R43,$D$11)</f>
        <v>0.0656</v>
      </c>
      <c r="S40" s="27" t="n">
        <f aca="false">INDEX(S41:S43,$D$11)</f>
        <v>0.0571666666666667</v>
      </c>
      <c r="T40" s="27" t="n">
        <f aca="false">INDEX(T41:T43,$D$11)</f>
        <v>0.0487333333333333</v>
      </c>
      <c r="U40" s="27" t="n">
        <f aca="false">INDEX(U41:U43,$D$11)</f>
        <v>0.0403</v>
      </c>
      <c r="V40" s="27" t="n">
        <f aca="false">INDEX(V41:V43,$D$11)</f>
        <v>0.0318666666666667</v>
      </c>
      <c r="W40" s="27" t="n">
        <f aca="false">INDEX(W41:W43,$D$11)</f>
        <v>0.0234333333333333</v>
      </c>
      <c r="X40" s="27" t="n">
        <f aca="false">INDEX(X41:X43,$D$11)</f>
        <v>0.015</v>
      </c>
      <c r="Y40" s="27" t="n">
        <f aca="false">$D$17</f>
        <v>0.015</v>
      </c>
    </row>
    <row r="41" customFormat="false" ht="15" hidden="false" customHeight="true" outlineLevel="0" collapsed="false">
      <c r="B41" s="36" t="s">
        <v>41</v>
      </c>
      <c r="O41" s="37" t="n">
        <f aca="false">$H$11</f>
        <v>0.07</v>
      </c>
      <c r="P41" s="37" t="n">
        <f aca="false">O41-($H$11-$H$17)/$D$18</f>
        <v>0.0633333333333333</v>
      </c>
      <c r="Q41" s="37" t="n">
        <f aca="false">P41-($H$11-$H$17)/$D$18</f>
        <v>0.0566666666666667</v>
      </c>
      <c r="R41" s="37" t="n">
        <f aca="false">Q41-($H$11-$H$17)/$D$18</f>
        <v>0.05</v>
      </c>
      <c r="S41" s="37" t="n">
        <f aca="false">R41-($H$11-$H$17)/$D$18</f>
        <v>0.0433333333333333</v>
      </c>
      <c r="T41" s="37" t="n">
        <f aca="false">S41-($H$11-$H$17)/$D$18</f>
        <v>0.0366666666666667</v>
      </c>
      <c r="U41" s="37" t="n">
        <f aca="false">T41-($H$11-$H$17)/$D$18</f>
        <v>0.03</v>
      </c>
      <c r="V41" s="37" t="n">
        <f aca="false">U41-($H$11-$H$17)/$D$18</f>
        <v>0.0233333333333333</v>
      </c>
      <c r="W41" s="37" t="n">
        <f aca="false">V41-($H$11-$H$17)/$D$18</f>
        <v>0.0166666666666667</v>
      </c>
      <c r="X41" s="37" t="n">
        <f aca="false">W41-($H$11-$H$17)/$D$18</f>
        <v>0.01</v>
      </c>
    </row>
    <row r="42" customFormat="false" ht="15" hidden="false" customHeight="true" outlineLevel="0" collapsed="false">
      <c r="B42" s="36" t="s">
        <v>42</v>
      </c>
      <c r="O42" s="37" t="n">
        <f aca="false">$L$11</f>
        <v>0.0909</v>
      </c>
      <c r="P42" s="37" t="n">
        <f aca="false">O42-($L$11-$L$17)/$D$18</f>
        <v>0.0824666666666667</v>
      </c>
      <c r="Q42" s="37" t="n">
        <f aca="false">P42-($L$11-$L$17)/$D$18</f>
        <v>0.0740333333333333</v>
      </c>
      <c r="R42" s="37" t="n">
        <f aca="false">Q42-($L$11-$L$17)/$D$18</f>
        <v>0.0656</v>
      </c>
      <c r="S42" s="37" t="n">
        <f aca="false">R42-($L$11-$L$17)/$D$18</f>
        <v>0.0571666666666667</v>
      </c>
      <c r="T42" s="37" t="n">
        <f aca="false">S42-($L$11-$L$17)/$D$18</f>
        <v>0.0487333333333333</v>
      </c>
      <c r="U42" s="37" t="n">
        <f aca="false">T42-($L$11-$L$17)/$D$18</f>
        <v>0.0403</v>
      </c>
      <c r="V42" s="37" t="n">
        <f aca="false">U42-($L$11-$L$17)/$D$18</f>
        <v>0.0318666666666667</v>
      </c>
      <c r="W42" s="37" t="n">
        <f aca="false">V42-($L$11-$L$17)/$D$18</f>
        <v>0.0234333333333333</v>
      </c>
      <c r="X42" s="37" t="n">
        <f aca="false">W42-($L$11-$L$17)/$D$18</f>
        <v>0.015</v>
      </c>
    </row>
    <row r="43" customFormat="false" ht="15" hidden="false" customHeight="true" outlineLevel="0" collapsed="false">
      <c r="B43" s="36" t="s">
        <v>43</v>
      </c>
      <c r="O43" s="37" t="n">
        <f aca="false">$P$11</f>
        <v>0.11</v>
      </c>
      <c r="P43" s="37" t="n">
        <f aca="false">O43-($P$11-$P$17)/$D$18</f>
        <v>0.1</v>
      </c>
      <c r="Q43" s="37" t="n">
        <f aca="false">P43-($P$11-$P$17)/$D$18</f>
        <v>0.09</v>
      </c>
      <c r="R43" s="37" t="n">
        <f aca="false">Q43-($P$11-$P$17)/$D$18</f>
        <v>0.08</v>
      </c>
      <c r="S43" s="37" t="n">
        <f aca="false">R43-($P$11-$P$17)/$D$18</f>
        <v>0.07</v>
      </c>
      <c r="T43" s="37" t="n">
        <f aca="false">S43-($P$11-$P$17)/$D$18</f>
        <v>0.06</v>
      </c>
      <c r="U43" s="37" t="n">
        <f aca="false">T43-($P$11-$P$17)/$D$18</f>
        <v>0.05</v>
      </c>
      <c r="V43" s="37" t="n">
        <f aca="false">U43-($P$11-$P$17)/$D$18</f>
        <v>0.04</v>
      </c>
      <c r="W43" s="37" t="n">
        <f aca="false">V43-($P$11-$P$17)/$D$18</f>
        <v>0.03</v>
      </c>
      <c r="X43" s="37" t="n">
        <f aca="false">W43-($P$11-$P$17)/$D$18</f>
        <v>0.02</v>
      </c>
    </row>
    <row r="45" customFormat="false" ht="15" hidden="false" customHeight="true" outlineLevel="0" collapsed="false">
      <c r="B45" s="24" t="s">
        <v>18</v>
      </c>
      <c r="E45" s="25" t="n">
        <f aca="false">E23</f>
        <v>1460.1</v>
      </c>
      <c r="F45" s="25" t="n">
        <f aca="false">F23</f>
        <v>1534</v>
      </c>
      <c r="G45" s="25" t="n">
        <f aca="false">G23</f>
        <v>1667.3</v>
      </c>
      <c r="H45" s="25" t="n">
        <f aca="false">H23</f>
        <v>1016.8</v>
      </c>
      <c r="I45" s="25" t="n">
        <f aca="false">I23</f>
        <v>1127.4</v>
      </c>
      <c r="J45" s="25" t="n">
        <f aca="false">J23</f>
        <v>-839.4</v>
      </c>
      <c r="K45" s="25" t="n">
        <f aca="false">K23</f>
        <v>-339.6</v>
      </c>
      <c r="L45" s="25" t="n">
        <f aca="false">L23</f>
        <v>1442.6</v>
      </c>
      <c r="M45" s="25" t="n">
        <f aca="false">M23</f>
        <v>2060.7</v>
      </c>
      <c r="N45" s="25" t="n">
        <f aca="false">N23</f>
        <v>1558</v>
      </c>
      <c r="O45" s="25" t="n">
        <f aca="false">O39*O46</f>
        <v>2620.26729153</v>
      </c>
      <c r="P45" s="25" t="n">
        <f aca="false">P39*P46</f>
        <v>2836.35200083817</v>
      </c>
      <c r="Q45" s="25" t="n">
        <f aca="false">Q39*Q46</f>
        <v>3046.33659396689</v>
      </c>
      <c r="R45" s="25" t="n">
        <f aca="false">R39*R46</f>
        <v>3246.17627453112</v>
      </c>
      <c r="S45" s="25" t="n">
        <f aca="false">S39*S46</f>
        <v>3431.74935155848</v>
      </c>
      <c r="T45" s="25" t="n">
        <f aca="false">T39*T46</f>
        <v>3598.98993662443</v>
      </c>
      <c r="U45" s="25" t="n">
        <f aca="false">U39*U46</f>
        <v>3744.0292310704</v>
      </c>
      <c r="V45" s="25" t="n">
        <f aca="false">V39*V46</f>
        <v>3863.33896256718</v>
      </c>
      <c r="W45" s="25" t="n">
        <f aca="false">W39*W46</f>
        <v>3953.86987225667</v>
      </c>
      <c r="X45" s="25" t="n">
        <f aca="false">X39*X46</f>
        <v>4013.17792034052</v>
      </c>
    </row>
    <row r="46" customFormat="false" ht="15" hidden="false" customHeight="true" outlineLevel="0" collapsed="false">
      <c r="B46" s="27" t="s">
        <v>31</v>
      </c>
      <c r="C46" s="28"/>
      <c r="D46" s="28"/>
      <c r="E46" s="27" t="n">
        <f aca="false">E45/E20</f>
        <v>0.223400348847884</v>
      </c>
      <c r="F46" s="27" t="n">
        <f aca="false">F45/F20</f>
        <v>0.230753031077951</v>
      </c>
      <c r="G46" s="27" t="n">
        <f aca="false">G45/G20</f>
        <v>0.2331562019298</v>
      </c>
      <c r="H46" s="27" t="n">
        <f aca="false">H45/H20</f>
        <v>0.132096552082521</v>
      </c>
      <c r="I46" s="27" t="n">
        <f aca="false">I45/I20</f>
        <v>0.132716485379291</v>
      </c>
      <c r="J46" s="27" t="n">
        <f aca="false">J45/J20</f>
        <v>-0.513143416065534</v>
      </c>
      <c r="K46" s="27" t="n">
        <f aca="false">K45/K20</f>
        <v>-0.0707367368618384</v>
      </c>
      <c r="L46" s="27" t="n">
        <f aca="false">L45/L20</f>
        <v>0.133881505679709</v>
      </c>
      <c r="M46" s="27" t="n">
        <f aca="false">M45/M20</f>
        <v>0.15328255403978</v>
      </c>
      <c r="N46" s="27" t="n">
        <f aca="false">N45/N20</f>
        <v>0.111696598200523</v>
      </c>
      <c r="O46" s="27" t="n">
        <f aca="false">INDEX(O47:O49,$D$12)</f>
        <v>0.1722</v>
      </c>
      <c r="P46" s="27" t="n">
        <f aca="false">INDEX(P47:P49,$D$12)</f>
        <v>0.1722</v>
      </c>
      <c r="Q46" s="27" t="n">
        <f aca="false">INDEX(Q47:Q49,$D$12)</f>
        <v>0.1722</v>
      </c>
      <c r="R46" s="27" t="n">
        <f aca="false">INDEX(R47:R49,$D$12)</f>
        <v>0.1722</v>
      </c>
      <c r="S46" s="27" t="n">
        <f aca="false">INDEX(S47:S49,$D$12)</f>
        <v>0.1722</v>
      </c>
      <c r="T46" s="27" t="n">
        <f aca="false">INDEX(T47:T49,$D$12)</f>
        <v>0.1722</v>
      </c>
      <c r="U46" s="27" t="n">
        <f aca="false">INDEX(U47:U49,$D$12)</f>
        <v>0.1722</v>
      </c>
      <c r="V46" s="27" t="n">
        <f aca="false">INDEX(V47:V49,$D$12)</f>
        <v>0.1722</v>
      </c>
      <c r="W46" s="27" t="n">
        <f aca="false">INDEX(W47:W49,$D$12)</f>
        <v>0.1722</v>
      </c>
      <c r="X46" s="27" t="n">
        <f aca="false">INDEX(X47:X49,$D$12)</f>
        <v>0.1722</v>
      </c>
    </row>
    <row r="47" customFormat="false" ht="15" hidden="false" customHeight="true" outlineLevel="0" collapsed="false">
      <c r="B47" s="36" t="s">
        <v>41</v>
      </c>
      <c r="D47" s="28"/>
      <c r="O47" s="37" t="n">
        <f aca="false">$H$13</f>
        <v>0.16</v>
      </c>
      <c r="P47" s="37" t="n">
        <f aca="false">$H$13</f>
        <v>0.16</v>
      </c>
      <c r="Q47" s="37" t="n">
        <f aca="false">$H$13</f>
        <v>0.16</v>
      </c>
      <c r="R47" s="37" t="n">
        <f aca="false">$H$13</f>
        <v>0.16</v>
      </c>
      <c r="S47" s="37" t="n">
        <f aca="false">$H$13</f>
        <v>0.16</v>
      </c>
      <c r="T47" s="37" t="n">
        <f aca="false">$H$13</f>
        <v>0.16</v>
      </c>
      <c r="U47" s="37" t="n">
        <f aca="false">$H$13</f>
        <v>0.16</v>
      </c>
      <c r="V47" s="37" t="n">
        <f aca="false">$H$13</f>
        <v>0.16</v>
      </c>
      <c r="W47" s="37" t="n">
        <f aca="false">$H$13</f>
        <v>0.16</v>
      </c>
      <c r="X47" s="37" t="n">
        <f aca="false">$H$13</f>
        <v>0.16</v>
      </c>
    </row>
    <row r="48" customFormat="false" ht="15" hidden="false" customHeight="true" outlineLevel="0" collapsed="false">
      <c r="B48" s="36" t="s">
        <v>42</v>
      </c>
      <c r="D48" s="28"/>
      <c r="O48" s="37" t="n">
        <f aca="false">$L$13</f>
        <v>0.1722</v>
      </c>
      <c r="P48" s="37" t="n">
        <f aca="false">$L$13</f>
        <v>0.1722</v>
      </c>
      <c r="Q48" s="37" t="n">
        <f aca="false">$L$13</f>
        <v>0.1722</v>
      </c>
      <c r="R48" s="37" t="n">
        <f aca="false">$L$13</f>
        <v>0.1722</v>
      </c>
      <c r="S48" s="37" t="n">
        <f aca="false">$L$13</f>
        <v>0.1722</v>
      </c>
      <c r="T48" s="37" t="n">
        <f aca="false">$L$13</f>
        <v>0.1722</v>
      </c>
      <c r="U48" s="37" t="n">
        <f aca="false">$L$13</f>
        <v>0.1722</v>
      </c>
      <c r="V48" s="37" t="n">
        <f aca="false">$L$13</f>
        <v>0.1722</v>
      </c>
      <c r="W48" s="37" t="n">
        <f aca="false">$L$13</f>
        <v>0.1722</v>
      </c>
      <c r="X48" s="37" t="n">
        <f aca="false">$L$13</f>
        <v>0.1722</v>
      </c>
    </row>
    <row r="49" customFormat="false" ht="15" hidden="false" customHeight="true" outlineLevel="0" collapsed="false">
      <c r="B49" s="36" t="s">
        <v>43</v>
      </c>
      <c r="D49" s="28"/>
      <c r="O49" s="37" t="n">
        <f aca="false">$P$13</f>
        <v>0.185</v>
      </c>
      <c r="P49" s="37" t="n">
        <f aca="false">$P$13</f>
        <v>0.185</v>
      </c>
      <c r="Q49" s="37" t="n">
        <f aca="false">$P$13</f>
        <v>0.185</v>
      </c>
      <c r="R49" s="37" t="n">
        <f aca="false">$P$13</f>
        <v>0.185</v>
      </c>
      <c r="S49" s="37" t="n">
        <f aca="false">$P$13</f>
        <v>0.185</v>
      </c>
      <c r="T49" s="37" t="n">
        <f aca="false">$P$13</f>
        <v>0.185</v>
      </c>
      <c r="U49" s="37" t="n">
        <f aca="false">$P$13</f>
        <v>0.185</v>
      </c>
      <c r="V49" s="37" t="n">
        <f aca="false">$P$13</f>
        <v>0.185</v>
      </c>
      <c r="W49" s="37" t="n">
        <f aca="false">$P$13</f>
        <v>0.185</v>
      </c>
      <c r="X49" s="37" t="n">
        <f aca="false">$P$13</f>
        <v>0.185</v>
      </c>
    </row>
    <row r="51" customFormat="false" ht="15" hidden="false" customHeight="true" outlineLevel="0" collapsed="false">
      <c r="B51" s="24" t="s">
        <v>32</v>
      </c>
      <c r="E51" s="25" t="n">
        <f aca="false">E25</f>
        <v>162.8</v>
      </c>
      <c r="F51" s="25" t="n">
        <f aca="false">F25</f>
        <v>154.4</v>
      </c>
      <c r="G51" s="25" t="n">
        <f aca="false">G25</f>
        <v>161.1</v>
      </c>
      <c r="H51" s="25" t="n">
        <f aca="false">H25</f>
        <v>63.1</v>
      </c>
      <c r="I51" s="25" t="n">
        <f aca="false">I25</f>
        <v>21.6</v>
      </c>
      <c r="J51" s="25" t="n">
        <f aca="false">J25</f>
        <v>-93.6</v>
      </c>
      <c r="K51" s="25" t="n">
        <f aca="false">K25</f>
        <v>-189</v>
      </c>
      <c r="L51" s="25" t="n">
        <f aca="false">L25</f>
        <v>128.7</v>
      </c>
      <c r="M51" s="25" t="n">
        <f aca="false">M25</f>
        <v>210.9</v>
      </c>
      <c r="N51" s="25" t="n">
        <f aca="false">N25</f>
        <v>172.8</v>
      </c>
      <c r="O51" s="25" t="n">
        <f aca="false">O45*O52</f>
        <v>262.026729153</v>
      </c>
      <c r="P51" s="25" t="n">
        <f aca="false">P45*P52</f>
        <v>283.635200083817</v>
      </c>
      <c r="Q51" s="25" t="n">
        <f aca="false">Q45*Q52</f>
        <v>304.633659396689</v>
      </c>
      <c r="R51" s="25" t="n">
        <f aca="false">R45*R52</f>
        <v>324.617627453112</v>
      </c>
      <c r="S51" s="25" t="n">
        <f aca="false">S45*S52</f>
        <v>343.174935155848</v>
      </c>
      <c r="T51" s="25" t="n">
        <f aca="false">T45*T52</f>
        <v>359.898993662443</v>
      </c>
      <c r="U51" s="25" t="n">
        <f aca="false">U45*U52</f>
        <v>374.40292310704</v>
      </c>
      <c r="V51" s="25" t="n">
        <f aca="false">V45*V52</f>
        <v>386.333896256718</v>
      </c>
      <c r="W51" s="25" t="n">
        <f aca="false">W45*W52</f>
        <v>395.386987225667</v>
      </c>
      <c r="X51" s="25" t="n">
        <f aca="false">X45*X52</f>
        <v>401.317792034052</v>
      </c>
    </row>
    <row r="52" customFormat="false" ht="15" hidden="false" customHeight="true" outlineLevel="0" collapsed="false">
      <c r="B52" s="27" t="s">
        <v>33</v>
      </c>
      <c r="C52" s="28"/>
      <c r="D52" s="28"/>
      <c r="E52" s="27" t="n">
        <f aca="false">E51/E45</f>
        <v>0.111499212382714</v>
      </c>
      <c r="F52" s="27" t="n">
        <f aca="false">F51/F45</f>
        <v>0.100651890482399</v>
      </c>
      <c r="G52" s="27" t="n">
        <f aca="false">G51/G45</f>
        <v>0.0966232831524021</v>
      </c>
      <c r="H52" s="27" t="n">
        <f aca="false">H51/H45</f>
        <v>0.0620574350904799</v>
      </c>
      <c r="I52" s="27" t="n">
        <f aca="false">I51/I45</f>
        <v>0.0191591271953167</v>
      </c>
      <c r="J52" s="27" t="n">
        <f aca="false">J51/J45</f>
        <v>0.111508220157255</v>
      </c>
      <c r="K52" s="27" t="n">
        <f aca="false">K51/K45</f>
        <v>0.556537102473498</v>
      </c>
      <c r="L52" s="27" t="n">
        <f aca="false">L51/L45</f>
        <v>0.0892139193123527</v>
      </c>
      <c r="M52" s="27" t="n">
        <f aca="false">M51/M45</f>
        <v>0.102343863735624</v>
      </c>
      <c r="N52" s="27" t="n">
        <f aca="false">N51/N45</f>
        <v>0.110911424903723</v>
      </c>
      <c r="O52" s="38" t="n">
        <f aca="false">'Sources &amp; Checks'!$B$14</f>
        <v>0.1</v>
      </c>
      <c r="P52" s="38" t="n">
        <f aca="false">'Sources &amp; Checks'!$B$14</f>
        <v>0.1</v>
      </c>
      <c r="Q52" s="38" t="n">
        <f aca="false">'Sources &amp; Checks'!$B$14</f>
        <v>0.1</v>
      </c>
      <c r="R52" s="38" t="n">
        <f aca="false">'Sources &amp; Checks'!$B$14</f>
        <v>0.1</v>
      </c>
      <c r="S52" s="38" t="n">
        <f aca="false">'Sources &amp; Checks'!$B$14</f>
        <v>0.1</v>
      </c>
      <c r="T52" s="38" t="n">
        <f aca="false">'Sources &amp; Checks'!$B$14</f>
        <v>0.1</v>
      </c>
      <c r="U52" s="38" t="n">
        <f aca="false">'Sources &amp; Checks'!$B$14</f>
        <v>0.1</v>
      </c>
      <c r="V52" s="38" t="n">
        <f aca="false">'Sources &amp; Checks'!$B$14</f>
        <v>0.1</v>
      </c>
      <c r="W52" s="38" t="n">
        <f aca="false">'Sources &amp; Checks'!$B$14</f>
        <v>0.1</v>
      </c>
      <c r="X52" s="38" t="n">
        <f aca="false">'Sources &amp; Checks'!$B$14</f>
        <v>0.1</v>
      </c>
    </row>
    <row r="54" customFormat="false" ht="15.75" hidden="false" customHeight="true" outlineLevel="0" collapsed="false">
      <c r="A54" s="39" t="s">
        <v>10</v>
      </c>
      <c r="B54" s="40" t="s">
        <v>44</v>
      </c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2" t="n">
        <f aca="false">O45-O51</f>
        <v>2358.240562377</v>
      </c>
      <c r="P54" s="42" t="n">
        <f aca="false">P45-P51</f>
        <v>2552.71680075436</v>
      </c>
      <c r="Q54" s="42" t="n">
        <f aca="false">Q45-Q51</f>
        <v>2741.7029345702</v>
      </c>
      <c r="R54" s="42" t="n">
        <f aca="false">R45-R51</f>
        <v>2921.55864707801</v>
      </c>
      <c r="S54" s="42" t="n">
        <f aca="false">S45-S51</f>
        <v>3088.57441640264</v>
      </c>
      <c r="T54" s="42" t="n">
        <f aca="false">T45-T51</f>
        <v>3239.09094296199</v>
      </c>
      <c r="U54" s="42" t="n">
        <f aca="false">U45-U51</f>
        <v>3369.62630796336</v>
      </c>
      <c r="V54" s="42" t="n">
        <f aca="false">V45-V51</f>
        <v>3477.00506631046</v>
      </c>
      <c r="W54" s="42" t="n">
        <f aca="false">W45-W51</f>
        <v>3558.482885031</v>
      </c>
      <c r="X54" s="42" t="n">
        <f aca="false">X45-X51</f>
        <v>3611.86012830646</v>
      </c>
      <c r="Y54" s="42" t="n">
        <f aca="false">X54*(1+Y40)</f>
        <v>3666.03803023106</v>
      </c>
    </row>
    <row r="55" customFormat="false" ht="15.75" hidden="false" customHeight="true" outlineLevel="0" collapsed="false"/>
    <row r="56" customFormat="false" ht="15" hidden="false" customHeight="true" outlineLevel="0" collapsed="false">
      <c r="B56" s="24" t="s">
        <v>35</v>
      </c>
      <c r="E56" s="25" t="n">
        <f aca="false">E28</f>
        <v>427.3</v>
      </c>
      <c r="F56" s="25" t="n">
        <f aca="false">F28</f>
        <v>497.5</v>
      </c>
      <c r="G56" s="25" t="n">
        <f aca="false">G28</f>
        <v>561</v>
      </c>
      <c r="H56" s="25" t="n">
        <f aca="false">H28</f>
        <v>640.5</v>
      </c>
      <c r="I56" s="25" t="n">
        <f aca="false">I28</f>
        <v>748.7</v>
      </c>
      <c r="J56" s="25" t="n">
        <f aca="false">J28</f>
        <v>571</v>
      </c>
      <c r="K56" s="25" t="n">
        <f aca="false">K28</f>
        <v>719.4</v>
      </c>
      <c r="L56" s="25" t="n">
        <f aca="false">L28</f>
        <v>923.2</v>
      </c>
      <c r="M56" s="25" t="n">
        <f aca="false">M28</f>
        <v>1059.5</v>
      </c>
      <c r="N56" s="25" t="n">
        <f aca="false">N28</f>
        <v>1214.4</v>
      </c>
      <c r="O56" s="25" t="n">
        <f aca="false">O57*O39</f>
        <v>1224.921701325</v>
      </c>
      <c r="P56" s="25" t="n">
        <f aca="false">P57*P39</f>
        <v>1325.93691096094</v>
      </c>
      <c r="Q56" s="25" t="n">
        <f aca="false">Q57*Q39</f>
        <v>1424.10044026908</v>
      </c>
      <c r="R56" s="25" t="n">
        <f aca="false">R57*R39</f>
        <v>1517.52142915073</v>
      </c>
      <c r="S56" s="25" t="n">
        <f aca="false">S57*S39</f>
        <v>1604.27307085051</v>
      </c>
      <c r="T56" s="25" t="n">
        <f aca="false">T57*T39</f>
        <v>1682.45464516996</v>
      </c>
      <c r="U56" s="25" t="n">
        <f aca="false">U57*U39</f>
        <v>1750.25756737031</v>
      </c>
      <c r="V56" s="25" t="n">
        <f aca="false">V57*V39</f>
        <v>1806.03244185051</v>
      </c>
      <c r="W56" s="25" t="n">
        <f aca="false">W57*W39</f>
        <v>1848.35380207121</v>
      </c>
      <c r="X56" s="25" t="n">
        <f aca="false">X57*X39</f>
        <v>1876.07910910227</v>
      </c>
    </row>
    <row r="57" customFormat="false" ht="15" hidden="false" customHeight="true" outlineLevel="0" collapsed="false">
      <c r="B57" s="27" t="s">
        <v>31</v>
      </c>
      <c r="C57" s="30"/>
      <c r="E57" s="27" t="n">
        <f aca="false">E56/E20</f>
        <v>0.0653783775513327</v>
      </c>
      <c r="F57" s="27" t="n">
        <f aca="false">F56/F20</f>
        <v>0.0748367881103523</v>
      </c>
      <c r="G57" s="27" t="n">
        <f aca="false">G56/G20</f>
        <v>0.078450566354356</v>
      </c>
      <c r="H57" s="27" t="n">
        <f aca="false">H56/H20</f>
        <v>0.083209915036246</v>
      </c>
      <c r="I57" s="27" t="n">
        <f aca="false">I56/I20</f>
        <v>0.0881362716014503</v>
      </c>
      <c r="J57" s="27" t="n">
        <f aca="false">J56/J20</f>
        <v>0.349064677833476</v>
      </c>
      <c r="K57" s="27" t="n">
        <f aca="false">K56/K20</f>
        <v>0.149846903705555</v>
      </c>
      <c r="L57" s="27" t="n">
        <f aca="false">L56/L20</f>
        <v>0.0856782240700869</v>
      </c>
      <c r="M57" s="27" t="n">
        <f aca="false">M56/M20</f>
        <v>0.0788095627724304</v>
      </c>
      <c r="N57" s="27" t="n">
        <f aca="false">N56/N20</f>
        <v>0.0870631250672115</v>
      </c>
      <c r="O57" s="38" t="n">
        <f aca="false">'Sources &amp; Checks'!$B$21</f>
        <v>0.0805</v>
      </c>
      <c r="P57" s="38" t="n">
        <f aca="false">'Sources &amp; Checks'!$B$21</f>
        <v>0.0805</v>
      </c>
      <c r="Q57" s="38" t="n">
        <f aca="false">'Sources &amp; Checks'!$B$21</f>
        <v>0.0805</v>
      </c>
      <c r="R57" s="38" t="n">
        <f aca="false">'Sources &amp; Checks'!$B$21</f>
        <v>0.0805</v>
      </c>
      <c r="S57" s="38" t="n">
        <f aca="false">'Sources &amp; Checks'!$B$21</f>
        <v>0.0805</v>
      </c>
      <c r="T57" s="38" t="n">
        <f aca="false">'Sources &amp; Checks'!$B$21</f>
        <v>0.0805</v>
      </c>
      <c r="U57" s="38" t="n">
        <f aca="false">'Sources &amp; Checks'!$B$21</f>
        <v>0.0805</v>
      </c>
      <c r="V57" s="38" t="n">
        <f aca="false">'Sources &amp; Checks'!$B$21</f>
        <v>0.0805</v>
      </c>
      <c r="W57" s="38" t="n">
        <f aca="false">'Sources &amp; Checks'!$B$21</f>
        <v>0.0805</v>
      </c>
      <c r="X57" s="38" t="n">
        <f aca="false">'Sources &amp; Checks'!$B$21</f>
        <v>0.0805</v>
      </c>
    </row>
    <row r="58" customFormat="false" ht="15" hidden="false" customHeight="true" outlineLevel="0" collapsed="false">
      <c r="C58" s="30"/>
    </row>
    <row r="59" customFormat="false" ht="15" hidden="false" customHeight="true" outlineLevel="0" collapsed="false">
      <c r="B59" s="24" t="s">
        <v>36</v>
      </c>
      <c r="E59" s="25" t="n">
        <f aca="false">E31</f>
        <v>1217.7</v>
      </c>
      <c r="F59" s="25" t="n">
        <f aca="false">F31</f>
        <v>1449.8</v>
      </c>
      <c r="G59" s="25" t="n">
        <f aca="false">G31</f>
        <v>1470.6</v>
      </c>
      <c r="H59" s="25" t="n">
        <f aca="false">H31</f>
        <v>1546.7</v>
      </c>
      <c r="I59" s="25" t="n">
        <f aca="false">I31</f>
        <v>578.8</v>
      </c>
      <c r="J59" s="25" t="n">
        <f aca="false">J31</f>
        <v>294.7</v>
      </c>
      <c r="K59" s="25" t="n">
        <f aca="false">K31</f>
        <v>1181.6</v>
      </c>
      <c r="L59" s="25" t="n">
        <f aca="false">L31</f>
        <v>1914.7</v>
      </c>
      <c r="M59" s="25" t="n">
        <f aca="false">M31</f>
        <v>2391.9</v>
      </c>
      <c r="N59" s="25" t="n">
        <f aca="false">N31</f>
        <v>1552.5</v>
      </c>
      <c r="O59" s="25" t="n">
        <f aca="false">O60*O39</f>
        <v>2781.56132922</v>
      </c>
      <c r="P59" s="25" t="n">
        <f aca="false">P60*P39</f>
        <v>3010.94742016968</v>
      </c>
      <c r="Q59" s="25" t="n">
        <f aca="false">Q60*Q39</f>
        <v>3233.85789417624</v>
      </c>
      <c r="R59" s="25" t="n">
        <f aca="false">R60*R39</f>
        <v>3445.9989720342</v>
      </c>
      <c r="S59" s="25" t="n">
        <f aca="false">S60*S39</f>
        <v>3642.99524660215</v>
      </c>
      <c r="T59" s="25" t="n">
        <f aca="false">T60*T39</f>
        <v>3820.53054828657</v>
      </c>
      <c r="U59" s="25" t="n">
        <f aca="false">U60*U39</f>
        <v>3974.49792938251</v>
      </c>
      <c r="V59" s="25" t="n">
        <f aca="false">V60*V39</f>
        <v>4101.1519300655</v>
      </c>
      <c r="W59" s="25" t="n">
        <f aca="false">W60*W39</f>
        <v>4197.25559029337</v>
      </c>
      <c r="X59" s="25" t="n">
        <f aca="false">X60*X39</f>
        <v>4260.21442414777</v>
      </c>
    </row>
    <row r="60" customFormat="false" ht="15" hidden="false" customHeight="true" outlineLevel="0" collapsed="false">
      <c r="B60" s="27" t="s">
        <v>31</v>
      </c>
      <c r="C60" s="28"/>
      <c r="E60" s="27" t="n">
        <f aca="false">E59/E20</f>
        <v>0.186312310658221</v>
      </c>
      <c r="F60" s="27" t="n">
        <f aca="false">F59/F20</f>
        <v>0.21808718673847</v>
      </c>
      <c r="G60" s="27" t="n">
        <f aca="false">G59/G20</f>
        <v>0.205649559502168</v>
      </c>
      <c r="H60" s="27" t="n">
        <f aca="false">H59/H20</f>
        <v>0.200937979057864</v>
      </c>
      <c r="I60" s="27" t="n">
        <f aca="false">I59/I20</f>
        <v>0.0681358007251495</v>
      </c>
      <c r="J60" s="27" t="n">
        <f aca="false">J59/J20</f>
        <v>0.180156498349431</v>
      </c>
      <c r="K60" s="27" t="n">
        <f aca="false">K59/K20</f>
        <v>0.246120519069341</v>
      </c>
      <c r="L60" s="27" t="n">
        <f aca="false">L59/L20</f>
        <v>0.177695077585567</v>
      </c>
      <c r="M60" s="27" t="n">
        <f aca="false">M59/M20</f>
        <v>0.177918445677561</v>
      </c>
      <c r="N60" s="27" t="n">
        <f aca="false">N59/N20</f>
        <v>0.111302290568878</v>
      </c>
      <c r="O60" s="38" t="n">
        <f aca="false">'Sources &amp; Checks'!$B$22</f>
        <v>0.1828</v>
      </c>
      <c r="P60" s="38" t="n">
        <f aca="false">'Sources &amp; Checks'!$B$22</f>
        <v>0.1828</v>
      </c>
      <c r="Q60" s="38" t="n">
        <f aca="false">'Sources &amp; Checks'!$B$22</f>
        <v>0.1828</v>
      </c>
      <c r="R60" s="38" t="n">
        <f aca="false">'Sources &amp; Checks'!$B$22</f>
        <v>0.1828</v>
      </c>
      <c r="S60" s="38" t="n">
        <f aca="false">'Sources &amp; Checks'!$B$22</f>
        <v>0.1828</v>
      </c>
      <c r="T60" s="38" t="n">
        <f aca="false">'Sources &amp; Checks'!$B$22</f>
        <v>0.1828</v>
      </c>
      <c r="U60" s="38" t="n">
        <f aca="false">'Sources &amp; Checks'!$B$22</f>
        <v>0.1828</v>
      </c>
      <c r="V60" s="38" t="n">
        <f aca="false">'Sources &amp; Checks'!$B$22</f>
        <v>0.1828</v>
      </c>
      <c r="W60" s="38" t="n">
        <f aca="false">'Sources &amp; Checks'!$B$22</f>
        <v>0.1828</v>
      </c>
      <c r="X60" s="38" t="n">
        <f aca="false">'Sources &amp; Checks'!$B$22</f>
        <v>0.1828</v>
      </c>
    </row>
    <row r="62" customFormat="false" ht="15" hidden="false" customHeight="true" outlineLevel="0" collapsed="false">
      <c r="B62" s="24" t="s">
        <v>37</v>
      </c>
      <c r="E62" s="25" t="n">
        <f aca="false">E34</f>
        <v>-135.6</v>
      </c>
      <c r="F62" s="25" t="n">
        <f aca="false">F34</f>
        <v>-113.1</v>
      </c>
      <c r="G62" s="25" t="n">
        <f aca="false">G34</f>
        <v>-168.9</v>
      </c>
      <c r="H62" s="25" t="n">
        <f aca="false">H34</f>
        <v>-514.3</v>
      </c>
      <c r="I62" s="25" t="n">
        <f aca="false">I34</f>
        <v>388.5</v>
      </c>
      <c r="J62" s="25" t="n">
        <f aca="false">J34</f>
        <v>1703.2</v>
      </c>
      <c r="K62" s="25" t="n">
        <f aca="false">K34</f>
        <v>-1785.9</v>
      </c>
      <c r="L62" s="25" t="n">
        <f aca="false">L34</f>
        <v>-1353.9</v>
      </c>
      <c r="M62" s="25" t="n">
        <f aca="false">M34</f>
        <v>-19</v>
      </c>
      <c r="N62" s="25" t="n">
        <f aca="false">N34</f>
        <v>-480.3</v>
      </c>
      <c r="O62" s="25" t="n">
        <f aca="false">O63*O39</f>
        <v>-436.711215255</v>
      </c>
      <c r="P62" s="25" t="n">
        <f aca="false">P63*P39</f>
        <v>-472.725333473029</v>
      </c>
      <c r="Q62" s="25" t="n">
        <f aca="false">Q63*Q39</f>
        <v>-507.722765661149</v>
      </c>
      <c r="R62" s="25" t="n">
        <f aca="false">R63*R39</f>
        <v>-541.02937908852</v>
      </c>
      <c r="S62" s="25" t="n">
        <f aca="false">S63*S39</f>
        <v>-571.958225259747</v>
      </c>
      <c r="T62" s="25" t="n">
        <f aca="false">T63*T39</f>
        <v>-599.831656104072</v>
      </c>
      <c r="U62" s="25" t="n">
        <f aca="false">U63*U39</f>
        <v>-624.004871845066</v>
      </c>
      <c r="V62" s="25" t="n">
        <f aca="false">V63*V39</f>
        <v>-643.889827094529</v>
      </c>
      <c r="W62" s="25" t="n">
        <f aca="false">W63*W39</f>
        <v>-658.978312042778</v>
      </c>
      <c r="X62" s="25" t="n">
        <f aca="false">X63*X39</f>
        <v>-668.862986723419</v>
      </c>
    </row>
    <row r="63" customFormat="false" ht="15" hidden="false" customHeight="true" outlineLevel="0" collapsed="false">
      <c r="B63" s="27" t="s">
        <v>31</v>
      </c>
      <c r="C63" s="30"/>
      <c r="E63" s="27" t="n">
        <f aca="false">E62/E20</f>
        <v>-0.0207472688882769</v>
      </c>
      <c r="F63" s="27" t="n">
        <f aca="false">F62/F20</f>
        <v>-0.0170131472065947</v>
      </c>
      <c r="G63" s="27" t="n">
        <f aca="false">G62/G20</f>
        <v>-0.0236190742553489</v>
      </c>
      <c r="H63" s="27" t="n">
        <f aca="false">H62/H20</f>
        <v>-0.0668147686231715</v>
      </c>
      <c r="I63" s="27" t="n">
        <f aca="false">I62/I20</f>
        <v>0.0457338607147902</v>
      </c>
      <c r="J63" s="27" t="n">
        <f aca="false">J62/J20</f>
        <v>1.04120308106125</v>
      </c>
      <c r="K63" s="27" t="n">
        <f aca="false">K62/K20</f>
        <v>-0.37199275135912</v>
      </c>
      <c r="L63" s="27" t="n">
        <f aca="false">L62/L20</f>
        <v>-0.125649639913876</v>
      </c>
      <c r="M63" s="27" t="n">
        <f aca="false">M62/M20</f>
        <v>-0.00141329088501763</v>
      </c>
      <c r="N63" s="27" t="n">
        <f aca="false">N62/N20</f>
        <v>-0.0344338100871061</v>
      </c>
      <c r="O63" s="38" t="n">
        <f aca="false">'Sources &amp; Checks'!$B$23</f>
        <v>-0.0287</v>
      </c>
      <c r="P63" s="38" t="n">
        <f aca="false">'Sources &amp; Checks'!$B$23</f>
        <v>-0.0287</v>
      </c>
      <c r="Q63" s="38" t="n">
        <f aca="false">'Sources &amp; Checks'!$B$23</f>
        <v>-0.0287</v>
      </c>
      <c r="R63" s="38" t="n">
        <f aca="false">'Sources &amp; Checks'!$B$23</f>
        <v>-0.0287</v>
      </c>
      <c r="S63" s="38" t="n">
        <f aca="false">'Sources &amp; Checks'!$B$23</f>
        <v>-0.0287</v>
      </c>
      <c r="T63" s="38" t="n">
        <f aca="false">'Sources &amp; Checks'!$B$23</f>
        <v>-0.0287</v>
      </c>
      <c r="U63" s="38" t="n">
        <f aca="false">'Sources &amp; Checks'!$B$23</f>
        <v>-0.0287</v>
      </c>
      <c r="V63" s="38" t="n">
        <f aca="false">'Sources &amp; Checks'!$B$23</f>
        <v>-0.0287</v>
      </c>
      <c r="W63" s="38" t="n">
        <f aca="false">'Sources &amp; Checks'!$B$23</f>
        <v>-0.0287</v>
      </c>
      <c r="X63" s="38" t="n">
        <f aca="false">'Sources &amp; Checks'!$B$23</f>
        <v>-0.0287</v>
      </c>
    </row>
    <row r="64" customFormat="false" ht="15" hidden="false" customHeight="true" outlineLevel="0" collapsed="false">
      <c r="B64" s="27" t="s">
        <v>45</v>
      </c>
      <c r="O64" s="43" t="n">
        <f aca="false">1-O66/O54</f>
        <v>0.474899987095109</v>
      </c>
      <c r="P64" s="43" t="n">
        <f aca="false">1-P66/P54</f>
        <v>0.474899987095109</v>
      </c>
      <c r="Q64" s="43" t="n">
        <f aca="false">1-Q66/Q54</f>
        <v>0.474899987095109</v>
      </c>
      <c r="R64" s="43" t="n">
        <f aca="false">1-R66/R54</f>
        <v>0.474899987095109</v>
      </c>
      <c r="S64" s="43" t="n">
        <f aca="false">1-S66/S54</f>
        <v>0.474899987095109</v>
      </c>
      <c r="T64" s="43" t="n">
        <f aca="false">1-T66/T54</f>
        <v>0.474899987095109</v>
      </c>
      <c r="U64" s="43" t="n">
        <f aca="false">1-U66/U54</f>
        <v>0.474899987095109</v>
      </c>
      <c r="V64" s="43" t="n">
        <f aca="false">1-V66/V54</f>
        <v>0.474899987095109</v>
      </c>
      <c r="W64" s="43" t="n">
        <f aca="false">1-W66/W54</f>
        <v>0.474899987095109</v>
      </c>
      <c r="X64" s="43" t="n">
        <f aca="false">1-X66/X54</f>
        <v>0.474899987095109</v>
      </c>
      <c r="Y64" s="43" t="n">
        <f aca="false">Y40/$D$16</f>
        <v>0.174756282599543</v>
      </c>
    </row>
    <row r="66" customFormat="false" ht="15" hidden="false" customHeight="true" outlineLevel="0" collapsed="false">
      <c r="A66" s="39" t="s">
        <v>10</v>
      </c>
      <c r="B66" s="44" t="s">
        <v>46</v>
      </c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6" t="n">
        <f aca="false">O54+O56-O59-O62</f>
        <v>1238.312149737</v>
      </c>
      <c r="P66" s="46" t="n">
        <f aca="false">P54+P56-P59-P62</f>
        <v>1340.43162501864</v>
      </c>
      <c r="Q66" s="46" t="n">
        <f aca="false">Q54+Q56-Q59-Q62</f>
        <v>1439.66824632419</v>
      </c>
      <c r="R66" s="46" t="n">
        <f aca="false">R54+R56-R59-R62</f>
        <v>1534.11048328306</v>
      </c>
      <c r="S66" s="46" t="n">
        <f aca="false">S54+S56-S59-S62</f>
        <v>1621.81046591074</v>
      </c>
      <c r="T66" s="46" t="n">
        <f aca="false">T54+T56-T59-T62</f>
        <v>1700.84669594946</v>
      </c>
      <c r="U66" s="46" t="n">
        <f aca="false">U54+U56-U59-U62</f>
        <v>1769.39081779622</v>
      </c>
      <c r="V66" s="46" t="n">
        <f aca="false">V54+V56-V59-V62</f>
        <v>1825.77540518999</v>
      </c>
      <c r="W66" s="46" t="n">
        <f aca="false">W54+W56-W59-W62</f>
        <v>1868.55940885161</v>
      </c>
      <c r="X66" s="46" t="n">
        <f aca="false">X54+X56-X59-X62</f>
        <v>1896.58779998439</v>
      </c>
      <c r="Y66" s="46" t="n">
        <f aca="false">Y54*(1-Y64)</f>
        <v>3025.37485219933</v>
      </c>
    </row>
    <row r="67" customFormat="false" ht="15" hidden="false" customHeight="true" outlineLevel="0" collapsed="false">
      <c r="B67" s="47" t="s">
        <v>47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48" t="n">
        <f aca="false">O66/(1+$D$16)^O71</f>
        <v>1234.77648581277</v>
      </c>
      <c r="P67" s="48" t="n">
        <f aca="false">P66/(1+$D$16)^P71</f>
        <v>1279.02612587499</v>
      </c>
      <c r="Q67" s="48" t="n">
        <f aca="false">Q66/(1+$D$16)^Q71</f>
        <v>1265.12608380451</v>
      </c>
      <c r="R67" s="48" t="n">
        <f aca="false">R66/(1+$D$16)^R71</f>
        <v>1241.55126238475</v>
      </c>
      <c r="S67" s="48" t="n">
        <f aca="false">S66/(1+$D$16)^S71</f>
        <v>1208.77300058723</v>
      </c>
      <c r="T67" s="48" t="n">
        <f aca="false">T66/(1+$D$16)^T71</f>
        <v>1167.47195579427</v>
      </c>
      <c r="U67" s="48" t="n">
        <f aca="false">U66/(1+$D$16)^U71</f>
        <v>1118.51468317813</v>
      </c>
      <c r="V67" s="48" t="n">
        <f aca="false">V66/(1+$D$16)^V71</f>
        <v>1062.92325055651</v>
      </c>
      <c r="W67" s="48" t="n">
        <f aca="false">W66/(1+$D$16)^W71</f>
        <v>1001.8393803644</v>
      </c>
      <c r="X67" s="48" t="n">
        <f aca="false">X66/(1+$D$16)^X71</f>
        <v>936.484891714753</v>
      </c>
    </row>
    <row r="70" customFormat="false" ht="15" hidden="false" customHeight="true" outlineLevel="0" collapsed="false">
      <c r="A70" s="13" t="s">
        <v>10</v>
      </c>
      <c r="B70" s="49" t="s">
        <v>48</v>
      </c>
      <c r="O70" s="50" t="n">
        <f aca="false">YEARFRAC(D6,D7)</f>
        <v>0.0694444444444445</v>
      </c>
    </row>
    <row r="71" customFormat="false" ht="15" hidden="false" customHeight="true" outlineLevel="0" collapsed="false">
      <c r="B71" s="51" t="s">
        <v>49</v>
      </c>
      <c r="O71" s="51" t="n">
        <f aca="false">O70/2</f>
        <v>0.0347222222222222</v>
      </c>
      <c r="P71" s="51" t="n">
        <f aca="false">O70+0.5</f>
        <v>0.569444444444444</v>
      </c>
      <c r="Q71" s="51" t="n">
        <f aca="false">P71+1</f>
        <v>1.56944444444444</v>
      </c>
      <c r="R71" s="51" t="n">
        <f aca="false">Q71+1</f>
        <v>2.56944444444444</v>
      </c>
      <c r="S71" s="51" t="n">
        <f aca="false">R71+1</f>
        <v>3.56944444444444</v>
      </c>
      <c r="T71" s="51" t="n">
        <f aca="false">S71+1</f>
        <v>4.56944444444445</v>
      </c>
      <c r="U71" s="51" t="n">
        <f aca="false">T71+1</f>
        <v>5.56944444444445</v>
      </c>
      <c r="V71" s="51" t="n">
        <f aca="false">U71+1</f>
        <v>6.56944444444445</v>
      </c>
      <c r="W71" s="51" t="n">
        <f aca="false">V71+1</f>
        <v>7.56944444444445</v>
      </c>
      <c r="X71" s="51" t="n">
        <f aca="false">W71+1</f>
        <v>8.56944444444445</v>
      </c>
    </row>
    <row r="73" customFormat="false" ht="15" hidden="false" customHeight="true" outlineLevel="0" collapsed="false">
      <c r="B73" s="25" t="s">
        <v>50</v>
      </c>
      <c r="S73" s="52"/>
      <c r="T73" s="52"/>
      <c r="U73" s="52"/>
      <c r="V73" s="52"/>
      <c r="W73" s="52"/>
      <c r="X73" s="25" t="n">
        <f aca="false">Y66/(D16-D17)</f>
        <v>42710.8785354486</v>
      </c>
    </row>
    <row r="74" customFormat="false" ht="15" hidden="false" customHeight="true" outlineLevel="0" collapsed="false">
      <c r="B74" s="25" t="s">
        <v>51</v>
      </c>
      <c r="S74" s="52"/>
      <c r="T74" s="52"/>
      <c r="U74" s="52"/>
      <c r="V74" s="52"/>
      <c r="W74" s="52"/>
      <c r="X74" s="25" t="n">
        <f aca="false">X73/(1+D16)^X71</f>
        <v>21089.5021367536</v>
      </c>
    </row>
    <row r="75" customFormat="false" ht="15" hidden="false" customHeight="true" outlineLevel="0" collapsed="false">
      <c r="B75" s="25" t="s">
        <v>52</v>
      </c>
      <c r="S75" s="25" t="n">
        <f aca="false">SUM(O67:X67)+X74</f>
        <v>32605.9892568259</v>
      </c>
      <c r="T75" s="52"/>
      <c r="U75" s="52"/>
      <c r="V75" s="52"/>
      <c r="W75" s="52"/>
      <c r="X75" s="52"/>
    </row>
    <row r="76" customFormat="false" ht="15" hidden="false" customHeight="true" outlineLevel="0" collapsed="false">
      <c r="B76" s="25" t="s">
        <v>53</v>
      </c>
      <c r="S76" s="25" t="n">
        <f aca="false">'Sources &amp; Checks'!$B$6</f>
        <v>2400</v>
      </c>
      <c r="T76" s="52"/>
      <c r="U76" s="52"/>
      <c r="V76" s="52"/>
      <c r="W76" s="52"/>
      <c r="X76" s="52"/>
    </row>
    <row r="77" customFormat="false" ht="15" hidden="false" customHeight="true" outlineLevel="0" collapsed="false">
      <c r="B77" s="25" t="s">
        <v>54</v>
      </c>
      <c r="S77" s="25" t="n">
        <f aca="false">'Sources &amp; Checks'!$B$7</f>
        <v>1500</v>
      </c>
    </row>
    <row r="78" customFormat="false" ht="15" hidden="false" customHeight="true" outlineLevel="0" collapsed="false">
      <c r="A78" s="39" t="s">
        <v>10</v>
      </c>
      <c r="B78" s="53" t="s">
        <v>55</v>
      </c>
      <c r="S78" s="25" t="n">
        <f aca="false">S75+S76-S77</f>
        <v>33505.9892568259</v>
      </c>
      <c r="T78" s="52"/>
      <c r="U78" s="52"/>
      <c r="V78" s="52"/>
      <c r="W78" s="52"/>
      <c r="X78" s="52"/>
    </row>
    <row r="80" customFormat="false" ht="15" hidden="false" customHeight="true" outlineLevel="0" collapsed="false">
      <c r="B80" s="54" t="s">
        <v>56</v>
      </c>
      <c r="S80" s="54" t="n">
        <f aca="false">'Sources &amp; Checks'!$B$9</f>
        <v>1066.8</v>
      </c>
    </row>
    <row r="81" customFormat="false" ht="15" hidden="false" customHeight="true" outlineLevel="0" collapsed="false">
      <c r="A81" s="55" t="s">
        <v>10</v>
      </c>
      <c r="B81" s="56" t="s">
        <v>57</v>
      </c>
      <c r="S81" s="57" t="n">
        <f aca="false">S78/S80</f>
        <v>31.4079389359073</v>
      </c>
      <c r="T81" s="58"/>
      <c r="U81" s="58"/>
      <c r="V81" s="58"/>
      <c r="W81" s="58"/>
      <c r="X81" s="58"/>
    </row>
    <row r="85" customFormat="false" ht="15" hidden="false" customHeight="true" outlineLevel="0" collapsed="false">
      <c r="A85" s="59"/>
      <c r="B85" s="60" t="s">
        <v>58</v>
      </c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</row>
    <row r="86" customFormat="false" ht="15" hidden="false" customHeight="true" outlineLevel="0" collapsed="false">
      <c r="B86" s="62" t="s">
        <v>59</v>
      </c>
      <c r="D86" s="62" t="s">
        <v>60</v>
      </c>
      <c r="F86" s="62" t="s">
        <v>61</v>
      </c>
      <c r="H86" s="62" t="s">
        <v>21</v>
      </c>
      <c r="J86" s="62" t="s">
        <v>23</v>
      </c>
      <c r="L86" s="62" t="s">
        <v>62</v>
      </c>
      <c r="N86" s="62" t="s">
        <v>63</v>
      </c>
    </row>
    <row r="87" customFormat="false" ht="15" hidden="false" customHeight="true" outlineLevel="0" collapsed="false">
      <c r="B87" s="63" t="s">
        <v>13</v>
      </c>
      <c r="D87" s="64" t="n">
        <f aca="false">$H$11</f>
        <v>0.07</v>
      </c>
      <c r="F87" s="65" t="n">
        <f aca="false">$H$13</f>
        <v>0.16</v>
      </c>
      <c r="H87" s="65" t="n">
        <f aca="false">H16</f>
        <v>0.092</v>
      </c>
      <c r="J87" s="65" t="n">
        <f aca="false">$H$17</f>
        <v>0.01</v>
      </c>
      <c r="L87" s="66" t="n">
        <f aca="false">Calc!$C$30</f>
        <v>23.6738362380063</v>
      </c>
      <c r="N87" s="65" t="n">
        <f aca="false">L87/'Sources &amp; Checks'!$B$5-1</f>
        <v>-0.0960734540661964</v>
      </c>
    </row>
    <row r="88" customFormat="false" ht="15" hidden="false" customHeight="true" outlineLevel="0" collapsed="false">
      <c r="B88" s="67" t="s">
        <v>64</v>
      </c>
      <c r="D88" s="68" t="n">
        <f aca="false">$L$11</f>
        <v>0.0909</v>
      </c>
      <c r="F88" s="69" t="n">
        <f aca="false">$L$13</f>
        <v>0.1722</v>
      </c>
      <c r="H88" s="69" t="n">
        <f aca="false">WACC!F22</f>
        <v>0.0858338239797238</v>
      </c>
      <c r="J88" s="69" t="n">
        <f aca="false">$L$17</f>
        <v>0.015</v>
      </c>
      <c r="L88" s="70" t="n">
        <f aca="false">Calc!$C$47</f>
        <v>31.4079389359073</v>
      </c>
      <c r="N88" s="69" t="n">
        <f aca="false">L88/'Sources &amp; Checks'!$B$5-1</f>
        <v>0.199234018171337</v>
      </c>
    </row>
    <row r="89" customFormat="false" ht="15" hidden="false" customHeight="true" outlineLevel="0" collapsed="false">
      <c r="B89" s="63" t="s">
        <v>15</v>
      </c>
      <c r="D89" s="64" t="n">
        <f aca="false">$P$11</f>
        <v>0.11</v>
      </c>
      <c r="F89" s="65" t="n">
        <f aca="false">$P$13</f>
        <v>0.185</v>
      </c>
      <c r="H89" s="65" t="n">
        <f aca="false">P16</f>
        <v>0.082</v>
      </c>
      <c r="J89" s="65" t="n">
        <f aca="false">$P$17</f>
        <v>0.02</v>
      </c>
      <c r="L89" s="66" t="n">
        <f aca="false">Calc!$C$64</f>
        <v>40.0421864094923</v>
      </c>
      <c r="N89" s="65" t="n">
        <f aca="false">L89/'Sources &amp; Checks'!$B$5-1</f>
        <v>0.528911279476604</v>
      </c>
    </row>
    <row r="90" customFormat="false" ht="15" hidden="false" customHeight="true" outlineLevel="0" collapsed="false">
      <c r="B90" s="71" t="s">
        <v>65</v>
      </c>
    </row>
    <row r="91" customFormat="false" ht="15" hidden="false" customHeight="true" outlineLevel="0" collapsed="false">
      <c r="A91" s="59" t="s">
        <v>10</v>
      </c>
      <c r="B91" s="72" t="s">
        <v>66</v>
      </c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</row>
    <row r="92" customFormat="false" ht="15" hidden="false" customHeight="true" outlineLevel="0" collapsed="false">
      <c r="B92" s="62" t="s">
        <v>67</v>
      </c>
      <c r="D92" s="73" t="n">
        <v>0.005</v>
      </c>
      <c r="F92" s="73" t="n">
        <v>0.01</v>
      </c>
      <c r="H92" s="73" t="n">
        <v>0.015</v>
      </c>
      <c r="J92" s="73" t="n">
        <v>0.02</v>
      </c>
      <c r="L92" s="73" t="n">
        <v>0.025</v>
      </c>
    </row>
    <row r="93" customFormat="false" ht="15" hidden="false" customHeight="true" outlineLevel="0" collapsed="false">
      <c r="B93" s="74" t="n">
        <v>0.075</v>
      </c>
      <c r="D93" s="75" t="n">
        <f aca="false">(SUMPRODUCT(Calc!$F$76:$O$76/(1+$B93)^$O$71:$X$71)+(Calc!$O$72*(1+D$92)*(1-D$92/$B93)/($B93-D$92))/(1+$B93)^$X$71+'Sources &amp; Checks'!$B$6-'Sources &amp; Checks'!$B$7)/'Sources &amp; Checks'!$B$9</f>
        <v>35.1464958502199</v>
      </c>
      <c r="F93" s="75" t="n">
        <f aca="false">(SUMPRODUCT(Calc!$F$93:$O$93/(1+$B93)^$O$71:$X$71)+(Calc!$O$89*(1+F$92)*(1-F$92/$B93)/($B93-F$92))/(1+$B93)^$X$71+'Sources &amp; Checks'!$B$6-'Sources &amp; Checks'!$B$7)/'Sources &amp; Checks'!$B$9</f>
        <v>35.9256171420683</v>
      </c>
      <c r="H93" s="75" t="n">
        <f aca="false">(SUMPRODUCT(Calc!$F$110:$O$110/(1+$B93)^$O$71:$X$71)+(Calc!$O$106*(1+H$92)*(1-H$92/$B93)/($B93-H$92))/(1+$B93)^$X$71+'Sources &amp; Checks'!$B$6-'Sources &amp; Checks'!$B$7)/'Sources &amp; Checks'!$B$9</f>
        <v>36.7236441890427</v>
      </c>
      <c r="J93" s="75" t="n">
        <f aca="false">(SUMPRODUCT(Calc!$F$127:$O$127/(1+$B93)^$O$71:$X$71)+(Calc!$O$123*(1+J$92)*(1-J$92/$B93)/($B93-J$92))/(1+$B93)^$X$71+'Sources &amp; Checks'!$B$6-'Sources &amp; Checks'!$B$7)/'Sources &amp; Checks'!$B$9</f>
        <v>37.5409835635921</v>
      </c>
      <c r="L93" s="75" t="n">
        <f aca="false">(SUMPRODUCT(Calc!$F$144:$O$144/(1+$B93)^$O$71:$X$71)+(Calc!$O$140*(1+L$92)*(1-L$92/$B93)/($B93-L$92))/(1+$B93)^$X$71+'Sources &amp; Checks'!$B$6-'Sources &amp; Checks'!$B$7)/'Sources &amp; Checks'!$B$9</f>
        <v>38.3780492650163</v>
      </c>
    </row>
    <row r="94" customFormat="false" ht="15" hidden="false" customHeight="true" outlineLevel="0" collapsed="false">
      <c r="B94" s="74" t="n">
        <v>0.08</v>
      </c>
      <c r="D94" s="75" t="n">
        <f aca="false">(SUMPRODUCT(Calc!$F$76:$O$76/(1+$B94)^$O$71:$X$71)+(Calc!$O$72*(1+D$92)*(1-D$92/$B94)/($B94-D$92))/(1+$B94)^$X$71+'Sources &amp; Checks'!$B$6-'Sources &amp; Checks'!$B$7)/'Sources &amp; Checks'!$B$9</f>
        <v>32.64596318851</v>
      </c>
      <c r="F94" s="75" t="n">
        <f aca="false">(SUMPRODUCT(Calc!$F$93:$O$93/(1+$B94)^$O$71:$X$71)+(Calc!$O$89*(1+F$92)*(1-F$92/$B94)/($B94-F$92))/(1+$B94)^$X$71+'Sources &amp; Checks'!$B$6-'Sources &amp; Checks'!$B$7)/'Sources &amp; Checks'!$B$9</f>
        <v>33.3541944800405</v>
      </c>
      <c r="H94" s="75" t="n">
        <f aca="false">(SUMPRODUCT(Calc!$F$110:$O$110/(1+$B94)^$O$71:$X$71)+(Calc!$O$106*(1+H$92)*(1-H$92/$B94)/($B94-H$92))/(1+$B94)^$X$71+'Sources &amp; Checks'!$B$6-'Sources &amp; Checks'!$B$7)/'Sources &amp; Checks'!$B$9</f>
        <v>34.0795347262248</v>
      </c>
      <c r="J94" s="75" t="n">
        <f aca="false">(SUMPRODUCT(Calc!$F$127:$O$127/(1+$B94)^$O$71:$X$71)+(Calc!$O$123*(1+J$92)*(1-J$92/$B94)/($B94-J$92))/(1+$B94)^$X$71+'Sources &amp; Checks'!$B$6-'Sources &amp; Checks'!$B$7)/'Sources &amp; Checks'!$B$9</f>
        <v>34.8223511901204</v>
      </c>
      <c r="L94" s="75" t="n">
        <f aca="false">(SUMPRODUCT(Calc!$F$144:$O$144/(1+$B94)^$O$71:$X$71)+(Calc!$O$140*(1+L$92)*(1-L$92/$B94)/($B94-L$92))/(1+$B94)^$X$71+'Sources &amp; Checks'!$B$6-'Sources &amp; Checks'!$B$7)/'Sources &amp; Checks'!$B$9</f>
        <v>35.5830178371213</v>
      </c>
    </row>
    <row r="95" customFormat="false" ht="15" hidden="false" customHeight="true" outlineLevel="0" collapsed="false">
      <c r="B95" s="74" t="n">
        <v>0.085</v>
      </c>
      <c r="D95" s="75" t="n">
        <f aca="false">(SUMPRODUCT(Calc!$F$76:$O$76/(1+$B95)^$O$71:$X$71)+(Calc!$O$72*(1+D$92)*(1-D$92/$B95)/($B95-D$92))/(1+$B95)^$X$71+'Sources &amp; Checks'!$B$6-'Sources &amp; Checks'!$B$7)/'Sources &amp; Checks'!$B$9</f>
        <v>30.4572401810479</v>
      </c>
      <c r="F95" s="75" t="n">
        <f aca="false">(SUMPRODUCT(Calc!$F$93:$O$93/(1+$B95)^$O$71:$X$71)+(Calc!$O$89*(1+F$92)*(1-F$92/$B95)/($B95-F$92))/(1+$B95)^$X$71+'Sources &amp; Checks'!$B$6-'Sources &amp; Checks'!$B$7)/'Sources &amp; Checks'!$B$9</f>
        <v>31.1037334341799</v>
      </c>
      <c r="H95" s="75" t="n">
        <f aca="false">(SUMPRODUCT(Calc!$F$110:$O$110/(1+$B95)^$O$71:$X$71)+(Calc!$O$106*(1+H$92)*(1-H$92/$B95)/($B95-H$92))/(1+$B95)^$X$71+'Sources &amp; Checks'!$B$6-'Sources &amp; Checks'!$B$7)/'Sources &amp; Checks'!$B$9</f>
        <v>31.7657736273645</v>
      </c>
      <c r="J95" s="75" t="n">
        <f aca="false">(SUMPRODUCT(Calc!$F$127:$O$127/(1+$B95)^$O$71:$X$71)+(Calc!$O$123*(1+J$92)*(1-J$92/$B95)/($B95-J$92))/(1+$B95)^$X$71+'Sources &amp; Checks'!$B$6-'Sources &amp; Checks'!$B$7)/'Sources &amp; Checks'!$B$9</f>
        <v>32.4436938806466</v>
      </c>
      <c r="L95" s="75" t="n">
        <f aca="false">(SUMPRODUCT(Calc!$F$144:$O$144/(1+$B95)^$O$71:$X$71)+(Calc!$O$140*(1+L$92)*(1-L$92/$B95)/($B95-L$92))/(1+$B95)^$X$71+'Sources &amp; Checks'!$B$6-'Sources &amp; Checks'!$B$7)/'Sources &amp; Checks'!$B$9</f>
        <v>33.1378333874326</v>
      </c>
    </row>
    <row r="96" customFormat="false" ht="15" hidden="false" customHeight="true" outlineLevel="0" collapsed="false">
      <c r="B96" s="76" t="n">
        <f aca="false">WACC!F22</f>
        <v>0.0858338239797238</v>
      </c>
      <c r="D96" s="75" t="n">
        <f aca="false">(SUMPRODUCT(Calc!$F$76:$O$76/(1+$B96)^$O$71:$X$71)+(Calc!$O$72*(1+D$92)*(1-D$92/$B96)/($B96-D$92))/(1+$B96)^$X$71+'Sources &amp; Checks'!$B$6-'Sources &amp; Checks'!$B$7)/'Sources &amp; Checks'!$B$9</f>
        <v>30.1186866723368</v>
      </c>
      <c r="F96" s="75" t="n">
        <f aca="false">(SUMPRODUCT(Calc!$F$93:$O$93/(1+$B96)^$O$71:$X$71)+(Calc!$O$89*(1+F$92)*(1-F$92/$B96)/($B96-F$92))/(1+$B96)^$X$71+'Sources &amp; Checks'!$B$6-'Sources &amp; Checks'!$B$7)/'Sources &amp; Checks'!$B$9</f>
        <v>30.7556596366465</v>
      </c>
      <c r="H96" s="75" t="n">
        <f aca="false">(SUMPRODUCT(Calc!$F$110:$O$110/(1+$B96)^$O$71:$X$71)+(Calc!$O$106*(1+H$92)*(1-H$92/$B96)/($B96-H$92))/(1+$B96)^$X$71+'Sources &amp; Checks'!$B$6-'Sources &amp; Checks'!$B$7)/'Sources &amp; Checks'!$B$9</f>
        <v>31.4079389359073</v>
      </c>
      <c r="J96" s="75" t="n">
        <f aca="false">(SUMPRODUCT(Calc!$F$127:$O$127/(1+$B96)^$O$71:$X$71)+(Calc!$O$123*(1+J$92)*(1-J$92/$B96)/($B96-J$92))/(1+$B96)^$X$71+'Sources &amp; Checks'!$B$6-'Sources &amp; Checks'!$B$7)/'Sources &amp; Checks'!$B$9</f>
        <v>32.0758524337393</v>
      </c>
      <c r="L96" s="75" t="n">
        <f aca="false">(SUMPRODUCT(Calc!$F$144:$O$144/(1+$B96)^$O$71:$X$71)+(Calc!$O$140*(1+L$92)*(1-L$92/$B96)/($B96-L$92))/(1+$B96)^$X$71+'Sources &amp; Checks'!$B$6-'Sources &amp; Checks'!$B$7)/'Sources &amp; Checks'!$B$9</f>
        <v>32.7597339703212</v>
      </c>
    </row>
    <row r="97" customFormat="false" ht="15" hidden="false" customHeight="true" outlineLevel="0" collapsed="false">
      <c r="B97" s="74" t="n">
        <v>0.09</v>
      </c>
      <c r="D97" s="75" t="n">
        <f aca="false">(SUMPRODUCT(Calc!$F$76:$O$76/(1+$B97)^$O$71:$X$71)+(Calc!$O$72*(1+D$92)*(1-D$92/$B97)/($B97-D$92))/(1+$B97)^$X$71+'Sources &amp; Checks'!$B$6-'Sources &amp; Checks'!$B$7)/'Sources &amp; Checks'!$B$9</f>
        <v>28.5275808903191</v>
      </c>
      <c r="F97" s="75" t="n">
        <f aca="false">(SUMPRODUCT(Calc!$F$93:$O$93/(1+$B97)^$O$71:$X$71)+(Calc!$O$89*(1+F$92)*(1-F$92/$B97)/($B97-F$92))/(1+$B97)^$X$71+'Sources &amp; Checks'!$B$6-'Sources &amp; Checks'!$B$7)/'Sources &amp; Checks'!$B$9</f>
        <v>29.11992850909</v>
      </c>
      <c r="H97" s="75" t="n">
        <f aca="false">(SUMPRODUCT(Calc!$F$110:$O$110/(1+$B97)^$O$71:$X$71)+(Calc!$O$106*(1+H$92)*(1-H$92/$B97)/($B97-H$92))/(1+$B97)^$X$71+'Sources &amp; Checks'!$B$6-'Sources &amp; Checks'!$B$7)/'Sources &amp; Checks'!$B$9</f>
        <v>29.7264557041483</v>
      </c>
      <c r="J97" s="75" t="n">
        <f aca="false">(SUMPRODUCT(Calc!$F$127:$O$127/(1+$B97)^$O$71:$X$71)+(Calc!$O$123*(1+J$92)*(1-J$92/$B97)/($B97-J$92))/(1+$B97)^$X$71+'Sources &amp; Checks'!$B$6-'Sources &amp; Checks'!$B$7)/'Sources &amp; Checks'!$B$9</f>
        <v>30.3474657342544</v>
      </c>
      <c r="L97" s="75" t="n">
        <f aca="false">(SUMPRODUCT(Calc!$F$144:$O$144/(1+$B97)^$O$71:$X$71)+(Calc!$O$140*(1+L$92)*(1-L$92/$B97)/($B97-L$92))/(1+$B97)^$X$71+'Sources &amp; Checks'!$B$6-'Sources &amp; Checks'!$B$7)/'Sources &amp; Checks'!$B$9</f>
        <v>30.9832673817196</v>
      </c>
    </row>
    <row r="98" customFormat="false" ht="15" hidden="false" customHeight="true" outlineLevel="0" collapsed="false">
      <c r="B98" s="74" t="n">
        <v>0.095</v>
      </c>
      <c r="D98" s="75" t="n">
        <f aca="false">(SUMPRODUCT(Calc!$F$76:$O$76/(1+$B98)^$O$71:$X$71)+(Calc!$O$72*(1+D$92)*(1-D$92/$B98)/($B98-D$92))/(1+$B98)^$X$71+'Sources &amp; Checks'!$B$6-'Sources &amp; Checks'!$B$7)/'Sources &amp; Checks'!$B$9</f>
        <v>26.8153815746558</v>
      </c>
      <c r="F98" s="75" t="n">
        <f aca="false">(SUMPRODUCT(Calc!$F$93:$O$93/(1+$B98)^$O$71:$X$71)+(Calc!$O$89*(1+F$92)*(1-F$92/$B98)/($B98-F$92))/(1+$B98)^$X$71+'Sources &amp; Checks'!$B$6-'Sources &amp; Checks'!$B$7)/'Sources &amp; Checks'!$B$9</f>
        <v>27.3599463451583</v>
      </c>
      <c r="H98" s="75" t="n">
        <f aca="false">(SUMPRODUCT(Calc!$F$110:$O$110/(1+$B98)^$O$71:$X$71)+(Calc!$O$106*(1+H$92)*(1-H$92/$B98)/($B98-H$92))/(1+$B98)^$X$71+'Sources &amp; Checks'!$B$6-'Sources &amp; Checks'!$B$7)/'Sources &amp; Checks'!$B$9</f>
        <v>27.9174863411745</v>
      </c>
      <c r="J98" s="75" t="n">
        <f aca="false">(SUMPRODUCT(Calc!$F$127:$O$127/(1+$B98)^$O$71:$X$71)+(Calc!$O$123*(1+J$92)*(1-J$92/$B98)/($B98-J$92))/(1+$B98)^$X$71+'Sources &amp; Checks'!$B$6-'Sources &amp; Checks'!$B$7)/'Sources &amp; Checks'!$B$9</f>
        <v>28.488278544632</v>
      </c>
      <c r="L98" s="75" t="n">
        <f aca="false">(SUMPRODUCT(Calc!$F$144:$O$144/(1+$B98)^$O$71:$X$71)+(Calc!$O$140*(1+L$92)*(1-L$92/$B98)/($B98-L$92))/(1+$B98)^$X$71+'Sources &amp; Checks'!$B$6-'Sources &amp; Checks'!$B$7)/'Sources &amp; Checks'!$B$9</f>
        <v>29.0726049774556</v>
      </c>
    </row>
    <row r="99" customFormat="false" ht="15" hidden="false" customHeight="true" outlineLevel="0" collapsed="false">
      <c r="B99" s="74" t="n">
        <v>0.1</v>
      </c>
      <c r="D99" s="75" t="n">
        <f aca="false">(SUMPRODUCT(Calc!$F$76:$O$76/(1+$B99)^$O$71:$X$71)+(Calc!$O$72*(1+D$92)*(1-D$92/$B99)/($B99-D$92))/(1+$B99)^$X$71+'Sources &amp; Checks'!$B$6-'Sources &amp; Checks'!$B$7)/'Sources &amp; Checks'!$B$9</f>
        <v>25.287393138331</v>
      </c>
      <c r="F99" s="75" t="n">
        <f aca="false">(SUMPRODUCT(Calc!$F$93:$O$93/(1+$B99)^$O$71:$X$71)+(Calc!$O$89*(1+F$92)*(1-F$92/$B99)/($B99-F$92))/(1+$B99)^$X$71+'Sources &amp; Checks'!$B$6-'Sources &amp; Checks'!$B$7)/'Sources &amp; Checks'!$B$9</f>
        <v>25.7895556003121</v>
      </c>
      <c r="H99" s="75" t="n">
        <f aca="false">(SUMPRODUCT(Calc!$F$110:$O$110/(1+$B99)^$O$71:$X$71)+(Calc!$O$106*(1+H$92)*(1-H$92/$B99)/($B99-H$92))/(1+$B99)^$X$71+'Sources &amp; Checks'!$B$6-'Sources &amp; Checks'!$B$7)/'Sources &amp; Checks'!$B$9</f>
        <v>26.3036266825938</v>
      </c>
      <c r="J99" s="75" t="n">
        <f aca="false">(SUMPRODUCT(Calc!$F$127:$O$127/(1+$B99)^$O$71:$X$71)+(Calc!$O$123*(1+J$92)*(1-J$92/$B99)/($B99-J$92))/(1+$B99)^$X$71+'Sources &amp; Checks'!$B$6-'Sources &amp; Checks'!$B$7)/'Sources &amp; Checks'!$B$9</f>
        <v>26.8298601179179</v>
      </c>
      <c r="L99" s="75" t="n">
        <f aca="false">(SUMPRODUCT(Calc!$F$144:$O$144/(1+$B99)^$O$71:$X$71)+(Calc!$O$140*(1+L$92)*(1-L$92/$B99)/($B99-L$92))/(1+$B99)^$X$71+'Sources &amp; Checks'!$B$6-'Sources &amp; Checks'!$B$7)/'Sources &amp; Checks'!$B$9</f>
        <v>27.3685142514194</v>
      </c>
    </row>
    <row r="101" customFormat="false" ht="15" hidden="false" customHeight="true" outlineLevel="0" collapsed="false">
      <c r="B101" s="77" t="str">
        <f aca="false">"⬛ = base case (WACC "&amp;TEXT(WACC!$F$22,"0.00%")&amp;", TGR "&amp;TEXT(DCF!$L$17,"0.0%")&amp;"). Each TGR column uses its own growth path, fading to that rate by FY35. Current price: €"&amp;TEXT('Sources &amp; Checks'!$B$5,"0.00")&amp;"."</f>
        <v>⬛ = base case (WACC 8.58%, TGR 1.5%). Each TGR column uses its own growth path, fading to that rate by FY35. Current price: €26.19.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10"/>
  </cols>
  <sheetData>
    <row r="1" customFormat="false" ht="15" hidden="false" customHeight="true" outlineLevel="0" collapsed="false">
      <c r="B1" s="78" t="s">
        <v>68</v>
      </c>
    </row>
    <row r="3" customFormat="false" ht="15" hidden="false" customHeight="true" outlineLevel="0" collapsed="false">
      <c r="B3" s="79" t="s">
        <v>69</v>
      </c>
      <c r="C3" s="79"/>
      <c r="D3" s="79"/>
    </row>
    <row r="4" customFormat="false" ht="15" hidden="false" customHeight="true" outlineLevel="0" collapsed="false">
      <c r="B4" s="80" t="s">
        <v>70</v>
      </c>
      <c r="C4" s="81" t="s">
        <v>71</v>
      </c>
      <c r="D4" s="81" t="s">
        <v>72</v>
      </c>
    </row>
    <row r="5" customFormat="false" ht="15" hidden="false" customHeight="true" outlineLevel="0" collapsed="false">
      <c r="B5" s="80" t="s">
        <v>73</v>
      </c>
      <c r="C5" s="81" t="s">
        <v>74</v>
      </c>
      <c r="D5" s="81" t="s">
        <v>75</v>
      </c>
    </row>
    <row r="6" customFormat="false" ht="15" hidden="false" customHeight="true" outlineLevel="0" collapsed="false">
      <c r="B6" s="80" t="s">
        <v>76</v>
      </c>
      <c r="C6" s="81" t="s">
        <v>77</v>
      </c>
      <c r="D6" s="81" t="s">
        <v>78</v>
      </c>
    </row>
    <row r="8" customFormat="false" ht="15" hidden="false" customHeight="true" outlineLevel="0" collapsed="false">
      <c r="B8" s="79" t="s">
        <v>79</v>
      </c>
      <c r="C8" s="79"/>
      <c r="D8" s="79"/>
    </row>
    <row r="9" customFormat="false" ht="15" hidden="false" customHeight="true" outlineLevel="0" collapsed="false">
      <c r="B9" s="81" t="s">
        <v>80</v>
      </c>
    </row>
    <row r="10" customFormat="false" ht="15" hidden="false" customHeight="true" outlineLevel="0" collapsed="false">
      <c r="B10" s="81" t="s">
        <v>81</v>
      </c>
    </row>
    <row r="11" customFormat="false" ht="15" hidden="false" customHeight="true" outlineLevel="0" collapsed="false">
      <c r="B11" s="81" t="s">
        <v>82</v>
      </c>
    </row>
    <row r="12" customFormat="false" ht="15" hidden="false" customHeight="true" outlineLevel="0" collapsed="false">
      <c r="B12" s="8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Z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9.83"/>
    <col collapsed="false" customWidth="true" hidden="false" outlineLevel="0" max="3" min="3" style="1" width="28.83"/>
    <col collapsed="false" customWidth="true" hidden="false" outlineLevel="0" max="4" min="4" style="1" width="26"/>
    <col collapsed="false" customWidth="true" hidden="false" outlineLevel="0" max="5" min="5" style="1" width="23.33"/>
    <col collapsed="false" customWidth="true" hidden="false" outlineLevel="0" max="7" min="6" style="1" width="14"/>
    <col collapsed="false" customWidth="true" hidden="false" outlineLevel="0" max="8" min="8" style="1" width="23.16"/>
    <col collapsed="false" customWidth="true" hidden="false" outlineLevel="0" max="24" min="9" style="1" width="14"/>
    <col collapsed="false" customWidth="true" hidden="false" outlineLevel="0" max="25" min="25" style="1" width="20.33"/>
    <col collapsed="false" customWidth="true" hidden="false" outlineLevel="0" max="26" min="26" style="1" width="14"/>
  </cols>
  <sheetData>
    <row r="2" s="2" customFormat="true" ht="21" hidden="false" customHeight="true" outlineLevel="0" collapsed="false">
      <c r="B2" s="82" t="s">
        <v>84</v>
      </c>
    </row>
    <row r="4" customFormat="false" ht="15.75" hidden="false" customHeight="true" outlineLevel="0" collapsed="false"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83" t="s">
        <v>85</v>
      </c>
      <c r="O4" s="83"/>
      <c r="P4" s="83"/>
      <c r="Q4" s="83"/>
      <c r="R4" s="83"/>
      <c r="S4" s="15"/>
      <c r="T4" s="83" t="s">
        <v>86</v>
      </c>
      <c r="U4" s="83"/>
      <c r="V4" s="83"/>
      <c r="W4" s="83"/>
      <c r="X4" s="83"/>
      <c r="Y4" s="84" t="s">
        <v>87</v>
      </c>
      <c r="Z4" s="84"/>
    </row>
    <row r="5" customFormat="false" ht="15.75" hidden="false" customHeight="true" outlineLevel="0" collapsed="false">
      <c r="B5" s="33"/>
      <c r="C5" s="33"/>
      <c r="D5" s="33"/>
      <c r="E5" s="33"/>
      <c r="F5" s="33"/>
      <c r="G5" s="33"/>
      <c r="H5" s="85" t="s">
        <v>88</v>
      </c>
      <c r="I5" s="86"/>
      <c r="J5" s="85" t="s">
        <v>89</v>
      </c>
      <c r="K5" s="86"/>
      <c r="L5" s="85" t="s">
        <v>90</v>
      </c>
      <c r="M5" s="87"/>
      <c r="N5" s="85" t="s">
        <v>91</v>
      </c>
      <c r="O5" s="85" t="s">
        <v>92</v>
      </c>
      <c r="P5" s="86"/>
      <c r="Q5" s="85" t="s">
        <v>93</v>
      </c>
      <c r="R5" s="85" t="s">
        <v>94</v>
      </c>
      <c r="S5" s="86"/>
      <c r="T5" s="85" t="s">
        <v>95</v>
      </c>
      <c r="U5" s="85" t="s">
        <v>96</v>
      </c>
      <c r="V5" s="86"/>
      <c r="W5" s="85" t="s">
        <v>97</v>
      </c>
      <c r="X5" s="85" t="s">
        <v>98</v>
      </c>
      <c r="Y5" s="85" t="s">
        <v>99</v>
      </c>
      <c r="Z5" s="85" t="s">
        <v>100</v>
      </c>
    </row>
    <row r="6" customFormat="false" ht="15" hidden="false" customHeight="true" outlineLevel="0" collapsed="false">
      <c r="B6" s="88" t="s">
        <v>1</v>
      </c>
      <c r="C6" s="86"/>
      <c r="D6" s="89" t="s">
        <v>101</v>
      </c>
      <c r="E6" s="89"/>
      <c r="F6" s="89"/>
      <c r="G6" s="86"/>
      <c r="H6" s="88" t="s">
        <v>102</v>
      </c>
      <c r="I6" s="86"/>
      <c r="J6" s="88" t="s">
        <v>103</v>
      </c>
      <c r="K6" s="86"/>
      <c r="L6" s="88" t="s">
        <v>103</v>
      </c>
      <c r="M6" s="15"/>
      <c r="N6" s="88" t="s">
        <v>104</v>
      </c>
      <c r="O6" s="88" t="s">
        <v>104</v>
      </c>
      <c r="P6" s="86"/>
      <c r="Q6" s="88" t="s">
        <v>104</v>
      </c>
      <c r="R6" s="88" t="s">
        <v>104</v>
      </c>
      <c r="S6" s="15"/>
      <c r="T6" s="88" t="s">
        <v>105</v>
      </c>
      <c r="U6" s="88" t="s">
        <v>105</v>
      </c>
      <c r="V6" s="88" t="s">
        <v>105</v>
      </c>
      <c r="W6" s="88" t="s">
        <v>105</v>
      </c>
      <c r="X6" s="88" t="s">
        <v>105</v>
      </c>
      <c r="Y6" s="88" t="s">
        <v>105</v>
      </c>
      <c r="Z6" s="88" t="s">
        <v>105</v>
      </c>
    </row>
    <row r="7" customFormat="false" ht="15" hidden="false" customHeight="true" outlineLevel="0" collapsed="false">
      <c r="H7" s="90" t="s">
        <v>106</v>
      </c>
      <c r="J7" s="90" t="s">
        <v>107</v>
      </c>
      <c r="L7" s="90" t="s">
        <v>107</v>
      </c>
    </row>
    <row r="8" customFormat="false" ht="15" hidden="false" customHeight="true" outlineLevel="0" collapsed="false">
      <c r="B8" s="91" t="s">
        <v>2</v>
      </c>
      <c r="C8" s="92"/>
      <c r="D8" s="93" t="s">
        <v>108</v>
      </c>
      <c r="E8" s="93"/>
      <c r="F8" s="93"/>
      <c r="G8" s="92"/>
      <c r="H8" s="94" t="n">
        <f aca="false">'Sources &amp; Checks'!$B$5</f>
        <v>26.19</v>
      </c>
      <c r="I8" s="92"/>
      <c r="J8" s="95" t="n">
        <f aca="false">'Sources &amp; Checks'!$B$8*H8</f>
        <v>27499.5</v>
      </c>
      <c r="K8" s="92"/>
      <c r="L8" s="95" t="n">
        <f aca="false">J8-'Sources &amp; Checks'!$B$6+'Sources &amp; Checks'!$B$7</f>
        <v>26599.5</v>
      </c>
      <c r="M8" s="92"/>
      <c r="N8" s="96" t="n">
        <f aca="false">DCF!M21</f>
        <v>0.247661296310045</v>
      </c>
      <c r="O8" s="96" t="n">
        <f aca="false">DCF!N21</f>
        <v>0.0375414689299156</v>
      </c>
      <c r="P8" s="92"/>
      <c r="Q8" s="96" t="n">
        <f aca="false">DCF!M24</f>
        <v>0.15328255403978</v>
      </c>
      <c r="R8" s="96" t="n">
        <f aca="false">DCF!N24</f>
        <v>0.111696598200523</v>
      </c>
      <c r="S8" s="92"/>
      <c r="T8" s="97" t="n">
        <f aca="false">L8/DCF!M22</f>
        <v>8.52493429908339</v>
      </c>
      <c r="U8" s="97" t="n">
        <f aca="false">L8/DCF!N22</f>
        <v>9.59439474823258</v>
      </c>
      <c r="V8" s="92"/>
      <c r="W8" s="98" t="n">
        <f aca="false">L8/DCF!M20</f>
        <v>1.97857004715929</v>
      </c>
      <c r="X8" s="98" t="n">
        <f aca="false">L8/DCF!N20</f>
        <v>1.90697924508012</v>
      </c>
      <c r="Y8" s="99" t="n">
        <f aca="false">L8/DCF!M23</f>
        <v>12.9079924297569</v>
      </c>
      <c r="Z8" s="99" t="n">
        <f aca="false">L8/DCF!N23</f>
        <v>17.0728498074454</v>
      </c>
    </row>
    <row r="9" customFormat="false" ht="15" hidden="false" customHeight="true" outlineLevel="0" collapsed="false">
      <c r="B9" s="100"/>
      <c r="C9" s="100"/>
      <c r="D9" s="100"/>
      <c r="E9" s="100"/>
      <c r="F9" s="100"/>
      <c r="G9" s="100"/>
      <c r="H9" s="101"/>
      <c r="I9" s="100"/>
      <c r="J9" s="102"/>
      <c r="K9" s="100"/>
      <c r="L9" s="102"/>
      <c r="M9" s="100"/>
      <c r="N9" s="103"/>
      <c r="O9" s="103"/>
      <c r="P9" s="100"/>
      <c r="Q9" s="103"/>
      <c r="R9" s="103"/>
      <c r="S9" s="100"/>
      <c r="T9" s="104"/>
      <c r="U9" s="104"/>
      <c r="V9" s="100"/>
      <c r="W9" s="103"/>
      <c r="X9" s="103"/>
    </row>
    <row r="10" customFormat="false" ht="15" hidden="false" customHeight="true" outlineLevel="0" collapsed="false">
      <c r="B10" s="105" t="s">
        <v>109</v>
      </c>
      <c r="C10" s="100"/>
      <c r="D10" s="106" t="s">
        <v>110</v>
      </c>
      <c r="E10" s="106"/>
      <c r="F10" s="106"/>
      <c r="G10" s="100"/>
      <c r="H10" s="107" t="n">
        <v>4.089</v>
      </c>
      <c r="I10" s="100"/>
      <c r="J10" s="108" t="n">
        <v>3287.49</v>
      </c>
      <c r="K10" s="100"/>
      <c r="L10" s="108" t="n">
        <v>2450</v>
      </c>
      <c r="M10" s="100"/>
      <c r="N10" s="109" t="n">
        <v>0.1393</v>
      </c>
      <c r="O10" s="109" t="n">
        <v>0.0856</v>
      </c>
      <c r="P10" s="100"/>
      <c r="Q10" s="109" t="n">
        <v>0.0641314856590396</v>
      </c>
      <c r="R10" s="109" t="n">
        <v>0.0695626360577875</v>
      </c>
      <c r="S10" s="100"/>
      <c r="T10" s="110" t="n">
        <v>1.79224579370885</v>
      </c>
      <c r="U10" s="110" t="n">
        <v>1.69432918395574</v>
      </c>
      <c r="V10" s="100"/>
      <c r="W10" s="111" t="n">
        <v>0.263186163927382</v>
      </c>
      <c r="X10" s="111" t="n">
        <v>0.242430239461706</v>
      </c>
      <c r="Y10" s="112" t="n">
        <v>4.1039</v>
      </c>
      <c r="Z10" s="112" t="n">
        <v>3.485</v>
      </c>
    </row>
    <row r="11" customFormat="false" ht="15" hidden="false" customHeight="true" outlineLevel="0" collapsed="false">
      <c r="B11" s="105" t="s">
        <v>111</v>
      </c>
      <c r="C11" s="100"/>
      <c r="D11" s="106" t="s">
        <v>112</v>
      </c>
      <c r="E11" s="106"/>
      <c r="F11" s="106"/>
      <c r="G11" s="100"/>
      <c r="H11" s="107" t="n">
        <v>9.275</v>
      </c>
      <c r="I11" s="100"/>
      <c r="J11" s="108" t="n">
        <v>1166.6</v>
      </c>
      <c r="K11" s="100"/>
      <c r="L11" s="108" t="n">
        <v>5950.1</v>
      </c>
      <c r="M11" s="100"/>
      <c r="N11" s="109" t="n">
        <v>0.3</v>
      </c>
      <c r="O11" s="109" t="n">
        <v>0.0454</v>
      </c>
      <c r="P11" s="100"/>
      <c r="Q11" s="109" t="n">
        <v>0.086370808678501</v>
      </c>
      <c r="R11" s="109" t="n">
        <v>0.0316037735849057</v>
      </c>
      <c r="S11" s="100"/>
      <c r="T11" s="110" t="n">
        <v>4.9866744887697</v>
      </c>
      <c r="U11" s="110" t="n">
        <v>5.24561403508772</v>
      </c>
      <c r="V11" s="100"/>
      <c r="W11" s="111" t="n">
        <v>1.17358974358974</v>
      </c>
      <c r="X11" s="111" t="n">
        <v>1.12266037735849</v>
      </c>
      <c r="Y11" s="112" t="n">
        <v>13.5878</v>
      </c>
      <c r="Z11" s="112" t="n">
        <v>35.5227</v>
      </c>
    </row>
    <row r="12" customFormat="false" ht="15" hidden="false" customHeight="true" outlineLevel="0" collapsed="false">
      <c r="B12" s="105" t="s">
        <v>113</v>
      </c>
      <c r="C12" s="100"/>
      <c r="D12" s="106" t="s">
        <v>114</v>
      </c>
      <c r="E12" s="106"/>
      <c r="F12" s="106"/>
      <c r="G12" s="100"/>
      <c r="H12" s="107" t="n">
        <v>4.464</v>
      </c>
      <c r="I12" s="100"/>
      <c r="J12" s="108" t="n">
        <v>19080</v>
      </c>
      <c r="K12" s="100"/>
      <c r="L12" s="108" t="n">
        <v>25060</v>
      </c>
      <c r="M12" s="100"/>
      <c r="N12" s="109" t="n">
        <v>0.0898719994567616</v>
      </c>
      <c r="O12" s="109" t="n">
        <v>0.0346728971962618</v>
      </c>
      <c r="P12" s="100"/>
      <c r="Q12" s="109" t="n">
        <v>0.138411214953271</v>
      </c>
      <c r="R12" s="109" t="n">
        <v>0.151266070514558</v>
      </c>
      <c r="S12" s="100"/>
      <c r="T12" s="110" t="n">
        <v>3.68150433377406</v>
      </c>
      <c r="U12" s="110" t="n">
        <v>3.29780234241348</v>
      </c>
      <c r="V12" s="100"/>
      <c r="W12" s="111" t="n">
        <v>0.780685358255452</v>
      </c>
      <c r="X12" s="111" t="n">
        <v>0.754523831030018</v>
      </c>
      <c r="Y12" s="112" t="n">
        <v>5.6403</v>
      </c>
      <c r="Z12" s="112" t="n">
        <v>4.9881</v>
      </c>
    </row>
    <row r="13" customFormat="false" ht="15" hidden="false" customHeight="true" outlineLevel="0" collapsed="false">
      <c r="B13" s="105" t="s">
        <v>115</v>
      </c>
      <c r="C13" s="100"/>
      <c r="D13" s="106" t="s">
        <v>116</v>
      </c>
      <c r="E13" s="106"/>
      <c r="F13" s="106"/>
      <c r="G13" s="100"/>
      <c r="H13" s="107" t="n">
        <v>8.12</v>
      </c>
      <c r="I13" s="100"/>
      <c r="J13" s="108" t="n">
        <v>9740</v>
      </c>
      <c r="K13" s="100"/>
      <c r="L13" s="108" t="n">
        <v>17780</v>
      </c>
      <c r="M13" s="100"/>
      <c r="N13" s="109" t="n">
        <v>0.0603521245979346</v>
      </c>
      <c r="O13" s="109" t="n">
        <v>0.0536441286820468</v>
      </c>
      <c r="P13" s="100"/>
      <c r="Q13" s="109" t="n">
        <v>0.0437721188898646</v>
      </c>
      <c r="R13" s="109" t="n">
        <v>0.0494986993964189</v>
      </c>
      <c r="S13" s="100"/>
      <c r="T13" s="110" t="n">
        <v>4.46509291813159</v>
      </c>
      <c r="U13" s="110" t="n">
        <v>4.10718410718411</v>
      </c>
      <c r="V13" s="100"/>
      <c r="W13" s="111" t="n">
        <v>0.47311141268194</v>
      </c>
      <c r="X13" s="111" t="n">
        <v>0.449023915953229</v>
      </c>
      <c r="Y13" s="112" t="n">
        <v>10.8085</v>
      </c>
      <c r="Z13" s="112" t="n">
        <v>9.0714</v>
      </c>
    </row>
    <row r="14" customFormat="false" ht="15" hidden="false" customHeight="true" outlineLevel="0" collapsed="false">
      <c r="B14" s="105" t="s">
        <v>117</v>
      </c>
      <c r="C14" s="100"/>
      <c r="D14" s="106" t="s">
        <v>118</v>
      </c>
      <c r="E14" s="106"/>
      <c r="F14" s="106"/>
      <c r="G14" s="100"/>
      <c r="H14" s="107" t="n">
        <v>10.09</v>
      </c>
      <c r="I14" s="100"/>
      <c r="J14" s="108" t="n">
        <v>2650</v>
      </c>
      <c r="K14" s="100"/>
      <c r="L14" s="108" t="n">
        <v>3020</v>
      </c>
      <c r="M14" s="100"/>
      <c r="N14" s="109" t="n">
        <v>0.0479696192411472</v>
      </c>
      <c r="O14" s="109" t="n">
        <v>0.0492069042245462</v>
      </c>
      <c r="P14" s="100"/>
      <c r="Q14" s="109" t="n">
        <v>0.051</v>
      </c>
      <c r="R14" s="109" t="n">
        <v>0.061</v>
      </c>
      <c r="S14" s="100"/>
      <c r="T14" s="110" t="n">
        <v>0.711592836946277</v>
      </c>
      <c r="U14" s="110" t="n">
        <v>0.597073942269672</v>
      </c>
      <c r="V14" s="100"/>
      <c r="W14" s="111" t="n">
        <v>0.0959979656060269</v>
      </c>
      <c r="X14" s="111" t="n">
        <v>0.091495743327173</v>
      </c>
      <c r="Y14" s="112" t="n">
        <v>1.8822</v>
      </c>
      <c r="Z14" s="112" t="n">
        <v>1.5</v>
      </c>
    </row>
    <row r="15" customFormat="false" ht="15" hidden="false" customHeight="true" outlineLevel="0" collapsed="false">
      <c r="B15" s="100"/>
      <c r="C15" s="100"/>
      <c r="D15" s="100"/>
      <c r="E15" s="100"/>
      <c r="F15" s="100"/>
      <c r="G15" s="100"/>
      <c r="H15" s="100"/>
      <c r="I15" s="100"/>
      <c r="J15" s="113"/>
      <c r="K15" s="100"/>
      <c r="L15" s="113"/>
      <c r="M15" s="100"/>
      <c r="N15" s="114"/>
      <c r="O15" s="114"/>
      <c r="P15" s="100"/>
      <c r="Q15" s="114"/>
      <c r="R15" s="114"/>
      <c r="S15" s="100"/>
      <c r="T15" s="100"/>
      <c r="U15" s="100"/>
      <c r="V15" s="100"/>
      <c r="W15" s="100"/>
      <c r="X15" s="100"/>
    </row>
    <row r="16" customFormat="false" ht="15" hidden="false" customHeight="true" outlineLevel="0" collapsed="false">
      <c r="B16" s="100"/>
      <c r="C16" s="100"/>
      <c r="D16" s="100"/>
      <c r="E16" s="100"/>
      <c r="F16" s="100"/>
      <c r="G16" s="100"/>
      <c r="H16" s="100"/>
      <c r="I16" s="100"/>
      <c r="J16" s="113"/>
      <c r="K16" s="100"/>
      <c r="L16" s="113"/>
      <c r="M16" s="100"/>
      <c r="N16" s="114"/>
      <c r="O16" s="114"/>
      <c r="P16" s="100"/>
      <c r="Q16" s="114"/>
      <c r="R16" s="114"/>
      <c r="S16" s="100"/>
      <c r="T16" s="100"/>
      <c r="U16" s="100"/>
      <c r="V16" s="100"/>
      <c r="W16" s="100"/>
      <c r="X16" s="100"/>
    </row>
    <row r="17" customFormat="false" ht="15" hidden="false" customHeight="true" outlineLevel="0" collapsed="false">
      <c r="B17" s="100"/>
      <c r="C17" s="100"/>
      <c r="D17" s="100"/>
      <c r="E17" s="100"/>
      <c r="F17" s="100"/>
      <c r="G17" s="100"/>
      <c r="H17" s="100"/>
      <c r="I17" s="100"/>
      <c r="J17" s="113"/>
      <c r="K17" s="100"/>
      <c r="L17" s="113"/>
      <c r="M17" s="100"/>
      <c r="N17" s="114"/>
      <c r="O17" s="114"/>
      <c r="P17" s="100"/>
      <c r="Q17" s="114"/>
      <c r="R17" s="114"/>
      <c r="S17" s="100"/>
      <c r="T17" s="100"/>
      <c r="U17" s="100"/>
      <c r="V17" s="100"/>
      <c r="W17" s="100"/>
      <c r="X17" s="100"/>
    </row>
    <row r="18" customFormat="false" ht="15" hidden="false" customHeight="true" outlineLevel="0" collapsed="false">
      <c r="B18" s="100"/>
      <c r="C18" s="100"/>
      <c r="D18" s="100"/>
      <c r="E18" s="100"/>
      <c r="F18" s="100"/>
      <c r="G18" s="100"/>
      <c r="H18" s="100"/>
      <c r="I18" s="100"/>
      <c r="J18" s="113"/>
      <c r="K18" s="100"/>
      <c r="L18" s="113"/>
      <c r="M18" s="100"/>
      <c r="N18" s="114"/>
      <c r="O18" s="114"/>
      <c r="P18" s="100"/>
      <c r="Q18" s="114"/>
      <c r="R18" s="114"/>
      <c r="S18" s="100"/>
      <c r="T18" s="100"/>
      <c r="U18" s="100"/>
      <c r="V18" s="100"/>
      <c r="W18" s="100"/>
      <c r="X18" s="100"/>
    </row>
    <row r="19" customFormat="false" ht="15" hidden="false" customHeight="true" outlineLevel="0" collapsed="false">
      <c r="N19" s="100"/>
      <c r="O19" s="100"/>
      <c r="Q19" s="100"/>
      <c r="R19" s="100"/>
    </row>
    <row r="20" customFormat="false" ht="15" hidden="false" customHeight="true" outlineLevel="0" collapsed="false">
      <c r="B20" s="115" t="s">
        <v>119</v>
      </c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7" t="n">
        <f aca="false">IF(COUNT(N10:N17)=0,"",AVERAGE(N10:N17))</f>
        <v>0.127498748659169</v>
      </c>
      <c r="O20" s="117" t="n">
        <f aca="false">IF(COUNT(O10:O17)=0,"",AVERAGE(O10:O17))</f>
        <v>0.053704786020571</v>
      </c>
      <c r="P20" s="115" t="str">
        <f aca="false">IF(COUNT(P8:P17)=0,"",AVERAGE(P8:P17))</f>
        <v/>
      </c>
      <c r="Q20" s="117" t="n">
        <f aca="false">IF(COUNT(Q10:Q17)=0,"",AVERAGE(Q10:Q17))</f>
        <v>0.0767371256361352</v>
      </c>
      <c r="R20" s="117" t="n">
        <f aca="false">IF(COUNT(R10:R17)=0,"",AVERAGE(R10:R17))</f>
        <v>0.072586235910734</v>
      </c>
      <c r="S20" s="115" t="str">
        <f aca="false">IF(COUNT(S8:S17)=0,"",AVERAGE(S8:S17))</f>
        <v/>
      </c>
      <c r="T20" s="118" t="n">
        <f aca="false">IF(COUNT(T10:T17)=0,"",AVERAGE(T10:T17))</f>
        <v>3.1274220742661</v>
      </c>
      <c r="U20" s="118" t="n">
        <f aca="false">IF(COUNT(U10:U17)=0,"",AVERAGE(U10:U17))</f>
        <v>2.98840072218214</v>
      </c>
      <c r="V20" s="115" t="str">
        <f aca="false">IF(COUNT(V8:V17)=0,"",AVERAGE(V8:V17))</f>
        <v/>
      </c>
      <c r="W20" s="119" t="n">
        <f aca="false">IF(COUNT(W10:W17)=0,"",AVERAGE(W10:W17))</f>
        <v>0.557314128812108</v>
      </c>
      <c r="X20" s="119" t="n">
        <f aca="false">IF(COUNT(X10:X17)=0,"",AVERAGE(X10:X17))</f>
        <v>0.532026821426123</v>
      </c>
      <c r="Y20" s="120" t="n">
        <f aca="false">IF(COUNT(Y10:Y17)=0,"",AVERAGE(Y10:Y17))</f>
        <v>7.20454</v>
      </c>
      <c r="Z20" s="120" t="n">
        <f aca="false">IF(COUNT(Z10:Z17)=0,"",AVERAGE(Z10:Z17))</f>
        <v>10.91344</v>
      </c>
    </row>
    <row r="21" customFormat="false" ht="15" hidden="false" customHeight="true" outlineLevel="0" collapsed="false">
      <c r="B21" s="115" t="s">
        <v>120</v>
      </c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7" t="n">
        <f aca="false">IF(COUNT(N10:N17)=0,"",MEDIAN(N10:N17))</f>
        <v>0.0898719994567616</v>
      </c>
      <c r="O21" s="117" t="n">
        <f aca="false">IF(COUNT(O10:O17)=0,"",MEDIAN(O10:O17))</f>
        <v>0.0492069042245462</v>
      </c>
      <c r="P21" s="115" t="str">
        <f aca="false">IF(COUNT(P8:P17)=0,"",MEDIAN(P8:P17))</f>
        <v/>
      </c>
      <c r="Q21" s="117" t="n">
        <f aca="false">IF(COUNT(Q10:Q17)=0,"",MEDIAN(Q10:Q17))</f>
        <v>0.0641314856590396</v>
      </c>
      <c r="R21" s="117" t="n">
        <f aca="false">IF(COUNT(R10:R17)=0,"",MEDIAN(R10:R17))</f>
        <v>0.061</v>
      </c>
      <c r="S21" s="115" t="str">
        <f aca="false">IF(COUNT(S8:S17)=0,"",MEDIAN(S8:S17))</f>
        <v/>
      </c>
      <c r="T21" s="118" t="n">
        <f aca="false">IF(COUNT(T10:T17)=0,"",MEDIAN(T10:T17))</f>
        <v>3.68150433377406</v>
      </c>
      <c r="U21" s="118" t="n">
        <f aca="false">IF(COUNT(U10:U17)=0,"",MEDIAN(U10:U17))</f>
        <v>3.29780234241348</v>
      </c>
      <c r="V21" s="115" t="str">
        <f aca="false">IF(COUNT(V8:V17)=0,"",MEDIAN(V8:V17))</f>
        <v/>
      </c>
      <c r="W21" s="119" t="n">
        <f aca="false">IF(COUNT(W10:W17)=0,"",MEDIAN(W10:W17))</f>
        <v>0.47311141268194</v>
      </c>
      <c r="X21" s="119" t="n">
        <f aca="false">IF(COUNT(X10:X17)=0,"",MEDIAN(X10:X17))</f>
        <v>0.449023915953229</v>
      </c>
      <c r="Y21" s="120" t="n">
        <f aca="false">IF(COUNT(Y10:Y17)=0,"",MEDIAN(Y10:Y17))</f>
        <v>5.6403</v>
      </c>
      <c r="Z21" s="120" t="n">
        <f aca="false">IF(COUNT(Z10:Z17)=0,"",MEDIAN(Z10:Z17))</f>
        <v>4.9881</v>
      </c>
    </row>
    <row r="24" customFormat="false" ht="15" hidden="false" customHeight="true" outlineLevel="0" collapsed="false">
      <c r="B24" s="121" t="s">
        <v>121</v>
      </c>
      <c r="C24" s="61"/>
      <c r="D24" s="61"/>
      <c r="E24" s="61"/>
      <c r="F24" s="61"/>
      <c r="G24" s="61"/>
      <c r="H24" s="61"/>
      <c r="I24" s="61"/>
      <c r="J24" s="61"/>
    </row>
    <row r="25" customFormat="false" ht="15" hidden="false" customHeight="true" outlineLevel="0" collapsed="false">
      <c r="B25" s="85" t="s">
        <v>122</v>
      </c>
      <c r="C25" s="85" t="s">
        <v>123</v>
      </c>
      <c r="D25" s="85" t="s">
        <v>124</v>
      </c>
      <c r="E25" s="85" t="s">
        <v>125</v>
      </c>
      <c r="F25" s="85" t="s">
        <v>53</v>
      </c>
      <c r="G25" s="85" t="s">
        <v>54</v>
      </c>
      <c r="H25" s="85" t="s">
        <v>126</v>
      </c>
      <c r="I25" s="85" t="s">
        <v>127</v>
      </c>
      <c r="J25" s="85" t="s">
        <v>128</v>
      </c>
    </row>
    <row r="26" customFormat="false" ht="15" hidden="false" customHeight="true" outlineLevel="0" collapsed="false">
      <c r="B26" s="122" t="s">
        <v>129</v>
      </c>
      <c r="C26" s="123" t="n">
        <f aca="false">U21</f>
        <v>3.29780234241348</v>
      </c>
      <c r="D26" s="124" t="n">
        <f aca="false">DCF!N22</f>
        <v>2772.4</v>
      </c>
      <c r="E26" s="124" t="n">
        <f aca="false">C26*D26</f>
        <v>9142.82721410713</v>
      </c>
      <c r="F26" s="124" t="n">
        <f aca="false">'Sources &amp; Checks'!$B$6</f>
        <v>2400</v>
      </c>
      <c r="G26" s="124" t="n">
        <f aca="false">'Sources &amp; Checks'!$B$7</f>
        <v>1500</v>
      </c>
      <c r="H26" s="124" t="n">
        <f aca="false">E26+F26-G26</f>
        <v>10042.8272141071</v>
      </c>
      <c r="I26" s="125" t="n">
        <f aca="false">H26/'Sources &amp; Checks'!$B$9</f>
        <v>9.41397376650462</v>
      </c>
      <c r="J26" s="126" t="n">
        <f aca="false">I26/'Sources &amp; Checks'!$B$5-1</f>
        <v>-0.640550829839457</v>
      </c>
    </row>
    <row r="27" customFormat="false" ht="15" hidden="false" customHeight="true" outlineLevel="0" collapsed="false">
      <c r="B27" s="127" t="s">
        <v>130</v>
      </c>
      <c r="C27" s="128" t="n">
        <f aca="false">X21</f>
        <v>0.449023915953229</v>
      </c>
      <c r="D27" s="129" t="n">
        <f aca="false">DCF!N20</f>
        <v>13948.5</v>
      </c>
      <c r="E27" s="129" t="n">
        <f aca="false">C27*D27</f>
        <v>6263.21009167361</v>
      </c>
      <c r="F27" s="129" t="n">
        <f aca="false">'Sources &amp; Checks'!$B$6</f>
        <v>2400</v>
      </c>
      <c r="G27" s="129" t="n">
        <f aca="false">'Sources &amp; Checks'!$B$7</f>
        <v>1500</v>
      </c>
      <c r="H27" s="129" t="n">
        <f aca="false">E27+F27-G27</f>
        <v>7163.21009167361</v>
      </c>
      <c r="I27" s="130" t="n">
        <f aca="false">H27/'Sources &amp; Checks'!$B$9</f>
        <v>6.71467012717812</v>
      </c>
      <c r="J27" s="131" t="n">
        <f aca="false">I27/'Sources &amp; Checks'!$B$5-1</f>
        <v>-0.743617024544555</v>
      </c>
    </row>
    <row r="28" customFormat="false" ht="15" hidden="false" customHeight="true" outlineLevel="0" collapsed="false">
      <c r="B28" s="122" t="s">
        <v>131</v>
      </c>
      <c r="C28" s="123" t="n">
        <f aca="false">Z21</f>
        <v>4.9881</v>
      </c>
      <c r="D28" s="124" t="n">
        <f aca="false">DCF!N23</f>
        <v>1558</v>
      </c>
      <c r="E28" s="124" t="n">
        <f aca="false">C28*D28</f>
        <v>7771.4598</v>
      </c>
      <c r="F28" s="124" t="n">
        <f aca="false">'Sources &amp; Checks'!$B$6</f>
        <v>2400</v>
      </c>
      <c r="G28" s="124" t="n">
        <f aca="false">'Sources &amp; Checks'!$B$7</f>
        <v>1500</v>
      </c>
      <c r="H28" s="124" t="n">
        <f aca="false">E28+F28-G28</f>
        <v>8671.4598</v>
      </c>
      <c r="I28" s="125" t="n">
        <f aca="false">H28/'Sources &amp; Checks'!$B$9</f>
        <v>8.12847750281215</v>
      </c>
      <c r="J28" s="126" t="n">
        <f aca="false">I28/'Sources &amp; Checks'!$B$5-1</f>
        <v>-0.689634306880025</v>
      </c>
    </row>
    <row r="30" customFormat="false" ht="15" hidden="false" customHeight="true" outlineLevel="0" collapsed="false">
      <c r="B30" s="132" t="s">
        <v>132</v>
      </c>
    </row>
  </sheetData>
  <mergeCells count="10">
    <mergeCell ref="N4:R4"/>
    <mergeCell ref="T4:X4"/>
    <mergeCell ref="Y4:Z4"/>
    <mergeCell ref="D6:F6"/>
    <mergeCell ref="D8:F8"/>
    <mergeCell ref="D10:F10"/>
    <mergeCell ref="D11:F11"/>
    <mergeCell ref="D12:F12"/>
    <mergeCell ref="D13:F13"/>
    <mergeCell ref="D14:F1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52"/>
    <col collapsed="false" customWidth="true" hidden="false" outlineLevel="0" max="6" min="6" style="1" width="16"/>
  </cols>
  <sheetData>
    <row r="2" s="2" customFormat="true" ht="21" hidden="false" customHeight="true" outlineLevel="0" collapsed="false">
      <c r="B2" s="3" t="s">
        <v>21</v>
      </c>
    </row>
    <row r="4" customFormat="false" ht="15" hidden="false" customHeight="true" outlineLevel="0" collapsed="false">
      <c r="B4" s="8" t="s">
        <v>133</v>
      </c>
    </row>
    <row r="5" customFormat="false" ht="15" hidden="false" customHeight="true" outlineLevel="0" collapsed="false">
      <c r="B5" s="8" t="s">
        <v>134</v>
      </c>
    </row>
    <row r="6" customFormat="false" ht="15" hidden="false" customHeight="true" outlineLevel="0" collapsed="false">
      <c r="J6" s="133"/>
    </row>
    <row r="7" customFormat="false" ht="15" hidden="false" customHeight="true" outlineLevel="0" collapsed="false">
      <c r="A7" s="121" t="s">
        <v>10</v>
      </c>
      <c r="B7" s="72" t="s">
        <v>21</v>
      </c>
      <c r="C7" s="33"/>
      <c r="D7" s="33"/>
      <c r="E7" s="33"/>
      <c r="F7" s="33"/>
    </row>
    <row r="8" customFormat="false" ht="15" hidden="false" customHeight="true" outlineLevel="0" collapsed="false">
      <c r="B8" s="8" t="s">
        <v>89</v>
      </c>
      <c r="F8" s="54" t="n">
        <f aca="false">'Sources &amp; Checks'!$B$8*'Sources &amp; Checks'!$B$5</f>
        <v>27499.5</v>
      </c>
    </row>
    <row r="9" customFormat="false" ht="15" hidden="false" customHeight="true" outlineLevel="0" collapsed="false">
      <c r="B9" s="8" t="s">
        <v>135</v>
      </c>
      <c r="F9" s="27" t="n">
        <f aca="false">F8/(F8+F15)</f>
        <v>0.948274970258108</v>
      </c>
    </row>
    <row r="10" customFormat="false" ht="15" hidden="false" customHeight="true" outlineLevel="0" collapsed="false">
      <c r="B10" s="8" t="s">
        <v>136</v>
      </c>
      <c r="F10" s="27" t="n">
        <f aca="false">F11+F14*F13</f>
        <v>0.089043</v>
      </c>
    </row>
    <row r="11" customFormat="false" ht="15" hidden="false" customHeight="true" outlineLevel="0" collapsed="false">
      <c r="B11" s="8" t="s">
        <v>137</v>
      </c>
      <c r="F11" s="37" t="n">
        <f aca="false">'Sources &amp; Checks'!$B$10</f>
        <v>0.028643</v>
      </c>
    </row>
    <row r="12" customFormat="false" ht="15" hidden="false" customHeight="true" outlineLevel="0" collapsed="false">
      <c r="B12" s="8" t="s">
        <v>138</v>
      </c>
      <c r="F12" s="134" t="n">
        <f aca="false">'Sources &amp; Checks'!$B$11</f>
        <v>1.01</v>
      </c>
    </row>
    <row r="13" customFormat="false" ht="15" hidden="false" customHeight="true" outlineLevel="0" collapsed="false">
      <c r="B13" s="8" t="s">
        <v>139</v>
      </c>
      <c r="F13" s="37" t="n">
        <f aca="false">'Sources &amp; Checks'!$B$12</f>
        <v>0.06</v>
      </c>
    </row>
    <row r="14" customFormat="false" ht="15" hidden="false" customHeight="true" outlineLevel="0" collapsed="false">
      <c r="B14" s="8" t="s">
        <v>140</v>
      </c>
      <c r="F14" s="135" t="n">
        <f aca="false">1/3*1+2/3*F12</f>
        <v>1.00666666666667</v>
      </c>
    </row>
    <row r="15" customFormat="false" ht="15" hidden="false" customHeight="true" outlineLevel="0" collapsed="false">
      <c r="A15" s="121" t="s">
        <v>10</v>
      </c>
      <c r="B15" s="72" t="s">
        <v>141</v>
      </c>
      <c r="F15" s="136" t="n">
        <f aca="false">'Sources &amp; Checks'!$B$7</f>
        <v>1500</v>
      </c>
    </row>
    <row r="16" customFormat="false" ht="15" hidden="false" customHeight="true" outlineLevel="0" collapsed="false">
      <c r="B16" s="8" t="s">
        <v>142</v>
      </c>
      <c r="F16" s="38" t="n">
        <f aca="false">F15/(F15+F8)</f>
        <v>0.0517250297418921</v>
      </c>
    </row>
    <row r="17" customFormat="false" ht="15" hidden="false" customHeight="true" outlineLevel="0" collapsed="false">
      <c r="B17" s="8" t="s">
        <v>143</v>
      </c>
      <c r="F17" s="38" t="n">
        <f aca="false">'Sources &amp; Checks'!$B$13</f>
        <v>0.03</v>
      </c>
    </row>
    <row r="18" customFormat="false" ht="15" hidden="false" customHeight="true" outlineLevel="0" collapsed="false">
      <c r="B18" s="8" t="s">
        <v>144</v>
      </c>
      <c r="F18" s="38" t="n">
        <f aca="false">'Sources &amp; Checks'!$B$14</f>
        <v>0.1</v>
      </c>
    </row>
    <row r="20" customFormat="false" ht="15" hidden="false" customHeight="true" outlineLevel="0" collapsed="false">
      <c r="A20" s="121" t="s">
        <v>10</v>
      </c>
      <c r="B20" s="72" t="s">
        <v>145</v>
      </c>
      <c r="F20" s="54" t="n">
        <f aca="false">F15+F8</f>
        <v>28999.5</v>
      </c>
    </row>
    <row r="22" customFormat="false" ht="15" hidden="false" customHeight="true" outlineLevel="0" collapsed="false">
      <c r="A22" s="121" t="s">
        <v>10</v>
      </c>
      <c r="B22" s="72" t="s">
        <v>21</v>
      </c>
      <c r="F22" s="137" t="n">
        <f aca="false">F9*F10+(F16*F17*(1-F18))</f>
        <v>0.0858338239797238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3.5"/>
    <col collapsed="false" customWidth="true" hidden="false" outlineLevel="0" max="3" min="3" style="1" width="12"/>
    <col collapsed="false" customWidth="true" hidden="false" outlineLevel="0" max="4" min="4" style="1" width="90"/>
  </cols>
  <sheetData>
    <row r="1" customFormat="false" ht="18.75" hidden="false" customHeight="true" outlineLevel="0" collapsed="false">
      <c r="A1" s="138" t="s">
        <v>146</v>
      </c>
      <c r="B1" s="138"/>
      <c r="C1" s="138"/>
      <c r="D1" s="138"/>
    </row>
    <row r="3" customFormat="false" ht="15.75" hidden="false" customHeight="true" outlineLevel="0" collapsed="false">
      <c r="A3" s="85" t="s">
        <v>122</v>
      </c>
      <c r="B3" s="85" t="s">
        <v>147</v>
      </c>
      <c r="C3" s="85" t="s">
        <v>148</v>
      </c>
      <c r="D3" s="85" t="s">
        <v>149</v>
      </c>
    </row>
    <row r="4" customFormat="false" ht="15" hidden="false" customHeight="true" outlineLevel="0" collapsed="false">
      <c r="A4" s="139" t="s">
        <v>150</v>
      </c>
      <c r="B4" s="140" t="n">
        <v>46087</v>
      </c>
      <c r="C4" s="139" t="s">
        <v>151</v>
      </c>
      <c r="D4" s="139" t="s">
        <v>152</v>
      </c>
    </row>
    <row r="5" customFormat="false" ht="15" hidden="false" customHeight="true" outlineLevel="0" collapsed="false">
      <c r="A5" s="139" t="s">
        <v>153</v>
      </c>
      <c r="B5" s="141" t="n">
        <v>26.19</v>
      </c>
      <c r="C5" s="139" t="s">
        <v>154</v>
      </c>
      <c r="D5" s="139" t="s">
        <v>155</v>
      </c>
    </row>
    <row r="6" customFormat="false" ht="15" hidden="false" customHeight="true" outlineLevel="0" collapsed="false">
      <c r="A6" s="139" t="s">
        <v>156</v>
      </c>
      <c r="B6" s="142" t="n">
        <v>2400</v>
      </c>
      <c r="C6" s="139" t="s">
        <v>157</v>
      </c>
      <c r="D6" s="139" t="s">
        <v>158</v>
      </c>
    </row>
    <row r="7" customFormat="false" ht="15" hidden="false" customHeight="true" outlineLevel="0" collapsed="false">
      <c r="A7" s="139" t="s">
        <v>159</v>
      </c>
      <c r="B7" s="142" t="n">
        <v>1500</v>
      </c>
      <c r="C7" s="139" t="s">
        <v>157</v>
      </c>
      <c r="D7" s="139" t="s">
        <v>160</v>
      </c>
    </row>
    <row r="8" customFormat="false" ht="15" hidden="false" customHeight="true" outlineLevel="0" collapsed="false">
      <c r="A8" s="139" t="s">
        <v>161</v>
      </c>
      <c r="B8" s="142" t="n">
        <v>1050</v>
      </c>
      <c r="C8" s="139" t="s">
        <v>162</v>
      </c>
      <c r="D8" s="139" t="s">
        <v>163</v>
      </c>
    </row>
    <row r="9" customFormat="false" ht="15" hidden="false" customHeight="true" outlineLevel="0" collapsed="false">
      <c r="A9" s="139" t="s">
        <v>164</v>
      </c>
      <c r="B9" s="142" t="n">
        <v>1066.8</v>
      </c>
      <c r="C9" s="139" t="s">
        <v>162</v>
      </c>
      <c r="D9" s="139" t="s">
        <v>165</v>
      </c>
    </row>
    <row r="10" customFormat="false" ht="15" hidden="false" customHeight="true" outlineLevel="0" collapsed="false">
      <c r="A10" s="139" t="s">
        <v>166</v>
      </c>
      <c r="B10" s="143" t="n">
        <v>0.028643</v>
      </c>
      <c r="C10" s="139" t="s">
        <v>167</v>
      </c>
      <c r="D10" s="139" t="s">
        <v>168</v>
      </c>
    </row>
    <row r="11" customFormat="false" ht="15" hidden="false" customHeight="true" outlineLevel="0" collapsed="false">
      <c r="A11" s="139" t="s">
        <v>169</v>
      </c>
      <c r="B11" s="144" t="n">
        <v>1.01</v>
      </c>
      <c r="C11" s="139" t="s">
        <v>170</v>
      </c>
      <c r="D11" s="139" t="s">
        <v>171</v>
      </c>
    </row>
    <row r="12" customFormat="false" ht="15" hidden="false" customHeight="true" outlineLevel="0" collapsed="false">
      <c r="A12" s="139" t="s">
        <v>172</v>
      </c>
      <c r="B12" s="143" t="n">
        <v>0.06</v>
      </c>
      <c r="C12" s="139" t="s">
        <v>167</v>
      </c>
      <c r="D12" s="139" t="s">
        <v>171</v>
      </c>
    </row>
    <row r="13" customFormat="false" ht="15" hidden="false" customHeight="true" outlineLevel="0" collapsed="false">
      <c r="A13" s="139" t="s">
        <v>173</v>
      </c>
      <c r="B13" s="143" t="n">
        <v>0.03</v>
      </c>
      <c r="C13" s="139" t="s">
        <v>167</v>
      </c>
      <c r="D13" s="139" t="s">
        <v>171</v>
      </c>
    </row>
    <row r="14" customFormat="false" ht="15" hidden="false" customHeight="true" outlineLevel="0" collapsed="false">
      <c r="A14" s="139" t="s">
        <v>33</v>
      </c>
      <c r="B14" s="143" t="n">
        <v>0.1</v>
      </c>
      <c r="C14" s="139" t="s">
        <v>167</v>
      </c>
      <c r="D14" s="139" t="s">
        <v>174</v>
      </c>
    </row>
    <row r="16" customFormat="false" ht="15" hidden="false" customHeight="true" outlineLevel="0" collapsed="false">
      <c r="A16" s="145" t="s">
        <v>175</v>
      </c>
      <c r="B16" s="145" t="s">
        <v>176</v>
      </c>
    </row>
    <row r="18" customFormat="false" ht="15" hidden="false" customHeight="true" outlineLevel="0" collapsed="false">
      <c r="A18" s="145" t="s">
        <v>177</v>
      </c>
      <c r="B18" s="145" t="s">
        <v>178</v>
      </c>
      <c r="C18" s="145" t="s">
        <v>179</v>
      </c>
      <c r="D18" s="145" t="s">
        <v>180</v>
      </c>
    </row>
    <row r="19" customFormat="false" ht="15" hidden="false" customHeight="true" outlineLevel="0" collapsed="false">
      <c r="A19" s="145" t="s">
        <v>181</v>
      </c>
      <c r="B19" s="146" t="n">
        <v>0.0909</v>
      </c>
      <c r="C19" s="145" t="s">
        <v>167</v>
      </c>
      <c r="D19" s="145" t="s">
        <v>182</v>
      </c>
    </row>
    <row r="20" customFormat="false" ht="15" hidden="false" customHeight="true" outlineLevel="0" collapsed="false">
      <c r="A20" s="145" t="s">
        <v>183</v>
      </c>
      <c r="B20" s="146" t="n">
        <v>0.1722</v>
      </c>
      <c r="C20" s="145" t="s">
        <v>167</v>
      </c>
      <c r="D20" s="145" t="s">
        <v>184</v>
      </c>
    </row>
    <row r="21" customFormat="false" ht="15" hidden="false" customHeight="true" outlineLevel="0" collapsed="false">
      <c r="A21" s="145" t="s">
        <v>185</v>
      </c>
      <c r="B21" s="146" t="n">
        <v>0.0805</v>
      </c>
      <c r="C21" s="145" t="s">
        <v>167</v>
      </c>
      <c r="D21" s="145" t="s">
        <v>186</v>
      </c>
    </row>
    <row r="22" customFormat="false" ht="15" hidden="false" customHeight="true" outlineLevel="0" collapsed="false">
      <c r="A22" s="145" t="s">
        <v>187</v>
      </c>
      <c r="B22" s="146" t="n">
        <v>0.1828</v>
      </c>
      <c r="C22" s="145" t="s">
        <v>167</v>
      </c>
      <c r="D22" s="145" t="s">
        <v>188</v>
      </c>
    </row>
    <row r="23" customFormat="false" ht="15" hidden="false" customHeight="true" outlineLevel="0" collapsed="false">
      <c r="A23" s="145" t="s">
        <v>189</v>
      </c>
      <c r="B23" s="146" t="n">
        <v>-0.0287</v>
      </c>
      <c r="C23" s="145" t="s">
        <v>167</v>
      </c>
      <c r="D23" s="145" t="s">
        <v>190</v>
      </c>
    </row>
    <row r="25" customFormat="false" ht="15" hidden="false" customHeight="true" outlineLevel="0" collapsed="false">
      <c r="A25" s="147" t="s">
        <v>191</v>
      </c>
      <c r="B25" s="148" t="s">
        <v>192</v>
      </c>
    </row>
  </sheetData>
  <mergeCells count="1">
    <mergeCell ref="A1:D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3203125" defaultRowHeight="15.75" customHeight="false" zeroHeight="false" outlineLevelRow="0" outlineLevelCol="0"/>
  <cols>
    <col collapsed="false" customWidth="false" hidden="false" outlineLevel="0" max="1" min="1" style="149" width="10.83"/>
    <col collapsed="false" customWidth="true" hidden="false" outlineLevel="0" max="2" min="2" style="149" width="30.67"/>
    <col collapsed="false" customWidth="true" hidden="false" outlineLevel="0" max="5" min="3" style="149" width="8.83"/>
    <col collapsed="false" customWidth="false" hidden="false" outlineLevel="0" max="16384" min="6" style="149" width="10.83"/>
  </cols>
  <sheetData>
    <row r="2" customFormat="false" ht="18.75" hidden="false" customHeight="true" outlineLevel="0" collapsed="false">
      <c r="B2" s="150"/>
      <c r="C2" s="150"/>
    </row>
    <row r="3" customFormat="false" ht="15.75" hidden="false" customHeight="true" outlineLevel="0" collapsed="false">
      <c r="B3" s="151" t="s">
        <v>193</v>
      </c>
      <c r="C3" s="152" t="s">
        <v>194</v>
      </c>
      <c r="D3" s="153" t="s">
        <v>195</v>
      </c>
      <c r="E3" s="154" t="s">
        <v>196</v>
      </c>
    </row>
    <row r="4" customFormat="false" ht="18.75" hidden="false" customHeight="true" outlineLevel="0" collapsed="false">
      <c r="B4" s="155" t="s">
        <v>197</v>
      </c>
      <c r="C4" s="156" t="n">
        <v>10775</v>
      </c>
      <c r="D4" s="157" t="n">
        <v>13444</v>
      </c>
      <c r="E4" s="158" t="n">
        <v>13949</v>
      </c>
    </row>
    <row r="5" customFormat="false" ht="18.75" hidden="false" customHeight="true" outlineLevel="0" collapsed="false">
      <c r="B5" s="159" t="s">
        <v>198</v>
      </c>
      <c r="C5" s="160" t="n">
        <v>9332</v>
      </c>
      <c r="D5" s="161" t="n">
        <v>11383</v>
      </c>
      <c r="E5" s="162" t="n">
        <v>12391</v>
      </c>
    </row>
    <row r="6" customFormat="false" ht="18.75" hidden="false" customHeight="true" outlineLevel="0" collapsed="false">
      <c r="B6" s="159" t="s">
        <v>199</v>
      </c>
      <c r="C6" s="160" t="n">
        <v>1443</v>
      </c>
      <c r="D6" s="161" t="n">
        <v>2128</v>
      </c>
      <c r="E6" s="162" t="n">
        <v>1785</v>
      </c>
    </row>
    <row r="7" customFormat="false" ht="18.75" hidden="false" customHeight="true" outlineLevel="0" collapsed="false">
      <c r="B7" s="163" t="s">
        <v>200</v>
      </c>
      <c r="C7" s="164" t="n">
        <v>1314</v>
      </c>
      <c r="D7" s="165" t="n">
        <v>1917</v>
      </c>
      <c r="E7" s="166" t="n">
        <v>1612</v>
      </c>
    </row>
    <row r="10" customFormat="false" ht="15.75" hidden="false" customHeight="true" outlineLevel="0" collapsed="false">
      <c r="B10" s="151" t="s">
        <v>201</v>
      </c>
      <c r="C10" s="152" t="s">
        <v>194</v>
      </c>
      <c r="D10" s="153" t="s">
        <v>195</v>
      </c>
      <c r="E10" s="154" t="s">
        <v>196</v>
      </c>
    </row>
    <row r="11" customFormat="false" ht="18.75" hidden="false" customHeight="true" outlineLevel="0" collapsed="false">
      <c r="B11" s="155" t="s">
        <v>202</v>
      </c>
      <c r="C11" s="156" t="n">
        <v>16406</v>
      </c>
      <c r="D11" s="157" t="n">
        <v>17176</v>
      </c>
      <c r="E11" s="158" t="n">
        <v>17507</v>
      </c>
    </row>
    <row r="12" customFormat="false" ht="18.75" hidden="false" customHeight="true" outlineLevel="0" collapsed="false">
      <c r="B12" s="159" t="s">
        <v>203</v>
      </c>
      <c r="C12" s="160" t="n">
        <v>5643</v>
      </c>
      <c r="D12" s="161" t="n">
        <v>7614</v>
      </c>
      <c r="E12" s="162" t="n">
        <v>7037</v>
      </c>
    </row>
    <row r="13" customFormat="false" ht="18.75" hidden="false" customHeight="true" outlineLevel="0" collapsed="false">
      <c r="B13" s="163" t="s">
        <v>204</v>
      </c>
      <c r="C13" s="164" t="n">
        <v>4675</v>
      </c>
      <c r="D13" s="165" t="n">
        <v>4120</v>
      </c>
      <c r="E13" s="166" t="n">
        <v>3987</v>
      </c>
    </row>
    <row r="16" customFormat="false" ht="15.75" hidden="false" customHeight="true" outlineLevel="0" collapsed="false">
      <c r="B16" s="151" t="s">
        <v>141</v>
      </c>
      <c r="C16" s="152" t="s">
        <v>194</v>
      </c>
      <c r="D16" s="153" t="s">
        <v>195</v>
      </c>
      <c r="E16" s="154" t="s">
        <v>196</v>
      </c>
    </row>
    <row r="17" customFormat="false" ht="18.75" hidden="false" customHeight="true" outlineLevel="0" collapsed="false">
      <c r="B17" s="155" t="s">
        <v>205</v>
      </c>
      <c r="C17" s="156" t="n">
        <v>7422</v>
      </c>
      <c r="D17" s="157" t="n">
        <v>6401</v>
      </c>
      <c r="E17" s="158" t="n">
        <v>8153</v>
      </c>
    </row>
    <row r="18" customFormat="false" ht="18.75" hidden="false" customHeight="true" outlineLevel="0" collapsed="false">
      <c r="B18" s="159" t="s">
        <v>206</v>
      </c>
      <c r="C18" s="160" t="n">
        <v>3341</v>
      </c>
      <c r="D18" s="161" t="n">
        <v>3161</v>
      </c>
      <c r="E18" s="162" t="n">
        <v>2317</v>
      </c>
    </row>
    <row r="19" customFormat="false" ht="15.75" hidden="false" customHeight="true" outlineLevel="0" collapsed="false">
      <c r="B19" s="167" t="s">
        <v>207</v>
      </c>
      <c r="C19" s="168" t="n">
        <f aca="false">C17+C18</f>
        <v>10763</v>
      </c>
      <c r="D19" s="169" t="n">
        <f aca="false">D17+D18</f>
        <v>9562</v>
      </c>
      <c r="E19" s="170" t="n">
        <f aca="false">E17+E18</f>
        <v>10470</v>
      </c>
    </row>
    <row r="22" customFormat="false" ht="15.75" hidden="false" customHeight="true" outlineLevel="0" collapsed="false">
      <c r="B22" s="151" t="s">
        <v>208</v>
      </c>
      <c r="C22" s="152" t="s">
        <v>194</v>
      </c>
      <c r="D22" s="153" t="s">
        <v>195</v>
      </c>
      <c r="E22" s="154" t="s">
        <v>196</v>
      </c>
    </row>
    <row r="23" customFormat="false" ht="15.75" hidden="false" customHeight="true" outlineLevel="0" collapsed="false">
      <c r="B23" s="155" t="s">
        <v>209</v>
      </c>
      <c r="C23" s="171" t="n">
        <f aca="false">(C4-4800.9)/4800.9</f>
        <v>1.24437084713283</v>
      </c>
      <c r="D23" s="171" t="n">
        <f aca="false">(D4-C4)/C4</f>
        <v>0.247703016241299</v>
      </c>
      <c r="E23" s="172" t="n">
        <f aca="false">(E4-D4)/D4</f>
        <v>0.0375632252305861</v>
      </c>
    </row>
    <row r="24" customFormat="false" ht="15.75" hidden="false" customHeight="true" outlineLevel="0" collapsed="false">
      <c r="B24" s="159" t="s">
        <v>210</v>
      </c>
      <c r="C24" s="173" t="s">
        <v>211</v>
      </c>
      <c r="D24" s="174" t="n">
        <f aca="false">(D7-C7)/C7</f>
        <v>0.458904109589041</v>
      </c>
      <c r="E24" s="175" t="n">
        <f aca="false">(E7-D7)/D7</f>
        <v>-0.159102764736568</v>
      </c>
    </row>
    <row r="25" customFormat="false" ht="15.75" hidden="false" customHeight="true" outlineLevel="0" collapsed="false">
      <c r="B25" s="159" t="s">
        <v>212</v>
      </c>
      <c r="C25" s="176" t="n">
        <f aca="false">C7/C4</f>
        <v>0.121948955916473</v>
      </c>
      <c r="D25" s="174" t="n">
        <f aca="false">D7/D4</f>
        <v>0.142591490627789</v>
      </c>
      <c r="E25" s="175" t="n">
        <f aca="false">E7/E4</f>
        <v>0.115563839701771</v>
      </c>
    </row>
    <row r="26" customFormat="false" ht="15.75" hidden="false" customHeight="true" outlineLevel="0" collapsed="false">
      <c r="B26" s="159" t="s">
        <v>213</v>
      </c>
      <c r="C26" s="176" t="n">
        <f aca="false">(C4-C5)/C4</f>
        <v>0.133921113689095</v>
      </c>
      <c r="D26" s="174" t="n">
        <f aca="false">(D4-D5)/D4</f>
        <v>0.153302588515323</v>
      </c>
      <c r="E26" s="175" t="n">
        <f aca="false">(E4-E5)/E4</f>
        <v>0.111692594451215</v>
      </c>
    </row>
    <row r="27" customFormat="false" ht="15.75" hidden="false" customHeight="true" outlineLevel="0" collapsed="false">
      <c r="B27" s="159" t="s">
        <v>214</v>
      </c>
      <c r="C27" s="176" t="n">
        <f aca="false">C5/C4</f>
        <v>0.866078886310905</v>
      </c>
      <c r="D27" s="174" t="n">
        <f aca="false">D5/D4</f>
        <v>0.846697411484677</v>
      </c>
      <c r="E27" s="175" t="n">
        <f aca="false">E5/E4</f>
        <v>0.888307405548785</v>
      </c>
    </row>
    <row r="28" customFormat="false" ht="15.75" hidden="false" customHeight="true" outlineLevel="0" collapsed="false">
      <c r="B28" s="159" t="s">
        <v>215</v>
      </c>
      <c r="C28" s="176" t="n">
        <f aca="false">C7/C11</f>
        <v>0.0800926490308424</v>
      </c>
      <c r="D28" s="174" t="n">
        <f aca="false">D7/D11</f>
        <v>0.11160922217047</v>
      </c>
      <c r="E28" s="175" t="n">
        <f aca="false">E7/E11</f>
        <v>0.0920774547323928</v>
      </c>
    </row>
    <row r="29" customFormat="false" ht="15.75" hidden="false" customHeight="true" outlineLevel="0" collapsed="false">
      <c r="B29" s="159" t="s">
        <v>216</v>
      </c>
      <c r="C29" s="176" t="n">
        <f aca="false">C7/C12</f>
        <v>0.232854864433812</v>
      </c>
      <c r="D29" s="174" t="n">
        <f aca="false">D7/D12</f>
        <v>0.25177304964539</v>
      </c>
      <c r="E29" s="175" t="n">
        <f aca="false">E7/E12</f>
        <v>0.229074889867841</v>
      </c>
    </row>
    <row r="30" customFormat="false" ht="15.75" hidden="false" customHeight="true" outlineLevel="0" collapsed="false">
      <c r="B30" s="159" t="s">
        <v>217</v>
      </c>
      <c r="C30" s="176" t="n">
        <f aca="false">C19/C11</f>
        <v>0.656040472997684</v>
      </c>
      <c r="D30" s="174" t="n">
        <f aca="false">D19/D11</f>
        <v>0.556707033069399</v>
      </c>
      <c r="E30" s="175" t="n">
        <f aca="false">E19/E11</f>
        <v>0.598046495687439</v>
      </c>
    </row>
    <row r="31" customFormat="false" ht="15.75" hidden="false" customHeight="true" outlineLevel="0" collapsed="false">
      <c r="B31" s="163" t="s">
        <v>218</v>
      </c>
      <c r="C31" s="177" t="n">
        <f aca="false">C12/C11</f>
        <v>0.343959527002316</v>
      </c>
      <c r="D31" s="178" t="n">
        <f aca="false">D12/D11</f>
        <v>0.443292966930601</v>
      </c>
      <c r="E31" s="179" t="n">
        <f aca="false">E12/E11</f>
        <v>0.401953504312561</v>
      </c>
    </row>
    <row r="33" customFormat="false" ht="15.75" hidden="false" customHeight="true" outlineLevel="0" collapsed="false">
      <c r="B33" s="149" t="s">
        <v>219</v>
      </c>
    </row>
    <row r="35" customFormat="false" ht="15.75" hidden="false" customHeight="true" outlineLevel="0" collapsed="false">
      <c r="B35" s="149" t="s">
        <v>220</v>
      </c>
    </row>
    <row r="36" customFormat="false" ht="15.75" hidden="false" customHeight="true" outlineLevel="0" collapsed="false">
      <c r="B36" s="149" t="s">
        <v>221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4" min="4" style="1" width="3"/>
    <col collapsed="false" customWidth="true" hidden="false" outlineLevel="0" max="5" min="5" style="1" width="24"/>
    <col collapsed="false" customWidth="true" hidden="false" outlineLevel="0" max="16" min="6" style="1" width="11"/>
  </cols>
  <sheetData>
    <row r="1" customFormat="false" ht="15" hidden="false" customHeight="true" outlineLevel="0" collapsed="false">
      <c r="B1" s="78" t="s">
        <v>222</v>
      </c>
    </row>
    <row r="3" customFormat="false" ht="15" hidden="false" customHeight="true" outlineLevel="0" collapsed="false">
      <c r="B3" s="79" t="s">
        <v>223</v>
      </c>
      <c r="C3" s="79"/>
    </row>
    <row r="4" customFormat="false" ht="15" hidden="false" customHeight="true" outlineLevel="0" collapsed="false">
      <c r="B4" s="81" t="s">
        <v>33</v>
      </c>
      <c r="C4" s="180" t="n">
        <f aca="false">'Sources &amp; Checks'!$B$14</f>
        <v>0.1</v>
      </c>
    </row>
    <row r="5" customFormat="false" ht="15" hidden="false" customHeight="true" outlineLevel="0" collapsed="false">
      <c r="B5" s="81" t="s">
        <v>224</v>
      </c>
      <c r="C5" s="181" t="n">
        <f aca="false">'Sources &amp; Checks'!$B$21</f>
        <v>0.0805</v>
      </c>
    </row>
    <row r="6" customFormat="false" ht="15" hidden="false" customHeight="true" outlineLevel="0" collapsed="false">
      <c r="B6" s="81" t="s">
        <v>225</v>
      </c>
      <c r="C6" s="181" t="n">
        <f aca="false">'Sources &amp; Checks'!$B$22</f>
        <v>0.1828</v>
      </c>
    </row>
    <row r="7" customFormat="false" ht="15" hidden="false" customHeight="true" outlineLevel="0" collapsed="false">
      <c r="B7" s="81" t="s">
        <v>226</v>
      </c>
      <c r="C7" s="181" t="n">
        <f aca="false">'Sources &amp; Checks'!$B$23</f>
        <v>-0.0287</v>
      </c>
    </row>
    <row r="8" customFormat="false" ht="15" hidden="false" customHeight="true" outlineLevel="0" collapsed="false">
      <c r="B8" s="81" t="s">
        <v>227</v>
      </c>
      <c r="C8" s="182" t="n">
        <f aca="false">DCF!$N$20</f>
        <v>13948.5</v>
      </c>
    </row>
    <row r="9" customFormat="false" ht="15" hidden="false" customHeight="true" outlineLevel="0" collapsed="false">
      <c r="B9" s="81" t="s">
        <v>228</v>
      </c>
      <c r="C9" s="182" t="n">
        <f aca="false">'Sources &amp; Checks'!$B$6</f>
        <v>2400</v>
      </c>
    </row>
    <row r="10" customFormat="false" ht="15" hidden="false" customHeight="true" outlineLevel="0" collapsed="false">
      <c r="B10" s="81" t="s">
        <v>229</v>
      </c>
      <c r="C10" s="182" t="n">
        <f aca="false">'Sources &amp; Checks'!$B$7</f>
        <v>1500</v>
      </c>
    </row>
    <row r="11" customFormat="false" ht="15" hidden="false" customHeight="true" outlineLevel="0" collapsed="false">
      <c r="B11" s="81" t="s">
        <v>230</v>
      </c>
      <c r="C11" s="182" t="n">
        <f aca="false">'Sources &amp; Checks'!$B$9</f>
        <v>1066.8</v>
      </c>
    </row>
    <row r="12" customFormat="false" ht="15" hidden="false" customHeight="true" outlineLevel="0" collapsed="false">
      <c r="B12" s="81" t="s">
        <v>231</v>
      </c>
      <c r="C12" s="183" t="n">
        <f aca="false">DCF!$D$18</f>
        <v>9</v>
      </c>
    </row>
    <row r="15" customFormat="false" ht="15" hidden="false" customHeight="true" outlineLevel="0" collapsed="false">
      <c r="B15" s="184" t="s">
        <v>232</v>
      </c>
    </row>
    <row r="16" customFormat="false" ht="15" hidden="false" customHeight="true" outlineLevel="0" collapsed="false">
      <c r="B16" s="79" t="s">
        <v>13</v>
      </c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</row>
    <row r="17" customFormat="false" ht="15" hidden="false" customHeight="true" outlineLevel="0" collapsed="false">
      <c r="B17" s="185" t="s">
        <v>233</v>
      </c>
      <c r="C17" s="185" t="s">
        <v>147</v>
      </c>
      <c r="E17" s="185" t="s">
        <v>234</v>
      </c>
      <c r="F17" s="186" t="str">
        <f aca="false">"FY"&amp;RIGHT(DCF!O$38,2)</f>
        <v>FY26</v>
      </c>
      <c r="G17" s="186" t="str">
        <f aca="false">"FY"&amp;RIGHT(DCF!P$38,2)</f>
        <v>FY27</v>
      </c>
      <c r="H17" s="186" t="str">
        <f aca="false">"FY"&amp;RIGHT(DCF!Q$38,2)</f>
        <v>FY28</v>
      </c>
      <c r="I17" s="186" t="str">
        <f aca="false">"FY"&amp;RIGHT(DCF!R$38,2)</f>
        <v>FY29</v>
      </c>
      <c r="J17" s="186" t="str">
        <f aca="false">"FY"&amp;RIGHT(DCF!S$38,2)</f>
        <v>FY30</v>
      </c>
      <c r="K17" s="186" t="str">
        <f aca="false">"FY"&amp;RIGHT(DCF!T$38,2)</f>
        <v>FY31</v>
      </c>
      <c r="L17" s="186" t="str">
        <f aca="false">"FY"&amp;RIGHT(DCF!U$38,2)</f>
        <v>FY32</v>
      </c>
      <c r="M17" s="186" t="str">
        <f aca="false">"FY"&amp;RIGHT(DCF!V$38,2)</f>
        <v>FY33</v>
      </c>
      <c r="N17" s="186" t="str">
        <f aca="false">"FY"&amp;RIGHT(DCF!W$38,2)</f>
        <v>FY34</v>
      </c>
      <c r="O17" s="186" t="str">
        <f aca="false">"FY"&amp;RIGHT(DCF!X$38,2)</f>
        <v>FY35</v>
      </c>
      <c r="P17" s="186" t="s">
        <v>40</v>
      </c>
    </row>
    <row r="18" customFormat="false" ht="15" hidden="false" customHeight="true" outlineLevel="0" collapsed="false">
      <c r="B18" s="81" t="s">
        <v>235</v>
      </c>
      <c r="C18" s="181" t="n">
        <f aca="false">DCF!$H$11</f>
        <v>0.07</v>
      </c>
      <c r="E18" s="81" t="s">
        <v>76</v>
      </c>
      <c r="F18" s="187" t="n">
        <f aca="false">$C$18</f>
        <v>0.07</v>
      </c>
      <c r="G18" s="187" t="n">
        <f aca="false">F18-($C$18-$C$21)/$C$12</f>
        <v>0.0633333333333333</v>
      </c>
      <c r="H18" s="187" t="n">
        <f aca="false">G18-($C$18-$C$21)/$C$12</f>
        <v>0.0566666666666667</v>
      </c>
      <c r="I18" s="187" t="n">
        <f aca="false">H18-($C$18-$C$21)/$C$12</f>
        <v>0.05</v>
      </c>
      <c r="J18" s="187" t="n">
        <f aca="false">I18-($C$18-$C$21)/$C$12</f>
        <v>0.0433333333333333</v>
      </c>
      <c r="K18" s="187" t="n">
        <f aca="false">J18-($C$18-$C$21)/$C$12</f>
        <v>0.0366666666666667</v>
      </c>
      <c r="L18" s="187" t="n">
        <f aca="false">K18-($C$18-$C$21)/$C$12</f>
        <v>0.03</v>
      </c>
      <c r="M18" s="187" t="n">
        <f aca="false">L18-($C$18-$C$21)/$C$12</f>
        <v>0.0233333333333333</v>
      </c>
      <c r="N18" s="187" t="n">
        <f aca="false">M18-($C$18-$C$21)/$C$12</f>
        <v>0.0166666666666667</v>
      </c>
      <c r="O18" s="187" t="n">
        <f aca="false">N18-($C$18-$C$21)/$C$12</f>
        <v>0.01</v>
      </c>
    </row>
    <row r="19" customFormat="false" ht="15" hidden="false" customHeight="true" outlineLevel="0" collapsed="false">
      <c r="B19" s="81" t="s">
        <v>236</v>
      </c>
      <c r="C19" s="181" t="n">
        <f aca="false">DCF!$H$13</f>
        <v>0.16</v>
      </c>
      <c r="E19" s="81" t="s">
        <v>16</v>
      </c>
      <c r="F19" s="188" t="n">
        <f aca="false">$C$8*(1+F18)</f>
        <v>14924.895</v>
      </c>
      <c r="G19" s="188" t="n">
        <f aca="false">F19*(1+G18)</f>
        <v>15870.13835</v>
      </c>
      <c r="H19" s="188" t="n">
        <f aca="false">G19*(1+H18)</f>
        <v>16769.4461898333</v>
      </c>
      <c r="I19" s="188" t="n">
        <f aca="false">H19*(1+I18)</f>
        <v>17607.918499325</v>
      </c>
      <c r="J19" s="188" t="n">
        <f aca="false">I19*(1+J18)</f>
        <v>18370.9283009624</v>
      </c>
      <c r="K19" s="188" t="n">
        <f aca="false">J19*(1+K18)</f>
        <v>19044.529005331</v>
      </c>
      <c r="L19" s="188" t="n">
        <f aca="false">K19*(1+L18)</f>
        <v>19615.864875491</v>
      </c>
      <c r="M19" s="188" t="n">
        <f aca="false">L19*(1+M18)</f>
        <v>20073.5683892524</v>
      </c>
      <c r="N19" s="188" t="n">
        <f aca="false">M19*(1+N18)</f>
        <v>20408.1278624066</v>
      </c>
      <c r="O19" s="188" t="n">
        <f aca="false">N19*(1+O18)</f>
        <v>20612.2091410307</v>
      </c>
    </row>
    <row r="20" customFormat="false" ht="15" hidden="false" customHeight="true" outlineLevel="0" collapsed="false">
      <c r="B20" s="81" t="s">
        <v>21</v>
      </c>
      <c r="C20" s="189" t="n">
        <f aca="false">DCF!$H$16</f>
        <v>0.092</v>
      </c>
      <c r="E20" s="81" t="s">
        <v>237</v>
      </c>
      <c r="F20" s="188" t="n">
        <f aca="false">F19*$C$19*(1-$C$4)</f>
        <v>2149.18488</v>
      </c>
      <c r="G20" s="188" t="n">
        <f aca="false">G19*$C$19*(1-$C$4)</f>
        <v>2285.2999224</v>
      </c>
      <c r="H20" s="188" t="n">
        <f aca="false">H19*$C$19*(1-$C$4)</f>
        <v>2414.800251336</v>
      </c>
      <c r="I20" s="188" t="n">
        <f aca="false">I19*$C$19*(1-$C$4)</f>
        <v>2535.5402639028</v>
      </c>
      <c r="J20" s="188" t="n">
        <f aca="false">J19*$C$19*(1-$C$4)</f>
        <v>2645.41367533859</v>
      </c>
      <c r="K20" s="188" t="n">
        <f aca="false">K19*$C$19*(1-$C$4)</f>
        <v>2742.41217676767</v>
      </c>
      <c r="L20" s="188" t="n">
        <f aca="false">L19*$C$19*(1-$C$4)</f>
        <v>2824.6845420707</v>
      </c>
      <c r="M20" s="188" t="n">
        <f aca="false">M19*$C$19*(1-$C$4)</f>
        <v>2890.59384805235</v>
      </c>
      <c r="N20" s="188" t="n">
        <f aca="false">N19*$C$19*(1-$C$4)</f>
        <v>2938.77041218656</v>
      </c>
      <c r="O20" s="188" t="n">
        <f aca="false">O19*$C$19*(1-$C$4)</f>
        <v>2968.15811630842</v>
      </c>
      <c r="P20" s="188" t="n">
        <f aca="false">O20*(1+$C$21)</f>
        <v>2997.83969747151</v>
      </c>
    </row>
    <row r="21" customFormat="false" ht="15" hidden="false" customHeight="true" outlineLevel="0" collapsed="false">
      <c r="B21" s="81" t="s">
        <v>238</v>
      </c>
      <c r="C21" s="181" t="n">
        <f aca="false">DCF!$H$17</f>
        <v>0.01</v>
      </c>
      <c r="E21" s="81" t="s">
        <v>35</v>
      </c>
      <c r="F21" s="188" t="n">
        <f aca="false">F19*$C$5</f>
        <v>1201.4540475</v>
      </c>
      <c r="G21" s="188" t="n">
        <f aca="false">G19*$C$5</f>
        <v>1277.546137175</v>
      </c>
      <c r="H21" s="188" t="n">
        <f aca="false">H19*$C$5</f>
        <v>1349.94041828158</v>
      </c>
      <c r="I21" s="188" t="n">
        <f aca="false">I19*$C$5</f>
        <v>1417.43743919566</v>
      </c>
      <c r="J21" s="188" t="n">
        <f aca="false">J19*$C$5</f>
        <v>1478.85972822747</v>
      </c>
      <c r="K21" s="188" t="n">
        <f aca="false">K19*$C$5</f>
        <v>1533.08458492915</v>
      </c>
      <c r="L21" s="188" t="n">
        <f aca="false">L19*$C$5</f>
        <v>1579.07712247702</v>
      </c>
      <c r="M21" s="188" t="n">
        <f aca="false">M19*$C$5</f>
        <v>1615.92225533482</v>
      </c>
      <c r="N21" s="188" t="n">
        <f aca="false">N19*$C$5</f>
        <v>1642.85429292373</v>
      </c>
      <c r="O21" s="188" t="n">
        <f aca="false">O19*$C$5</f>
        <v>1659.28283585297</v>
      </c>
    </row>
    <row r="22" customFormat="false" ht="15" hidden="false" customHeight="true" outlineLevel="0" collapsed="false">
      <c r="E22" s="81" t="s">
        <v>36</v>
      </c>
      <c r="F22" s="188" t="n">
        <f aca="false">F19*$C$6</f>
        <v>2728.270806</v>
      </c>
      <c r="G22" s="188" t="n">
        <f aca="false">G19*$C$6</f>
        <v>2901.06129038</v>
      </c>
      <c r="H22" s="188" t="n">
        <f aca="false">H19*$C$6</f>
        <v>3065.45476350153</v>
      </c>
      <c r="I22" s="188" t="n">
        <f aca="false">I19*$C$6</f>
        <v>3218.72750167661</v>
      </c>
      <c r="J22" s="188" t="n">
        <f aca="false">J19*$C$6</f>
        <v>3358.20569341593</v>
      </c>
      <c r="K22" s="188" t="n">
        <f aca="false">K19*$C$6</f>
        <v>3481.33990217451</v>
      </c>
      <c r="L22" s="188" t="n">
        <f aca="false">L19*$C$6</f>
        <v>3585.78009923975</v>
      </c>
      <c r="M22" s="188" t="n">
        <f aca="false">M19*$C$6</f>
        <v>3669.44830155534</v>
      </c>
      <c r="N22" s="188" t="n">
        <f aca="false">N19*$C$6</f>
        <v>3730.60577324793</v>
      </c>
      <c r="O22" s="188" t="n">
        <f aca="false">O19*$C$6</f>
        <v>3767.91183098041</v>
      </c>
    </row>
    <row r="23" customFormat="false" ht="15" hidden="false" customHeight="true" outlineLevel="0" collapsed="false">
      <c r="E23" s="81" t="s">
        <v>239</v>
      </c>
      <c r="F23" s="188" t="n">
        <f aca="false">F19*$C$7</f>
        <v>-428.3444865</v>
      </c>
      <c r="G23" s="188" t="n">
        <f aca="false">G19*$C$7</f>
        <v>-455.472970645</v>
      </c>
      <c r="H23" s="188" t="n">
        <f aca="false">H19*$C$7</f>
        <v>-481.283105648217</v>
      </c>
      <c r="I23" s="188" t="n">
        <f aca="false">I19*$C$7</f>
        <v>-505.347260930627</v>
      </c>
      <c r="J23" s="188" t="n">
        <f aca="false">J19*$C$7</f>
        <v>-527.245642237621</v>
      </c>
      <c r="K23" s="188" t="n">
        <f aca="false">K19*$C$7</f>
        <v>-546.577982453001</v>
      </c>
      <c r="L23" s="188" t="n">
        <f aca="false">L19*$C$7</f>
        <v>-562.975321926591</v>
      </c>
      <c r="M23" s="188" t="n">
        <f aca="false">M19*$C$7</f>
        <v>-576.111412771545</v>
      </c>
      <c r="N23" s="188" t="n">
        <f aca="false">N19*$C$7</f>
        <v>-585.71326965107</v>
      </c>
      <c r="O23" s="188" t="n">
        <f aca="false">O19*$C$7</f>
        <v>-591.570402347581</v>
      </c>
    </row>
    <row r="24" customFormat="false" ht="15" hidden="false" customHeight="true" outlineLevel="0" collapsed="false">
      <c r="E24" s="80" t="s">
        <v>46</v>
      </c>
      <c r="F24" s="190" t="n">
        <f aca="false">F20+F21-F22-F23</f>
        <v>1050.712608</v>
      </c>
      <c r="G24" s="190" t="n">
        <f aca="false">G20+G21-G22-G23</f>
        <v>1117.25773984</v>
      </c>
      <c r="H24" s="190" t="n">
        <f aca="false">H20+H21-H22-H23</f>
        <v>1180.56901176427</v>
      </c>
      <c r="I24" s="190" t="n">
        <f aca="false">I20+I21-I22-I23</f>
        <v>1239.59746235248</v>
      </c>
      <c r="J24" s="190" t="n">
        <f aca="false">J20+J21-J22-J23</f>
        <v>1293.31335238775</v>
      </c>
      <c r="K24" s="190" t="n">
        <f aca="false">K20+K21-K22-K23</f>
        <v>1340.73484197531</v>
      </c>
      <c r="L24" s="190" t="n">
        <f aca="false">L20+L21-L22-L23</f>
        <v>1380.95688723456</v>
      </c>
      <c r="M24" s="190" t="n">
        <f aca="false">M20+M21-M22-M23</f>
        <v>1413.17921460337</v>
      </c>
      <c r="N24" s="190" t="n">
        <f aca="false">N20+N21-N22-N23</f>
        <v>1436.73220151343</v>
      </c>
      <c r="O24" s="190" t="n">
        <f aca="false">O20+O21-O22-O23</f>
        <v>1451.09952352856</v>
      </c>
      <c r="P24" s="190" t="n">
        <f aca="false">P20*(1-$C$21/$C$20)</f>
        <v>2671.98755644199</v>
      </c>
    </row>
    <row r="25" customFormat="false" ht="15" hidden="false" customHeight="true" outlineLevel="0" collapsed="false">
      <c r="B25" s="81" t="s">
        <v>240</v>
      </c>
      <c r="C25" s="182" t="n">
        <f aca="false">SUM(F26:O26)</f>
        <v>9027.66104000557</v>
      </c>
      <c r="E25" s="81" t="s">
        <v>241</v>
      </c>
      <c r="F25" s="191" t="n">
        <f aca="false">DCF!O$71</f>
        <v>0.0347222222222222</v>
      </c>
      <c r="G25" s="191" t="n">
        <f aca="false">DCF!P$71</f>
        <v>0.569444444444444</v>
      </c>
      <c r="H25" s="191" t="n">
        <f aca="false">DCF!Q$71</f>
        <v>1.56944444444444</v>
      </c>
      <c r="I25" s="191" t="n">
        <f aca="false">DCF!R$71</f>
        <v>2.56944444444444</v>
      </c>
      <c r="J25" s="191" t="n">
        <f aca="false">DCF!S$71</f>
        <v>3.56944444444444</v>
      </c>
      <c r="K25" s="191" t="n">
        <f aca="false">DCF!T$71</f>
        <v>4.56944444444445</v>
      </c>
      <c r="L25" s="191" t="n">
        <f aca="false">DCF!U$71</f>
        <v>5.56944444444445</v>
      </c>
      <c r="M25" s="191" t="n">
        <f aca="false">DCF!V$71</f>
        <v>6.56944444444445</v>
      </c>
      <c r="N25" s="191" t="n">
        <f aca="false">DCF!W$71</f>
        <v>7.56944444444445</v>
      </c>
      <c r="O25" s="191" t="n">
        <f aca="false">DCF!X$71</f>
        <v>8.56944444444445</v>
      </c>
    </row>
    <row r="26" customFormat="false" ht="15" hidden="false" customHeight="true" outlineLevel="0" collapsed="false">
      <c r="B26" s="81" t="s">
        <v>73</v>
      </c>
      <c r="C26" s="182" t="n">
        <f aca="false">P24/($C$20-$C$21)</f>
        <v>32585.2141029511</v>
      </c>
      <c r="E26" s="81" t="s">
        <v>242</v>
      </c>
      <c r="F26" s="188" t="n">
        <f aca="false">F24/(1+$C$20)^F25</f>
        <v>1047.50660158093</v>
      </c>
      <c r="G26" s="188" t="n">
        <f aca="false">G24/(1+$C$20)^G25</f>
        <v>1062.64377599629</v>
      </c>
      <c r="H26" s="188" t="n">
        <f aca="false">H24/(1+$C$20)^H25</f>
        <v>1028.2603082748</v>
      </c>
      <c r="I26" s="188" t="n">
        <f aca="false">I24/(1+$C$20)^I25</f>
        <v>988.711834879612</v>
      </c>
      <c r="J26" s="188" t="n">
        <f aca="false">J24/(1+$C$20)^J25</f>
        <v>944.648364826979</v>
      </c>
      <c r="K26" s="188" t="n">
        <f aca="false">K24/(1+$C$20)^K25</f>
        <v>896.781567341851</v>
      </c>
      <c r="L26" s="188" t="n">
        <f aca="false">L24/(1+$C$20)^L25</f>
        <v>845.865397767497</v>
      </c>
      <c r="M26" s="188" t="n">
        <f aca="false">M24/(1+$C$20)^M25</f>
        <v>792.676059568442</v>
      </c>
      <c r="N26" s="188" t="n">
        <f aca="false">N24/(1+$C$20)^N25</f>
        <v>737.992057901022</v>
      </c>
      <c r="O26" s="188" t="n">
        <f aca="false">O24/(1+$C$20)^O25</f>
        <v>682.575071868161</v>
      </c>
    </row>
    <row r="27" customFormat="false" ht="15" hidden="false" customHeight="true" outlineLevel="0" collapsed="false">
      <c r="B27" s="81" t="s">
        <v>243</v>
      </c>
      <c r="C27" s="182" t="n">
        <f aca="false">C26/(1+$C$20)^O25</f>
        <v>15327.5874586996</v>
      </c>
    </row>
    <row r="28" customFormat="false" ht="15" hidden="false" customHeight="true" outlineLevel="0" collapsed="false">
      <c r="B28" s="81" t="s">
        <v>244</v>
      </c>
      <c r="C28" s="182" t="n">
        <f aca="false">C25+C27</f>
        <v>24355.2484987051</v>
      </c>
    </row>
    <row r="29" customFormat="false" ht="15" hidden="false" customHeight="true" outlineLevel="0" collapsed="false">
      <c r="B29" s="81" t="s">
        <v>245</v>
      </c>
      <c r="C29" s="182" t="n">
        <f aca="false">C28+$C$9-$C$10</f>
        <v>25255.2484987051</v>
      </c>
    </row>
    <row r="30" customFormat="false" ht="15" hidden="false" customHeight="true" outlineLevel="0" collapsed="false">
      <c r="B30" s="185" t="s">
        <v>246</v>
      </c>
      <c r="C30" s="192" t="n">
        <f aca="false">C29/$C$11</f>
        <v>23.6738362380063</v>
      </c>
    </row>
    <row r="33" customFormat="false" ht="15" hidden="false" customHeight="true" outlineLevel="0" collapsed="false">
      <c r="B33" s="79" t="s">
        <v>64</v>
      </c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</row>
    <row r="34" customFormat="false" ht="15" hidden="false" customHeight="true" outlineLevel="0" collapsed="false">
      <c r="B34" s="185" t="s">
        <v>233</v>
      </c>
      <c r="C34" s="185" t="s">
        <v>147</v>
      </c>
      <c r="E34" s="185" t="s">
        <v>234</v>
      </c>
      <c r="F34" s="186" t="str">
        <f aca="false">"FY"&amp;RIGHT(DCF!O$38,2)</f>
        <v>FY26</v>
      </c>
      <c r="G34" s="186" t="str">
        <f aca="false">"FY"&amp;RIGHT(DCF!P$38,2)</f>
        <v>FY27</v>
      </c>
      <c r="H34" s="186" t="str">
        <f aca="false">"FY"&amp;RIGHT(DCF!Q$38,2)</f>
        <v>FY28</v>
      </c>
      <c r="I34" s="186" t="str">
        <f aca="false">"FY"&amp;RIGHT(DCF!R$38,2)</f>
        <v>FY29</v>
      </c>
      <c r="J34" s="186" t="str">
        <f aca="false">"FY"&amp;RIGHT(DCF!S$38,2)</f>
        <v>FY30</v>
      </c>
      <c r="K34" s="186" t="str">
        <f aca="false">"FY"&amp;RIGHT(DCF!T$38,2)</f>
        <v>FY31</v>
      </c>
      <c r="L34" s="186" t="str">
        <f aca="false">"FY"&amp;RIGHT(DCF!U$38,2)</f>
        <v>FY32</v>
      </c>
      <c r="M34" s="186" t="str">
        <f aca="false">"FY"&amp;RIGHT(DCF!V$38,2)</f>
        <v>FY33</v>
      </c>
      <c r="N34" s="186" t="str">
        <f aca="false">"FY"&amp;RIGHT(DCF!W$38,2)</f>
        <v>FY34</v>
      </c>
      <c r="O34" s="186" t="str">
        <f aca="false">"FY"&amp;RIGHT(DCF!X$38,2)</f>
        <v>FY35</v>
      </c>
      <c r="P34" s="186" t="s">
        <v>40</v>
      </c>
    </row>
    <row r="35" customFormat="false" ht="15" hidden="false" customHeight="true" outlineLevel="0" collapsed="false">
      <c r="B35" s="81" t="s">
        <v>235</v>
      </c>
      <c r="C35" s="181" t="n">
        <f aca="false">DCF!$L$11</f>
        <v>0.0909</v>
      </c>
      <c r="E35" s="81" t="s">
        <v>76</v>
      </c>
      <c r="F35" s="187" t="n">
        <f aca="false">$C$35</f>
        <v>0.0909</v>
      </c>
      <c r="G35" s="187" t="n">
        <f aca="false">F35-($C$35-$C$38)/$C$12</f>
        <v>0.0824666666666667</v>
      </c>
      <c r="H35" s="187" t="n">
        <f aca="false">G35-($C$35-$C$38)/$C$12</f>
        <v>0.0740333333333333</v>
      </c>
      <c r="I35" s="187" t="n">
        <f aca="false">H35-($C$35-$C$38)/$C$12</f>
        <v>0.0656</v>
      </c>
      <c r="J35" s="187" t="n">
        <f aca="false">I35-($C$35-$C$38)/$C$12</f>
        <v>0.0571666666666667</v>
      </c>
      <c r="K35" s="187" t="n">
        <f aca="false">J35-($C$35-$C$38)/$C$12</f>
        <v>0.0487333333333333</v>
      </c>
      <c r="L35" s="187" t="n">
        <f aca="false">K35-($C$35-$C$38)/$C$12</f>
        <v>0.0403</v>
      </c>
      <c r="M35" s="187" t="n">
        <f aca="false">L35-($C$35-$C$38)/$C$12</f>
        <v>0.0318666666666667</v>
      </c>
      <c r="N35" s="187" t="n">
        <f aca="false">M35-($C$35-$C$38)/$C$12</f>
        <v>0.0234333333333333</v>
      </c>
      <c r="O35" s="187" t="n">
        <f aca="false">N35-($C$35-$C$38)/$C$12</f>
        <v>0.015</v>
      </c>
    </row>
    <row r="36" customFormat="false" ht="15" hidden="false" customHeight="true" outlineLevel="0" collapsed="false">
      <c r="B36" s="81" t="s">
        <v>236</v>
      </c>
      <c r="C36" s="181" t="n">
        <f aca="false">DCF!$L$13</f>
        <v>0.1722</v>
      </c>
      <c r="E36" s="81" t="s">
        <v>16</v>
      </c>
      <c r="F36" s="188" t="n">
        <f aca="false">$C$8*(1+F35)</f>
        <v>15216.41865</v>
      </c>
      <c r="G36" s="188" t="n">
        <f aca="false">F36*(1+G35)</f>
        <v>16471.26597467</v>
      </c>
      <c r="H36" s="188" t="n">
        <f aca="false">G36*(1+H35)</f>
        <v>17690.6886989947</v>
      </c>
      <c r="I36" s="188" t="n">
        <f aca="false">H36*(1+I35)</f>
        <v>18851.1978776488</v>
      </c>
      <c r="J36" s="188" t="n">
        <f aca="false">I36*(1+J35)</f>
        <v>19928.8580229877</v>
      </c>
      <c r="K36" s="188" t="n">
        <f aca="false">J36*(1+K35)</f>
        <v>20900.0577039746</v>
      </c>
      <c r="L36" s="188" t="n">
        <f aca="false">K36*(1+L35)</f>
        <v>21742.3300294448</v>
      </c>
      <c r="M36" s="188" t="n">
        <f aca="false">L36*(1+M35)</f>
        <v>22435.1856130498</v>
      </c>
      <c r="N36" s="188" t="n">
        <f aca="false">M36*(1+N35)</f>
        <v>22960.9167959156</v>
      </c>
      <c r="O36" s="188" t="n">
        <f aca="false">N36*(1+O35)</f>
        <v>23305.3305478543</v>
      </c>
    </row>
    <row r="37" customFormat="false" ht="15" hidden="false" customHeight="true" outlineLevel="0" collapsed="false">
      <c r="B37" s="81" t="s">
        <v>21</v>
      </c>
      <c r="C37" s="189" t="n">
        <f aca="false">DCF!$L$16</f>
        <v>0.0858338239797238</v>
      </c>
      <c r="E37" s="81" t="s">
        <v>237</v>
      </c>
      <c r="F37" s="188" t="n">
        <f aca="false">F36*$C$36*(1-$C$4)</f>
        <v>2358.240562377</v>
      </c>
      <c r="G37" s="188" t="n">
        <f aca="false">G36*$C$36*(1-$C$4)</f>
        <v>2552.71680075436</v>
      </c>
      <c r="H37" s="188" t="n">
        <f aca="false">H36*$C$36*(1-$C$4)</f>
        <v>2741.7029345702</v>
      </c>
      <c r="I37" s="188" t="n">
        <f aca="false">I36*$C$36*(1-$C$4)</f>
        <v>2921.55864707801</v>
      </c>
      <c r="J37" s="188" t="n">
        <f aca="false">J36*$C$36*(1-$C$4)</f>
        <v>3088.57441640264</v>
      </c>
      <c r="K37" s="188" t="n">
        <f aca="false">K36*$C$36*(1-$C$4)</f>
        <v>3239.09094296199</v>
      </c>
      <c r="L37" s="188" t="n">
        <f aca="false">L36*$C$36*(1-$C$4)</f>
        <v>3369.62630796336</v>
      </c>
      <c r="M37" s="188" t="n">
        <f aca="false">M36*$C$36*(1-$C$4)</f>
        <v>3477.00506631046</v>
      </c>
      <c r="N37" s="188" t="n">
        <f aca="false">N36*$C$36*(1-$C$4)</f>
        <v>3558.482885031</v>
      </c>
      <c r="O37" s="188" t="n">
        <f aca="false">O36*$C$36*(1-$C$4)</f>
        <v>3611.86012830646</v>
      </c>
      <c r="P37" s="188" t="n">
        <f aca="false">O37*(1+$C$38)</f>
        <v>3666.03803023106</v>
      </c>
    </row>
    <row r="38" customFormat="false" ht="15" hidden="false" customHeight="true" outlineLevel="0" collapsed="false">
      <c r="B38" s="81" t="s">
        <v>238</v>
      </c>
      <c r="C38" s="181" t="n">
        <f aca="false">DCF!$L$17</f>
        <v>0.015</v>
      </c>
      <c r="E38" s="81" t="s">
        <v>35</v>
      </c>
      <c r="F38" s="188" t="n">
        <f aca="false">F36*$C$5</f>
        <v>1224.921701325</v>
      </c>
      <c r="G38" s="188" t="n">
        <f aca="false">G36*$C$5</f>
        <v>1325.93691096094</v>
      </c>
      <c r="H38" s="188" t="n">
        <f aca="false">H36*$C$5</f>
        <v>1424.10044026908</v>
      </c>
      <c r="I38" s="188" t="n">
        <f aca="false">I36*$C$5</f>
        <v>1517.52142915073</v>
      </c>
      <c r="J38" s="188" t="n">
        <f aca="false">J36*$C$5</f>
        <v>1604.27307085051</v>
      </c>
      <c r="K38" s="188" t="n">
        <f aca="false">K36*$C$5</f>
        <v>1682.45464516996</v>
      </c>
      <c r="L38" s="188" t="n">
        <f aca="false">L36*$C$5</f>
        <v>1750.25756737031</v>
      </c>
      <c r="M38" s="188" t="n">
        <f aca="false">M36*$C$5</f>
        <v>1806.03244185051</v>
      </c>
      <c r="N38" s="188" t="n">
        <f aca="false">N36*$C$5</f>
        <v>1848.35380207121</v>
      </c>
      <c r="O38" s="188" t="n">
        <f aca="false">O36*$C$5</f>
        <v>1876.07910910227</v>
      </c>
    </row>
    <row r="39" customFormat="false" ht="15" hidden="false" customHeight="true" outlineLevel="0" collapsed="false">
      <c r="E39" s="81" t="s">
        <v>36</v>
      </c>
      <c r="F39" s="188" t="n">
        <f aca="false">F36*$C$6</f>
        <v>2781.56132922</v>
      </c>
      <c r="G39" s="188" t="n">
        <f aca="false">G36*$C$6</f>
        <v>3010.94742016968</v>
      </c>
      <c r="H39" s="188" t="n">
        <f aca="false">H36*$C$6</f>
        <v>3233.85789417624</v>
      </c>
      <c r="I39" s="188" t="n">
        <f aca="false">I36*$C$6</f>
        <v>3445.9989720342</v>
      </c>
      <c r="J39" s="188" t="n">
        <f aca="false">J36*$C$6</f>
        <v>3642.99524660215</v>
      </c>
      <c r="K39" s="188" t="n">
        <f aca="false">K36*$C$6</f>
        <v>3820.53054828657</v>
      </c>
      <c r="L39" s="188" t="n">
        <f aca="false">L36*$C$6</f>
        <v>3974.49792938251</v>
      </c>
      <c r="M39" s="188" t="n">
        <f aca="false">M36*$C$6</f>
        <v>4101.1519300655</v>
      </c>
      <c r="N39" s="188" t="n">
        <f aca="false">N36*$C$6</f>
        <v>4197.25559029337</v>
      </c>
      <c r="O39" s="188" t="n">
        <f aca="false">O36*$C$6</f>
        <v>4260.21442414777</v>
      </c>
    </row>
    <row r="40" customFormat="false" ht="15" hidden="false" customHeight="true" outlineLevel="0" collapsed="false">
      <c r="E40" s="81" t="s">
        <v>239</v>
      </c>
      <c r="F40" s="188" t="n">
        <f aca="false">F36*$C$7</f>
        <v>-436.711215255</v>
      </c>
      <c r="G40" s="188" t="n">
        <f aca="false">G36*$C$7</f>
        <v>-472.725333473029</v>
      </c>
      <c r="H40" s="188" t="n">
        <f aca="false">H36*$C$7</f>
        <v>-507.722765661149</v>
      </c>
      <c r="I40" s="188" t="n">
        <f aca="false">I36*$C$7</f>
        <v>-541.02937908852</v>
      </c>
      <c r="J40" s="188" t="n">
        <f aca="false">J36*$C$7</f>
        <v>-571.958225259747</v>
      </c>
      <c r="K40" s="188" t="n">
        <f aca="false">K36*$C$7</f>
        <v>-599.831656104072</v>
      </c>
      <c r="L40" s="188" t="n">
        <f aca="false">L36*$C$7</f>
        <v>-624.004871845066</v>
      </c>
      <c r="M40" s="188" t="n">
        <f aca="false">M36*$C$7</f>
        <v>-643.889827094529</v>
      </c>
      <c r="N40" s="188" t="n">
        <f aca="false">N36*$C$7</f>
        <v>-658.978312042778</v>
      </c>
      <c r="O40" s="188" t="n">
        <f aca="false">O36*$C$7</f>
        <v>-668.862986723419</v>
      </c>
    </row>
    <row r="41" customFormat="false" ht="15" hidden="false" customHeight="true" outlineLevel="0" collapsed="false">
      <c r="E41" s="80" t="s">
        <v>46</v>
      </c>
      <c r="F41" s="190" t="n">
        <f aca="false">F37+F38-F39-F40</f>
        <v>1238.312149737</v>
      </c>
      <c r="G41" s="190" t="n">
        <f aca="false">G37+G38-G39-G40</f>
        <v>1340.43162501864</v>
      </c>
      <c r="H41" s="190" t="n">
        <f aca="false">H37+H38-H39-H40</f>
        <v>1439.66824632419</v>
      </c>
      <c r="I41" s="190" t="n">
        <f aca="false">I37+I38-I39-I40</f>
        <v>1534.11048328306</v>
      </c>
      <c r="J41" s="190" t="n">
        <f aca="false">J37+J38-J39-J40</f>
        <v>1621.81046591074</v>
      </c>
      <c r="K41" s="190" t="n">
        <f aca="false">K37+K38-K39-K40</f>
        <v>1700.84669594946</v>
      </c>
      <c r="L41" s="190" t="n">
        <f aca="false">L37+L38-L39-L40</f>
        <v>1769.39081779622</v>
      </c>
      <c r="M41" s="190" t="n">
        <f aca="false">M37+M38-M39-M40</f>
        <v>1825.77540518999</v>
      </c>
      <c r="N41" s="190" t="n">
        <f aca="false">N37+N38-N39-N40</f>
        <v>1868.55940885161</v>
      </c>
      <c r="O41" s="190" t="n">
        <f aca="false">O37+O38-O39-O40</f>
        <v>1896.58779998439</v>
      </c>
      <c r="P41" s="190" t="n">
        <f aca="false">P37*(1-$C$38/$C$37)</f>
        <v>3025.37485219933</v>
      </c>
    </row>
    <row r="42" customFormat="false" ht="15" hidden="false" customHeight="true" outlineLevel="0" collapsed="false">
      <c r="B42" s="81" t="s">
        <v>240</v>
      </c>
      <c r="C42" s="182" t="n">
        <f aca="false">SUM(F43:O43)</f>
        <v>11516.4871200723</v>
      </c>
      <c r="E42" s="81" t="s">
        <v>241</v>
      </c>
      <c r="F42" s="191" t="n">
        <f aca="false">DCF!O$71</f>
        <v>0.0347222222222222</v>
      </c>
      <c r="G42" s="191" t="n">
        <f aca="false">DCF!P$71</f>
        <v>0.569444444444444</v>
      </c>
      <c r="H42" s="191" t="n">
        <f aca="false">DCF!Q$71</f>
        <v>1.56944444444444</v>
      </c>
      <c r="I42" s="191" t="n">
        <f aca="false">DCF!R$71</f>
        <v>2.56944444444444</v>
      </c>
      <c r="J42" s="191" t="n">
        <f aca="false">DCF!S$71</f>
        <v>3.56944444444444</v>
      </c>
      <c r="K42" s="191" t="n">
        <f aca="false">DCF!T$71</f>
        <v>4.56944444444445</v>
      </c>
      <c r="L42" s="191" t="n">
        <f aca="false">DCF!U$71</f>
        <v>5.56944444444445</v>
      </c>
      <c r="M42" s="191" t="n">
        <f aca="false">DCF!V$71</f>
        <v>6.56944444444445</v>
      </c>
      <c r="N42" s="191" t="n">
        <f aca="false">DCF!W$71</f>
        <v>7.56944444444445</v>
      </c>
      <c r="O42" s="191" t="n">
        <f aca="false">DCF!X$71</f>
        <v>8.56944444444445</v>
      </c>
    </row>
    <row r="43" customFormat="false" ht="15" hidden="false" customHeight="true" outlineLevel="0" collapsed="false">
      <c r="B43" s="81" t="s">
        <v>73</v>
      </c>
      <c r="C43" s="182" t="n">
        <f aca="false">P41/($C$37-$C$38)</f>
        <v>42710.8785354486</v>
      </c>
      <c r="E43" s="81" t="s">
        <v>242</v>
      </c>
      <c r="F43" s="188" t="n">
        <f aca="false">F41/(1+$C$37)^F42</f>
        <v>1234.77648581277</v>
      </c>
      <c r="G43" s="188" t="n">
        <f aca="false">G41/(1+$C$37)^G42</f>
        <v>1279.02612587499</v>
      </c>
      <c r="H43" s="188" t="n">
        <f aca="false">H41/(1+$C$37)^H42</f>
        <v>1265.12608380451</v>
      </c>
      <c r="I43" s="188" t="n">
        <f aca="false">I41/(1+$C$37)^I42</f>
        <v>1241.55126238475</v>
      </c>
      <c r="J43" s="188" t="n">
        <f aca="false">J41/(1+$C$37)^J42</f>
        <v>1208.77300058723</v>
      </c>
      <c r="K43" s="188" t="n">
        <f aca="false">K41/(1+$C$37)^K42</f>
        <v>1167.47195579427</v>
      </c>
      <c r="L43" s="188" t="n">
        <f aca="false">L41/(1+$C$37)^L42</f>
        <v>1118.51468317813</v>
      </c>
      <c r="M43" s="188" t="n">
        <f aca="false">M41/(1+$C$37)^M42</f>
        <v>1062.92325055651</v>
      </c>
      <c r="N43" s="188" t="n">
        <f aca="false">N41/(1+$C$37)^N42</f>
        <v>1001.8393803644</v>
      </c>
      <c r="O43" s="188" t="n">
        <f aca="false">O41/(1+$C$37)^O42</f>
        <v>936.484891714753</v>
      </c>
    </row>
    <row r="44" customFormat="false" ht="15" hidden="false" customHeight="true" outlineLevel="0" collapsed="false">
      <c r="B44" s="81" t="s">
        <v>243</v>
      </c>
      <c r="C44" s="182" t="n">
        <f aca="false">C43/(1+$C$37)^O42</f>
        <v>21089.5021367536</v>
      </c>
    </row>
    <row r="45" customFormat="false" ht="15" hidden="false" customHeight="true" outlineLevel="0" collapsed="false">
      <c r="B45" s="81" t="s">
        <v>244</v>
      </c>
      <c r="C45" s="182" t="n">
        <f aca="false">C42+C44</f>
        <v>32605.9892568259</v>
      </c>
    </row>
    <row r="46" customFormat="false" ht="15" hidden="false" customHeight="true" outlineLevel="0" collapsed="false">
      <c r="B46" s="81" t="s">
        <v>245</v>
      </c>
      <c r="C46" s="182" t="n">
        <f aca="false">C45+$C$9-$C$10</f>
        <v>33505.9892568259</v>
      </c>
    </row>
    <row r="47" customFormat="false" ht="15" hidden="false" customHeight="true" outlineLevel="0" collapsed="false">
      <c r="B47" s="185" t="s">
        <v>246</v>
      </c>
      <c r="C47" s="192" t="n">
        <f aca="false">C46/$C$11</f>
        <v>31.4079389359073</v>
      </c>
    </row>
    <row r="50" customFormat="false" ht="15" hidden="false" customHeight="true" outlineLevel="0" collapsed="false">
      <c r="B50" s="79" t="s">
        <v>15</v>
      </c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</row>
    <row r="51" customFormat="false" ht="15" hidden="false" customHeight="true" outlineLevel="0" collapsed="false">
      <c r="B51" s="185" t="s">
        <v>233</v>
      </c>
      <c r="C51" s="185" t="s">
        <v>147</v>
      </c>
      <c r="E51" s="185" t="s">
        <v>234</v>
      </c>
      <c r="F51" s="186" t="str">
        <f aca="false">"FY"&amp;RIGHT(DCF!O$38,2)</f>
        <v>FY26</v>
      </c>
      <c r="G51" s="186" t="str">
        <f aca="false">"FY"&amp;RIGHT(DCF!P$38,2)</f>
        <v>FY27</v>
      </c>
      <c r="H51" s="186" t="str">
        <f aca="false">"FY"&amp;RIGHT(DCF!Q$38,2)</f>
        <v>FY28</v>
      </c>
      <c r="I51" s="186" t="str">
        <f aca="false">"FY"&amp;RIGHT(DCF!R$38,2)</f>
        <v>FY29</v>
      </c>
      <c r="J51" s="186" t="str">
        <f aca="false">"FY"&amp;RIGHT(DCF!S$38,2)</f>
        <v>FY30</v>
      </c>
      <c r="K51" s="186" t="str">
        <f aca="false">"FY"&amp;RIGHT(DCF!T$38,2)</f>
        <v>FY31</v>
      </c>
      <c r="L51" s="186" t="str">
        <f aca="false">"FY"&amp;RIGHT(DCF!U$38,2)</f>
        <v>FY32</v>
      </c>
      <c r="M51" s="186" t="str">
        <f aca="false">"FY"&amp;RIGHT(DCF!V$38,2)</f>
        <v>FY33</v>
      </c>
      <c r="N51" s="186" t="str">
        <f aca="false">"FY"&amp;RIGHT(DCF!W$38,2)</f>
        <v>FY34</v>
      </c>
      <c r="O51" s="186" t="str">
        <f aca="false">"FY"&amp;RIGHT(DCF!X$38,2)</f>
        <v>FY35</v>
      </c>
      <c r="P51" s="186" t="s">
        <v>40</v>
      </c>
    </row>
    <row r="52" customFormat="false" ht="15" hidden="false" customHeight="true" outlineLevel="0" collapsed="false">
      <c r="B52" s="81" t="s">
        <v>235</v>
      </c>
      <c r="C52" s="181" t="n">
        <f aca="false">DCF!$P$11</f>
        <v>0.11</v>
      </c>
      <c r="E52" s="81" t="s">
        <v>76</v>
      </c>
      <c r="F52" s="187" t="n">
        <f aca="false">$C$52</f>
        <v>0.11</v>
      </c>
      <c r="G52" s="187" t="n">
        <f aca="false">F52-($C$52-$C$55)/$C$12</f>
        <v>0.1</v>
      </c>
      <c r="H52" s="187" t="n">
        <f aca="false">G52-($C$52-$C$55)/$C$12</f>
        <v>0.09</v>
      </c>
      <c r="I52" s="187" t="n">
        <f aca="false">H52-($C$52-$C$55)/$C$12</f>
        <v>0.08</v>
      </c>
      <c r="J52" s="187" t="n">
        <f aca="false">I52-($C$52-$C$55)/$C$12</f>
        <v>0.07</v>
      </c>
      <c r="K52" s="187" t="n">
        <f aca="false">J52-($C$52-$C$55)/$C$12</f>
        <v>0.06</v>
      </c>
      <c r="L52" s="187" t="n">
        <f aca="false">K52-($C$52-$C$55)/$C$12</f>
        <v>0.05</v>
      </c>
      <c r="M52" s="187" t="n">
        <f aca="false">L52-($C$52-$C$55)/$C$12</f>
        <v>0.04</v>
      </c>
      <c r="N52" s="187" t="n">
        <f aca="false">M52-($C$52-$C$55)/$C$12</f>
        <v>0.03</v>
      </c>
      <c r="O52" s="187" t="n">
        <f aca="false">N52-($C$52-$C$55)/$C$12</f>
        <v>0.02</v>
      </c>
    </row>
    <row r="53" customFormat="false" ht="15" hidden="false" customHeight="true" outlineLevel="0" collapsed="false">
      <c r="B53" s="81" t="s">
        <v>236</v>
      </c>
      <c r="C53" s="181" t="n">
        <f aca="false">DCF!$P$13</f>
        <v>0.185</v>
      </c>
      <c r="E53" s="81" t="s">
        <v>16</v>
      </c>
      <c r="F53" s="188" t="n">
        <f aca="false">$C$8*(1+F52)</f>
        <v>15482.835</v>
      </c>
      <c r="G53" s="188" t="n">
        <f aca="false">F53*(1+G52)</f>
        <v>17031.1185</v>
      </c>
      <c r="H53" s="188" t="n">
        <f aca="false">G53*(1+H52)</f>
        <v>18563.919165</v>
      </c>
      <c r="I53" s="188" t="n">
        <f aca="false">H53*(1+I52)</f>
        <v>20049.0326982</v>
      </c>
      <c r="J53" s="188" t="n">
        <f aca="false">I53*(1+J52)</f>
        <v>21452.464987074</v>
      </c>
      <c r="K53" s="188" t="n">
        <f aca="false">J53*(1+K52)</f>
        <v>22739.6128862985</v>
      </c>
      <c r="L53" s="188" t="n">
        <f aca="false">K53*(1+L52)</f>
        <v>23876.5935306134</v>
      </c>
      <c r="M53" s="188" t="n">
        <f aca="false">L53*(1+M52)</f>
        <v>24831.6572718379</v>
      </c>
      <c r="N53" s="188" t="n">
        <f aca="false">M53*(1+N52)</f>
        <v>25576.606989993</v>
      </c>
      <c r="O53" s="188" t="n">
        <f aca="false">N53*(1+O52)</f>
        <v>26088.1391297929</v>
      </c>
    </row>
    <row r="54" customFormat="false" ht="15" hidden="false" customHeight="true" outlineLevel="0" collapsed="false">
      <c r="B54" s="81" t="s">
        <v>21</v>
      </c>
      <c r="C54" s="189" t="n">
        <f aca="false">DCF!$P$16</f>
        <v>0.082</v>
      </c>
      <c r="E54" s="81" t="s">
        <v>237</v>
      </c>
      <c r="F54" s="188" t="n">
        <f aca="false">F53*$C$53*(1-$C$4)</f>
        <v>2577.8920275</v>
      </c>
      <c r="G54" s="188" t="n">
        <f aca="false">G53*$C$53*(1-$C$4)</f>
        <v>2835.68123025</v>
      </c>
      <c r="H54" s="188" t="n">
        <f aca="false">H53*$C$53*(1-$C$4)</f>
        <v>3090.8925409725</v>
      </c>
      <c r="I54" s="188" t="n">
        <f aca="false">I53*$C$53*(1-$C$4)</f>
        <v>3338.1639442503</v>
      </c>
      <c r="J54" s="188" t="n">
        <f aca="false">J53*$C$53*(1-$C$4)</f>
        <v>3571.83542034782</v>
      </c>
      <c r="K54" s="188" t="n">
        <f aca="false">K53*$C$53*(1-$C$4)</f>
        <v>3786.14554556869</v>
      </c>
      <c r="L54" s="188" t="n">
        <f aca="false">L53*$C$53*(1-$C$4)</f>
        <v>3975.45282284713</v>
      </c>
      <c r="M54" s="188" t="n">
        <f aca="false">M53*$C$53*(1-$C$4)</f>
        <v>4134.47093576101</v>
      </c>
      <c r="N54" s="188" t="n">
        <f aca="false">N53*$C$53*(1-$C$4)</f>
        <v>4258.50506383384</v>
      </c>
      <c r="O54" s="188" t="n">
        <f aca="false">O53*$C$53*(1-$C$4)</f>
        <v>4343.67516511052</v>
      </c>
      <c r="P54" s="188" t="n">
        <f aca="false">O54*(1+$C$55)</f>
        <v>4430.54866841273</v>
      </c>
    </row>
    <row r="55" customFormat="false" ht="15" hidden="false" customHeight="true" outlineLevel="0" collapsed="false">
      <c r="B55" s="81" t="s">
        <v>238</v>
      </c>
      <c r="C55" s="181" t="n">
        <f aca="false">DCF!$P$17</f>
        <v>0.02</v>
      </c>
      <c r="E55" s="81" t="s">
        <v>35</v>
      </c>
      <c r="F55" s="188" t="n">
        <f aca="false">F53*$C$5</f>
        <v>1246.3682175</v>
      </c>
      <c r="G55" s="188" t="n">
        <f aca="false">G53*$C$5</f>
        <v>1371.00503925</v>
      </c>
      <c r="H55" s="188" t="n">
        <f aca="false">H53*$C$5</f>
        <v>1494.3954927825</v>
      </c>
      <c r="I55" s="188" t="n">
        <f aca="false">I53*$C$5</f>
        <v>1613.9471322051</v>
      </c>
      <c r="J55" s="188" t="n">
        <f aca="false">J53*$C$5</f>
        <v>1726.92343145946</v>
      </c>
      <c r="K55" s="188" t="n">
        <f aca="false">K53*$C$5</f>
        <v>1830.53883734703</v>
      </c>
      <c r="L55" s="188" t="n">
        <f aca="false">L53*$C$5</f>
        <v>1922.06577921438</v>
      </c>
      <c r="M55" s="188" t="n">
        <f aca="false">M53*$C$5</f>
        <v>1998.94841038295</v>
      </c>
      <c r="N55" s="188" t="n">
        <f aca="false">N53*$C$5</f>
        <v>2058.91686269444</v>
      </c>
      <c r="O55" s="188" t="n">
        <f aca="false">O53*$C$5</f>
        <v>2100.09519994833</v>
      </c>
    </row>
    <row r="56" customFormat="false" ht="15" hidden="false" customHeight="true" outlineLevel="0" collapsed="false">
      <c r="E56" s="81" t="s">
        <v>36</v>
      </c>
      <c r="F56" s="188" t="n">
        <f aca="false">F53*$C$6</f>
        <v>2830.262238</v>
      </c>
      <c r="G56" s="188" t="n">
        <f aca="false">G53*$C$6</f>
        <v>3113.2884618</v>
      </c>
      <c r="H56" s="188" t="n">
        <f aca="false">H53*$C$6</f>
        <v>3393.484423362</v>
      </c>
      <c r="I56" s="188" t="n">
        <f aca="false">I53*$C$6</f>
        <v>3664.96317723096</v>
      </c>
      <c r="J56" s="188" t="n">
        <f aca="false">J53*$C$6</f>
        <v>3921.51059963713</v>
      </c>
      <c r="K56" s="188" t="n">
        <f aca="false">K53*$C$6</f>
        <v>4156.80123561536</v>
      </c>
      <c r="L56" s="188" t="n">
        <f aca="false">L53*$C$6</f>
        <v>4364.64129739613</v>
      </c>
      <c r="M56" s="188" t="n">
        <f aca="false">M53*$C$6</f>
        <v>4539.22694929197</v>
      </c>
      <c r="N56" s="188" t="n">
        <f aca="false">N53*$C$6</f>
        <v>4675.40375777073</v>
      </c>
      <c r="O56" s="188" t="n">
        <f aca="false">O53*$C$6</f>
        <v>4768.91183292614</v>
      </c>
    </row>
    <row r="57" customFormat="false" ht="15" hidden="false" customHeight="true" outlineLevel="0" collapsed="false">
      <c r="E57" s="81" t="s">
        <v>239</v>
      </c>
      <c r="F57" s="188" t="n">
        <f aca="false">F53*$C$7</f>
        <v>-444.3573645</v>
      </c>
      <c r="G57" s="188" t="n">
        <f aca="false">G53*$C$7</f>
        <v>-488.79310095</v>
      </c>
      <c r="H57" s="188" t="n">
        <f aca="false">H53*$C$7</f>
        <v>-532.7844800355</v>
      </c>
      <c r="I57" s="188" t="n">
        <f aca="false">I53*$C$7</f>
        <v>-575.40723843834</v>
      </c>
      <c r="J57" s="188" t="n">
        <f aca="false">J53*$C$7</f>
        <v>-615.685745129024</v>
      </c>
      <c r="K57" s="188" t="n">
        <f aca="false">K53*$C$7</f>
        <v>-652.626889836766</v>
      </c>
      <c r="L57" s="188" t="n">
        <f aca="false">L53*$C$7</f>
        <v>-685.258234328604</v>
      </c>
      <c r="M57" s="188" t="n">
        <f aca="false">M53*$C$7</f>
        <v>-712.668563701748</v>
      </c>
      <c r="N57" s="188" t="n">
        <f aca="false">N53*$C$7</f>
        <v>-734.048620612801</v>
      </c>
      <c r="O57" s="188" t="n">
        <f aca="false">O53*$C$7</f>
        <v>-748.729593025057</v>
      </c>
    </row>
    <row r="58" customFormat="false" ht="15" hidden="false" customHeight="true" outlineLevel="0" collapsed="false">
      <c r="E58" s="80" t="s">
        <v>46</v>
      </c>
      <c r="F58" s="190" t="n">
        <f aca="false">F54+F55-F56-F57</f>
        <v>1438.3553715</v>
      </c>
      <c r="G58" s="190" t="n">
        <f aca="false">G54+G55-G56-G57</f>
        <v>1582.19090865</v>
      </c>
      <c r="H58" s="190" t="n">
        <f aca="false">H54+H55-H56-H57</f>
        <v>1724.5880904285</v>
      </c>
      <c r="I58" s="190" t="n">
        <f aca="false">I54+I55-I56-I57</f>
        <v>1862.55513766278</v>
      </c>
      <c r="J58" s="190" t="n">
        <f aca="false">J54+J55-J56-J57</f>
        <v>1992.93399729918</v>
      </c>
      <c r="K58" s="190" t="n">
        <f aca="false">K54+K55-K56-K57</f>
        <v>2112.51003713713</v>
      </c>
      <c r="L58" s="190" t="n">
        <f aca="false">L54+L55-L56-L57</f>
        <v>2218.13553899398</v>
      </c>
      <c r="M58" s="190" t="n">
        <f aca="false">M54+M55-M56-M57</f>
        <v>2306.86096055374</v>
      </c>
      <c r="N58" s="190" t="n">
        <f aca="false">N54+N55-N56-N57</f>
        <v>2376.06678937036</v>
      </c>
      <c r="O58" s="190" t="n">
        <f aca="false">O54+O55-O56-O57</f>
        <v>2423.58812515776</v>
      </c>
      <c r="P58" s="190" t="n">
        <f aca="false">P54*(1-$C$55/$C$54)</f>
        <v>3349.9270419706</v>
      </c>
    </row>
    <row r="59" customFormat="false" ht="15" hidden="false" customHeight="true" outlineLevel="0" collapsed="false">
      <c r="B59" s="81" t="s">
        <v>240</v>
      </c>
      <c r="C59" s="182" t="n">
        <f aca="false">SUM(F60:O60)</f>
        <v>14316.8552984626</v>
      </c>
      <c r="E59" s="81" t="s">
        <v>241</v>
      </c>
      <c r="F59" s="191" t="n">
        <f aca="false">DCF!O$71</f>
        <v>0.0347222222222222</v>
      </c>
      <c r="G59" s="191" t="n">
        <f aca="false">DCF!P$71</f>
        <v>0.569444444444444</v>
      </c>
      <c r="H59" s="191" t="n">
        <f aca="false">DCF!Q$71</f>
        <v>1.56944444444444</v>
      </c>
      <c r="I59" s="191" t="n">
        <f aca="false">DCF!R$71</f>
        <v>2.56944444444444</v>
      </c>
      <c r="J59" s="191" t="n">
        <f aca="false">DCF!S$71</f>
        <v>3.56944444444444</v>
      </c>
      <c r="K59" s="191" t="n">
        <f aca="false">DCF!T$71</f>
        <v>4.56944444444445</v>
      </c>
      <c r="L59" s="191" t="n">
        <f aca="false">DCF!U$71</f>
        <v>5.56944444444445</v>
      </c>
      <c r="M59" s="191" t="n">
        <f aca="false">DCF!V$71</f>
        <v>6.56944444444445</v>
      </c>
      <c r="N59" s="191" t="n">
        <f aca="false">DCF!W$71</f>
        <v>7.56944444444445</v>
      </c>
      <c r="O59" s="191" t="n">
        <f aca="false">DCF!X$71</f>
        <v>8.56944444444445</v>
      </c>
    </row>
    <row r="60" customFormat="false" ht="15" hidden="false" customHeight="true" outlineLevel="0" collapsed="false">
      <c r="B60" s="81" t="s">
        <v>73</v>
      </c>
      <c r="C60" s="182" t="n">
        <f aca="false">P58/($C$54-$C$55)</f>
        <v>54031.0813221065</v>
      </c>
      <c r="E60" s="81" t="s">
        <v>242</v>
      </c>
      <c r="F60" s="188" t="n">
        <f aca="false">F58/(1+$C$54)^F59</f>
        <v>1434.42469360514</v>
      </c>
      <c r="G60" s="188" t="n">
        <f aca="false">G58/(1+$C$54)^G59</f>
        <v>1512.75417851994</v>
      </c>
      <c r="H60" s="188" t="n">
        <f aca="false">H58/(1+$C$54)^H59</f>
        <v>1523.93905229827</v>
      </c>
      <c r="I60" s="188" t="n">
        <f aca="false">I58/(1+$C$54)^I59</f>
        <v>1521.12215941048</v>
      </c>
      <c r="J60" s="188" t="n">
        <f aca="false">J58/(1+$C$54)^J59</f>
        <v>1504.25204303994</v>
      </c>
      <c r="K60" s="188" t="n">
        <f aca="false">K58/(1+$C$54)^K59</f>
        <v>1473.66651166574</v>
      </c>
      <c r="L60" s="188" t="n">
        <f aca="false">L58/(1+$C$54)^L59</f>
        <v>1430.0830288808</v>
      </c>
      <c r="M60" s="188" t="n">
        <f aca="false">M58/(1+$C$54)^M59</f>
        <v>1374.57148801852</v>
      </c>
      <c r="N60" s="188" t="n">
        <f aca="false">N58/(1+$C$54)^N59</f>
        <v>1308.51075107123</v>
      </c>
      <c r="O60" s="188" t="n">
        <f aca="false">O58/(1+$C$54)^O59</f>
        <v>1233.53139195255</v>
      </c>
    </row>
    <row r="61" customFormat="false" ht="15" hidden="false" customHeight="true" outlineLevel="0" collapsed="false">
      <c r="B61" s="81" t="s">
        <v>243</v>
      </c>
      <c r="C61" s="182" t="n">
        <f aca="false">C60/(1+$C$54)^O59</f>
        <v>27500.1491631837</v>
      </c>
    </row>
    <row r="62" customFormat="false" ht="15" hidden="false" customHeight="true" outlineLevel="0" collapsed="false">
      <c r="B62" s="81" t="s">
        <v>244</v>
      </c>
      <c r="C62" s="182" t="n">
        <f aca="false">C59+C61</f>
        <v>41817.0044616463</v>
      </c>
    </row>
    <row r="63" customFormat="false" ht="15" hidden="false" customHeight="true" outlineLevel="0" collapsed="false">
      <c r="B63" s="81" t="s">
        <v>245</v>
      </c>
      <c r="C63" s="182" t="n">
        <f aca="false">C62+$C$9-$C$10</f>
        <v>42717.0044616463</v>
      </c>
    </row>
    <row r="64" customFormat="false" ht="15" hidden="false" customHeight="true" outlineLevel="0" collapsed="false">
      <c r="B64" s="185" t="s">
        <v>246</v>
      </c>
      <c r="C64" s="192" t="n">
        <f aca="false">C63/$C$11</f>
        <v>40.0421864094923</v>
      </c>
    </row>
    <row r="67" customFormat="false" ht="15" hidden="false" customHeight="true" outlineLevel="0" collapsed="false">
      <c r="B67" s="184" t="s">
        <v>247</v>
      </c>
    </row>
    <row r="68" customFormat="false" ht="15" hidden="false" customHeight="true" outlineLevel="0" collapsed="false">
      <c r="B68" s="79" t="s">
        <v>248</v>
      </c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</row>
    <row r="69" customFormat="false" ht="15" hidden="false" customHeight="true" outlineLevel="0" collapsed="false">
      <c r="B69" s="185" t="s">
        <v>233</v>
      </c>
      <c r="C69" s="185" t="s">
        <v>147</v>
      </c>
      <c r="E69" s="185" t="s">
        <v>234</v>
      </c>
      <c r="F69" s="186" t="str">
        <f aca="false">"FY"&amp;RIGHT(DCF!O$38,2)</f>
        <v>FY26</v>
      </c>
      <c r="G69" s="186" t="str">
        <f aca="false">"FY"&amp;RIGHT(DCF!P$38,2)</f>
        <v>FY27</v>
      </c>
      <c r="H69" s="186" t="str">
        <f aca="false">"FY"&amp;RIGHT(DCF!Q$38,2)</f>
        <v>FY28</v>
      </c>
      <c r="I69" s="186" t="str">
        <f aca="false">"FY"&amp;RIGHT(DCF!R$38,2)</f>
        <v>FY29</v>
      </c>
      <c r="J69" s="186" t="str">
        <f aca="false">"FY"&amp;RIGHT(DCF!S$38,2)</f>
        <v>FY30</v>
      </c>
      <c r="K69" s="186" t="str">
        <f aca="false">"FY"&amp;RIGHT(DCF!T$38,2)</f>
        <v>FY31</v>
      </c>
      <c r="L69" s="186" t="str">
        <f aca="false">"FY"&amp;RIGHT(DCF!U$38,2)</f>
        <v>FY32</v>
      </c>
      <c r="M69" s="186" t="str">
        <f aca="false">"FY"&amp;RIGHT(DCF!V$38,2)</f>
        <v>FY33</v>
      </c>
      <c r="N69" s="186" t="str">
        <f aca="false">"FY"&amp;RIGHT(DCF!W$38,2)</f>
        <v>FY34</v>
      </c>
      <c r="O69" s="186" t="str">
        <f aca="false">"FY"&amp;RIGHT(DCF!X$38,2)</f>
        <v>FY35</v>
      </c>
      <c r="P69" s="186" t="s">
        <v>40</v>
      </c>
    </row>
    <row r="70" customFormat="false" ht="15" hidden="false" customHeight="true" outlineLevel="0" collapsed="false">
      <c r="B70" s="81" t="s">
        <v>235</v>
      </c>
      <c r="C70" s="181" t="n">
        <f aca="false">DCF!$L$11</f>
        <v>0.0909</v>
      </c>
      <c r="E70" s="81" t="s">
        <v>76</v>
      </c>
      <c r="F70" s="187" t="n">
        <f aca="false">$C$70</f>
        <v>0.0909</v>
      </c>
      <c r="G70" s="187" t="n">
        <f aca="false">F70-($C$70-$C$73)/$C$12</f>
        <v>0.0813555555555556</v>
      </c>
      <c r="H70" s="187" t="n">
        <f aca="false">G70-($C$70-$C$73)/$C$12</f>
        <v>0.0718111111111111</v>
      </c>
      <c r="I70" s="187" t="n">
        <f aca="false">H70-($C$70-$C$73)/$C$12</f>
        <v>0.0622666666666667</v>
      </c>
      <c r="J70" s="187" t="n">
        <f aca="false">I70-($C$70-$C$73)/$C$12</f>
        <v>0.0527222222222222</v>
      </c>
      <c r="K70" s="187" t="n">
        <f aca="false">J70-($C$70-$C$73)/$C$12</f>
        <v>0.0431777777777778</v>
      </c>
      <c r="L70" s="187" t="n">
        <f aca="false">K70-($C$70-$C$73)/$C$12</f>
        <v>0.0336333333333333</v>
      </c>
      <c r="M70" s="187" t="n">
        <f aca="false">L70-($C$70-$C$73)/$C$12</f>
        <v>0.0240888888888889</v>
      </c>
      <c r="N70" s="187" t="n">
        <f aca="false">M70-($C$70-$C$73)/$C$12</f>
        <v>0.0145444444444444</v>
      </c>
      <c r="O70" s="187" t="n">
        <f aca="false">N70-($C$70-$C$73)/$C$12</f>
        <v>0.005</v>
      </c>
    </row>
    <row r="71" customFormat="false" ht="15" hidden="false" customHeight="true" outlineLevel="0" collapsed="false">
      <c r="B71" s="81" t="s">
        <v>236</v>
      </c>
      <c r="C71" s="181" t="n">
        <f aca="false">DCF!$L$13</f>
        <v>0.1722</v>
      </c>
      <c r="E71" s="81" t="s">
        <v>16</v>
      </c>
      <c r="F71" s="188" t="n">
        <f aca="false">$C$8*(1+F70)</f>
        <v>15216.41865</v>
      </c>
      <c r="G71" s="188" t="n">
        <f aca="false">F71*(1+G70)</f>
        <v>16454.3588428367</v>
      </c>
      <c r="H71" s="188" t="n">
        <f aca="false">G71*(1+H70)</f>
        <v>17635.9646339617</v>
      </c>
      <c r="I71" s="188" t="n">
        <f aca="false">H71*(1+I70)</f>
        <v>18734.0973651697</v>
      </c>
      <c r="J71" s="188" t="n">
        <f aca="false">I71*(1+J70)</f>
        <v>19721.8006095889</v>
      </c>
      <c r="K71" s="188" t="n">
        <f aca="false">J71*(1+K70)</f>
        <v>20573.3441336874</v>
      </c>
      <c r="L71" s="188" t="n">
        <f aca="false">K71*(1+L70)</f>
        <v>21265.2942747171</v>
      </c>
      <c r="M71" s="188" t="n">
        <f aca="false">L71*(1+M70)</f>
        <v>21777.5515856903</v>
      </c>
      <c r="N71" s="188" t="n">
        <f aca="false">M71*(1+N70)</f>
        <v>22094.2939748644</v>
      </c>
      <c r="O71" s="188" t="n">
        <f aca="false">N71*(1+O70)</f>
        <v>22204.7654447387</v>
      </c>
    </row>
    <row r="72" customFormat="false" ht="15" hidden="false" customHeight="true" outlineLevel="0" collapsed="false">
      <c r="B72" s="81" t="s">
        <v>21</v>
      </c>
      <c r="C72" s="189" t="n">
        <f aca="false">DCF!$L$16</f>
        <v>0.0858338239797238</v>
      </c>
      <c r="E72" s="81" t="s">
        <v>237</v>
      </c>
      <c r="F72" s="188" t="n">
        <f aca="false">F71*$C$71*(1-$C$4)</f>
        <v>2358.240562377</v>
      </c>
      <c r="G72" s="188" t="n">
        <f aca="false">G71*$C$71*(1-$C$4)</f>
        <v>2550.09653346283</v>
      </c>
      <c r="H72" s="188" t="n">
        <f aca="false">H71*$C$71*(1-$C$4)</f>
        <v>2733.22179897138</v>
      </c>
      <c r="I72" s="188" t="n">
        <f aca="false">I71*$C$71*(1-$C$4)</f>
        <v>2903.410409654</v>
      </c>
      <c r="J72" s="188" t="n">
        <f aca="false">J71*$C$71*(1-$C$4)</f>
        <v>3056.48465847409</v>
      </c>
      <c r="K72" s="188" t="n">
        <f aca="false">K71*$C$71*(1-$C$4)</f>
        <v>3188.45687383888</v>
      </c>
      <c r="L72" s="188" t="n">
        <f aca="false">L71*$C$71*(1-$C$4)</f>
        <v>3295.69530669566</v>
      </c>
      <c r="M72" s="188" t="n">
        <f aca="false">M71*$C$71*(1-$C$4)</f>
        <v>3375.08494475028</v>
      </c>
      <c r="N72" s="188" t="n">
        <f aca="false">N71*$C$71*(1-$C$4)</f>
        <v>3424.17368022448</v>
      </c>
      <c r="O72" s="188" t="n">
        <f aca="false">O71*$C$71*(1-$C$4)</f>
        <v>3441.2945486256</v>
      </c>
      <c r="P72" s="188" t="n">
        <f aca="false">O72*(1+$C$73)</f>
        <v>3458.50102136873</v>
      </c>
    </row>
    <row r="73" customFormat="false" ht="15" hidden="false" customHeight="true" outlineLevel="0" collapsed="false">
      <c r="B73" s="81" t="s">
        <v>238</v>
      </c>
      <c r="C73" s="181" t="n">
        <f aca="false">DCF!$D$92</f>
        <v>0.005</v>
      </c>
      <c r="E73" s="81" t="s">
        <v>35</v>
      </c>
      <c r="F73" s="188" t="n">
        <f aca="false">F71*$C$5</f>
        <v>1224.921701325</v>
      </c>
      <c r="G73" s="188" t="n">
        <f aca="false">G71*$C$5</f>
        <v>1324.57588684835</v>
      </c>
      <c r="H73" s="188" t="n">
        <f aca="false">H71*$C$5</f>
        <v>1419.69515303392</v>
      </c>
      <c r="I73" s="188" t="n">
        <f aca="false">I71*$C$5</f>
        <v>1508.09483789616</v>
      </c>
      <c r="J73" s="188" t="n">
        <f aca="false">J71*$C$5</f>
        <v>1587.60494907191</v>
      </c>
      <c r="K73" s="188" t="n">
        <f aca="false">K71*$C$5</f>
        <v>1656.15420276184</v>
      </c>
      <c r="L73" s="188" t="n">
        <f aca="false">L71*$C$5</f>
        <v>1711.85618911473</v>
      </c>
      <c r="M73" s="188" t="n">
        <f aca="false">M71*$C$5</f>
        <v>1753.09290264807</v>
      </c>
      <c r="N73" s="188" t="n">
        <f aca="false">N71*$C$5</f>
        <v>1778.59066497658</v>
      </c>
      <c r="O73" s="188" t="n">
        <f aca="false">O71*$C$5</f>
        <v>1787.48361830147</v>
      </c>
    </row>
    <row r="74" customFormat="false" ht="15" hidden="false" customHeight="true" outlineLevel="0" collapsed="false">
      <c r="E74" s="81" t="s">
        <v>36</v>
      </c>
      <c r="F74" s="188" t="n">
        <f aca="false">F71*$C$6</f>
        <v>2781.56132922</v>
      </c>
      <c r="G74" s="188" t="n">
        <f aca="false">G71*$C$6</f>
        <v>3007.85679647054</v>
      </c>
      <c r="H74" s="188" t="n">
        <f aca="false">H71*$C$6</f>
        <v>3223.8543350882</v>
      </c>
      <c r="I74" s="188" t="n">
        <f aca="false">I71*$C$6</f>
        <v>3424.59299835302</v>
      </c>
      <c r="J74" s="188" t="n">
        <f aca="false">J71*$C$6</f>
        <v>3605.14515143286</v>
      </c>
      <c r="K74" s="188" t="n">
        <f aca="false">K71*$C$6</f>
        <v>3760.80730763806</v>
      </c>
      <c r="L74" s="188" t="n">
        <f aca="false">L71*$C$6</f>
        <v>3887.29579341829</v>
      </c>
      <c r="M74" s="188" t="n">
        <f aca="false">M71*$C$6</f>
        <v>3980.93642986419</v>
      </c>
      <c r="N74" s="188" t="n">
        <f aca="false">N71*$C$6</f>
        <v>4038.83693860521</v>
      </c>
      <c r="O74" s="188" t="n">
        <f aca="false">O71*$C$6</f>
        <v>4059.03112329824</v>
      </c>
    </row>
    <row r="75" customFormat="false" ht="15" hidden="false" customHeight="true" outlineLevel="0" collapsed="false">
      <c r="E75" s="81" t="s">
        <v>239</v>
      </c>
      <c r="F75" s="188" t="n">
        <f aca="false">F71*$C$7</f>
        <v>-436.711215255</v>
      </c>
      <c r="G75" s="188" t="n">
        <f aca="false">G71*$C$7</f>
        <v>-472.240098789412</v>
      </c>
      <c r="H75" s="188" t="n">
        <f aca="false">H71*$C$7</f>
        <v>-506.152184994701</v>
      </c>
      <c r="I75" s="188" t="n">
        <f aca="false">I71*$C$7</f>
        <v>-537.668594380371</v>
      </c>
      <c r="J75" s="188" t="n">
        <f aca="false">J71*$C$7</f>
        <v>-566.015677495203</v>
      </c>
      <c r="K75" s="188" t="n">
        <f aca="false">K71*$C$7</f>
        <v>-590.454976636829</v>
      </c>
      <c r="L75" s="188" t="n">
        <f aca="false">L71*$C$7</f>
        <v>-610.313945684381</v>
      </c>
      <c r="M75" s="188" t="n">
        <f aca="false">M71*$C$7</f>
        <v>-625.015730509311</v>
      </c>
      <c r="N75" s="188" t="n">
        <f aca="false">N71*$C$7</f>
        <v>-634.106237078608</v>
      </c>
      <c r="O75" s="188" t="n">
        <f aca="false">O71*$C$7</f>
        <v>-637.276768264001</v>
      </c>
    </row>
    <row r="76" customFormat="false" ht="15" hidden="false" customHeight="true" outlineLevel="0" collapsed="false">
      <c r="E76" s="80" t="s">
        <v>46</v>
      </c>
      <c r="F76" s="190" t="n">
        <f aca="false">F72+F73-F74-F75</f>
        <v>1238.312149737</v>
      </c>
      <c r="G76" s="190" t="n">
        <f aca="false">G72+G73-G74-G75</f>
        <v>1339.05572263005</v>
      </c>
      <c r="H76" s="190" t="n">
        <f aca="false">H72+H73-H74-H75</f>
        <v>1435.2148019118</v>
      </c>
      <c r="I76" s="190" t="n">
        <f aca="false">I72+I73-I74-I75</f>
        <v>1524.58084357751</v>
      </c>
      <c r="J76" s="190" t="n">
        <f aca="false">J72+J73-J74-J75</f>
        <v>1604.96013360835</v>
      </c>
      <c r="K76" s="190" t="n">
        <f aca="false">K72+K73-K74-K75</f>
        <v>1674.25874559948</v>
      </c>
      <c r="L76" s="190" t="n">
        <f aca="false">L72+L73-L74-L75</f>
        <v>1730.56964807648</v>
      </c>
      <c r="M76" s="190" t="n">
        <f aca="false">M72+M73-M74-M75</f>
        <v>1772.25714804348</v>
      </c>
      <c r="N76" s="190" t="n">
        <f aca="false">N72+N73-N74-N75</f>
        <v>1798.03364367446</v>
      </c>
      <c r="O76" s="190" t="n">
        <f aca="false">O72+O73-O74-O75</f>
        <v>1807.02381189284</v>
      </c>
      <c r="P76" s="190" t="n">
        <f aca="false">P72*(1-$C$73/$C$72)</f>
        <v>3257.03609408169</v>
      </c>
    </row>
    <row r="77" customFormat="false" ht="15" hidden="false" customHeight="true" outlineLevel="0" collapsed="false">
      <c r="B77" s="81" t="s">
        <v>240</v>
      </c>
      <c r="C77" s="182" t="n">
        <f aca="false">SUM(F78:O78)</f>
        <v>11335.0044550177</v>
      </c>
      <c r="E77" s="81" t="s">
        <v>241</v>
      </c>
      <c r="F77" s="191" t="n">
        <f aca="false">DCF!O$71</f>
        <v>0.0347222222222222</v>
      </c>
      <c r="G77" s="191" t="n">
        <f aca="false">DCF!P$71</f>
        <v>0.569444444444444</v>
      </c>
      <c r="H77" s="191" t="n">
        <f aca="false">DCF!Q$71</f>
        <v>1.56944444444444</v>
      </c>
      <c r="I77" s="191" t="n">
        <f aca="false">DCF!R$71</f>
        <v>2.56944444444444</v>
      </c>
      <c r="J77" s="191" t="n">
        <f aca="false">DCF!S$71</f>
        <v>3.56944444444444</v>
      </c>
      <c r="K77" s="191" t="n">
        <f aca="false">DCF!T$71</f>
        <v>4.56944444444445</v>
      </c>
      <c r="L77" s="191" t="n">
        <f aca="false">DCF!U$71</f>
        <v>5.56944444444445</v>
      </c>
      <c r="M77" s="191" t="n">
        <f aca="false">DCF!V$71</f>
        <v>6.56944444444445</v>
      </c>
      <c r="N77" s="191" t="n">
        <f aca="false">DCF!W$71</f>
        <v>7.56944444444445</v>
      </c>
      <c r="O77" s="191" t="n">
        <f aca="false">DCF!X$71</f>
        <v>8.56944444444445</v>
      </c>
    </row>
    <row r="78" customFormat="false" ht="15" hidden="false" customHeight="true" outlineLevel="0" collapsed="false">
      <c r="B78" s="81" t="s">
        <v>73</v>
      </c>
      <c r="C78" s="182" t="n">
        <f aca="false">P76/($C$72-$C$73)</f>
        <v>40292.985457408</v>
      </c>
      <c r="E78" s="81" t="s">
        <v>242</v>
      </c>
      <c r="F78" s="188" t="n">
        <f aca="false">F76/(1+$C$72)^F77</f>
        <v>1234.77648581277</v>
      </c>
      <c r="G78" s="188" t="n">
        <f aca="false">G76/(1+$C$72)^G77</f>
        <v>1277.71325390986</v>
      </c>
      <c r="H78" s="188" t="n">
        <f aca="false">H76/(1+$C$72)^H77</f>
        <v>1261.21256504539</v>
      </c>
      <c r="I78" s="188" t="n">
        <f aca="false">I76/(1+$C$72)^I77</f>
        <v>1233.83895200331</v>
      </c>
      <c r="J78" s="188" t="n">
        <f aca="false">J76/(1+$C$72)^J77</f>
        <v>1196.21405663775</v>
      </c>
      <c r="K78" s="188" t="n">
        <f aca="false">K76/(1+$C$72)^K77</f>
        <v>1149.22181810134</v>
      </c>
      <c r="L78" s="188" t="n">
        <f aca="false">L76/(1+$C$72)^L77</f>
        <v>1093.97400628925</v>
      </c>
      <c r="M78" s="188" t="n">
        <f aca="false">M76/(1+$C$72)^M77</f>
        <v>1031.7661872679</v>
      </c>
      <c r="N78" s="188" t="n">
        <f aca="false">N76/(1+$C$72)^N77</f>
        <v>964.026566626666</v>
      </c>
      <c r="O78" s="188" t="n">
        <f aca="false">O76/(1+$C$72)^O77</f>
        <v>892.260563323446</v>
      </c>
    </row>
    <row r="79" customFormat="false" ht="15" hidden="false" customHeight="true" outlineLevel="0" collapsed="false">
      <c r="B79" s="81" t="s">
        <v>243</v>
      </c>
      <c r="C79" s="182" t="n">
        <f aca="false">C78/(1+$C$72)^O77</f>
        <v>19895.6104870313</v>
      </c>
    </row>
    <row r="80" customFormat="false" ht="15" hidden="false" customHeight="true" outlineLevel="0" collapsed="false">
      <c r="B80" s="81" t="s">
        <v>244</v>
      </c>
      <c r="C80" s="182" t="n">
        <f aca="false">C77+C79</f>
        <v>31230.6149420489</v>
      </c>
    </row>
    <row r="81" customFormat="false" ht="15" hidden="false" customHeight="true" outlineLevel="0" collapsed="false">
      <c r="B81" s="81" t="s">
        <v>245</v>
      </c>
      <c r="C81" s="182" t="n">
        <f aca="false">C80+$C$9-$C$10</f>
        <v>32130.6149420489</v>
      </c>
    </row>
    <row r="82" customFormat="false" ht="15" hidden="false" customHeight="true" outlineLevel="0" collapsed="false">
      <c r="B82" s="185" t="s">
        <v>246</v>
      </c>
      <c r="C82" s="192" t="n">
        <f aca="false">C81/$C$11</f>
        <v>30.1186866723368</v>
      </c>
    </row>
    <row r="85" customFormat="false" ht="15" hidden="false" customHeight="true" outlineLevel="0" collapsed="false">
      <c r="B85" s="79" t="s">
        <v>249</v>
      </c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</row>
    <row r="86" customFormat="false" ht="15" hidden="false" customHeight="true" outlineLevel="0" collapsed="false">
      <c r="B86" s="185" t="s">
        <v>233</v>
      </c>
      <c r="C86" s="185" t="s">
        <v>147</v>
      </c>
      <c r="E86" s="185" t="s">
        <v>234</v>
      </c>
      <c r="F86" s="186" t="str">
        <f aca="false">"FY"&amp;RIGHT(DCF!O$38,2)</f>
        <v>FY26</v>
      </c>
      <c r="G86" s="186" t="str">
        <f aca="false">"FY"&amp;RIGHT(DCF!P$38,2)</f>
        <v>FY27</v>
      </c>
      <c r="H86" s="186" t="str">
        <f aca="false">"FY"&amp;RIGHT(DCF!Q$38,2)</f>
        <v>FY28</v>
      </c>
      <c r="I86" s="186" t="str">
        <f aca="false">"FY"&amp;RIGHT(DCF!R$38,2)</f>
        <v>FY29</v>
      </c>
      <c r="J86" s="186" t="str">
        <f aca="false">"FY"&amp;RIGHT(DCF!S$38,2)</f>
        <v>FY30</v>
      </c>
      <c r="K86" s="186" t="str">
        <f aca="false">"FY"&amp;RIGHT(DCF!T$38,2)</f>
        <v>FY31</v>
      </c>
      <c r="L86" s="186" t="str">
        <f aca="false">"FY"&amp;RIGHT(DCF!U$38,2)</f>
        <v>FY32</v>
      </c>
      <c r="M86" s="186" t="str">
        <f aca="false">"FY"&amp;RIGHT(DCF!V$38,2)</f>
        <v>FY33</v>
      </c>
      <c r="N86" s="186" t="str">
        <f aca="false">"FY"&amp;RIGHT(DCF!W$38,2)</f>
        <v>FY34</v>
      </c>
      <c r="O86" s="186" t="str">
        <f aca="false">"FY"&amp;RIGHT(DCF!X$38,2)</f>
        <v>FY35</v>
      </c>
      <c r="P86" s="186" t="s">
        <v>40</v>
      </c>
    </row>
    <row r="87" customFormat="false" ht="15" hidden="false" customHeight="true" outlineLevel="0" collapsed="false">
      <c r="B87" s="81" t="s">
        <v>235</v>
      </c>
      <c r="C87" s="181" t="n">
        <f aca="false">DCF!$L$11</f>
        <v>0.0909</v>
      </c>
      <c r="E87" s="81" t="s">
        <v>76</v>
      </c>
      <c r="F87" s="187" t="n">
        <f aca="false">$C$87</f>
        <v>0.0909</v>
      </c>
      <c r="G87" s="187" t="n">
        <f aca="false">F87-($C$87-$C$90)/$C$12</f>
        <v>0.0819111111111111</v>
      </c>
      <c r="H87" s="187" t="n">
        <f aca="false">G87-($C$87-$C$90)/$C$12</f>
        <v>0.0729222222222222</v>
      </c>
      <c r="I87" s="187" t="n">
        <f aca="false">H87-($C$87-$C$90)/$C$12</f>
        <v>0.0639333333333333</v>
      </c>
      <c r="J87" s="187" t="n">
        <f aca="false">I87-($C$87-$C$90)/$C$12</f>
        <v>0.0549444444444444</v>
      </c>
      <c r="K87" s="187" t="n">
        <f aca="false">J87-($C$87-$C$90)/$C$12</f>
        <v>0.0459555555555555</v>
      </c>
      <c r="L87" s="187" t="n">
        <f aca="false">K87-($C$87-$C$90)/$C$12</f>
        <v>0.0369666666666667</v>
      </c>
      <c r="M87" s="187" t="n">
        <f aca="false">L87-($C$87-$C$90)/$C$12</f>
        <v>0.0279777777777778</v>
      </c>
      <c r="N87" s="187" t="n">
        <f aca="false">M87-($C$87-$C$90)/$C$12</f>
        <v>0.0189888888888889</v>
      </c>
      <c r="O87" s="187" t="n">
        <f aca="false">N87-($C$87-$C$90)/$C$12</f>
        <v>0.00999999999999999</v>
      </c>
    </row>
    <row r="88" customFormat="false" ht="15" hidden="false" customHeight="true" outlineLevel="0" collapsed="false">
      <c r="B88" s="81" t="s">
        <v>236</v>
      </c>
      <c r="C88" s="181" t="n">
        <f aca="false">DCF!$L$13</f>
        <v>0.1722</v>
      </c>
      <c r="E88" s="81" t="s">
        <v>16</v>
      </c>
      <c r="F88" s="188" t="n">
        <f aca="false">$C$8*(1+F87)</f>
        <v>15216.41865</v>
      </c>
      <c r="G88" s="188" t="n">
        <f aca="false">F88*(1+G87)</f>
        <v>16462.8124087533</v>
      </c>
      <c r="H88" s="188" t="n">
        <f aca="false">G88*(1+H87)</f>
        <v>17663.3172736272</v>
      </c>
      <c r="I88" s="188" t="n">
        <f aca="false">H88*(1+I87)</f>
        <v>18792.5920246544</v>
      </c>
      <c r="J88" s="188" t="n">
        <f aca="false">I88*(1+J87)</f>
        <v>19825.1405531202</v>
      </c>
      <c r="K88" s="188" t="n">
        <f aca="false">J88*(1+K87)</f>
        <v>20736.2159012058</v>
      </c>
      <c r="L88" s="188" t="n">
        <f aca="false">K88*(1+L87)</f>
        <v>21502.7646823537</v>
      </c>
      <c r="M88" s="188" t="n">
        <f aca="false">L88*(1+M87)</f>
        <v>22104.3642542444</v>
      </c>
      <c r="N88" s="188" t="n">
        <f aca="false">M88*(1+N87)</f>
        <v>22524.1015710278</v>
      </c>
      <c r="O88" s="188" t="n">
        <f aca="false">N88*(1+O87)</f>
        <v>22749.3425867381</v>
      </c>
    </row>
    <row r="89" customFormat="false" ht="15" hidden="false" customHeight="true" outlineLevel="0" collapsed="false">
      <c r="B89" s="81" t="s">
        <v>21</v>
      </c>
      <c r="C89" s="189" t="n">
        <f aca="false">DCF!$L$16</f>
        <v>0.0858338239797238</v>
      </c>
      <c r="E89" s="81" t="s">
        <v>237</v>
      </c>
      <c r="F89" s="188" t="n">
        <f aca="false">F88*$C$88*(1-$C$4)</f>
        <v>2358.240562377</v>
      </c>
      <c r="G89" s="188" t="n">
        <f aca="false">G88*$C$88*(1-$C$4)</f>
        <v>2551.40666710859</v>
      </c>
      <c r="H89" s="188" t="n">
        <f aca="false">H88*$C$88*(1-$C$4)</f>
        <v>2737.46091106674</v>
      </c>
      <c r="I89" s="188" t="n">
        <f aca="false">I88*$C$88*(1-$C$4)</f>
        <v>2912.47591198094</v>
      </c>
      <c r="J89" s="188" t="n">
        <f aca="false">J88*$C$88*(1-$C$4)</f>
        <v>3072.50028292256</v>
      </c>
      <c r="K89" s="188" t="n">
        <f aca="false">K88*$C$88*(1-$C$4)</f>
        <v>3213.69874036887</v>
      </c>
      <c r="L89" s="188" t="n">
        <f aca="false">L88*$C$88*(1-$C$4)</f>
        <v>3332.49847047117</v>
      </c>
      <c r="M89" s="188" t="n">
        <f aca="false">M88*$C$88*(1-$C$4)</f>
        <v>3425.7343721228</v>
      </c>
      <c r="N89" s="188" t="n">
        <f aca="false">N88*$C$88*(1-$C$4)</f>
        <v>3490.78526147789</v>
      </c>
      <c r="O89" s="188" t="n">
        <f aca="false">O88*$C$88*(1-$C$4)</f>
        <v>3525.69311409267</v>
      </c>
      <c r="P89" s="188" t="n">
        <f aca="false">O89*(1+$C$90)</f>
        <v>3560.95004523359</v>
      </c>
    </row>
    <row r="90" customFormat="false" ht="15" hidden="false" customHeight="true" outlineLevel="0" collapsed="false">
      <c r="B90" s="81" t="s">
        <v>238</v>
      </c>
      <c r="C90" s="181" t="n">
        <f aca="false">DCF!$F$92</f>
        <v>0.01</v>
      </c>
      <c r="E90" s="81" t="s">
        <v>35</v>
      </c>
      <c r="F90" s="188" t="n">
        <f aca="false">F88*$C$5</f>
        <v>1224.921701325</v>
      </c>
      <c r="G90" s="188" t="n">
        <f aca="false">G88*$C$5</f>
        <v>1325.25639890464</v>
      </c>
      <c r="H90" s="188" t="n">
        <f aca="false">H88*$C$5</f>
        <v>1421.89704052699</v>
      </c>
      <c r="I90" s="188" t="n">
        <f aca="false">I88*$C$5</f>
        <v>1512.80365798468</v>
      </c>
      <c r="J90" s="188" t="n">
        <f aca="false">J88*$C$5</f>
        <v>1595.92381452617</v>
      </c>
      <c r="K90" s="188" t="n">
        <f aca="false">K88*$C$5</f>
        <v>1669.26538004707</v>
      </c>
      <c r="L90" s="188" t="n">
        <f aca="false">L88*$C$5</f>
        <v>1730.97255692947</v>
      </c>
      <c r="M90" s="188" t="n">
        <f aca="false">M88*$C$5</f>
        <v>1779.40132246668</v>
      </c>
      <c r="N90" s="188" t="n">
        <f aca="false">N88*$C$5</f>
        <v>1813.19017646774</v>
      </c>
      <c r="O90" s="188" t="n">
        <f aca="false">O88*$C$5</f>
        <v>1831.32207823242</v>
      </c>
    </row>
    <row r="91" customFormat="false" ht="15" hidden="false" customHeight="true" outlineLevel="0" collapsed="false">
      <c r="E91" s="81" t="s">
        <v>36</v>
      </c>
      <c r="F91" s="188" t="n">
        <f aca="false">F88*$C$6</f>
        <v>2781.56132922</v>
      </c>
      <c r="G91" s="188" t="n">
        <f aca="false">G88*$C$6</f>
        <v>3009.40210832011</v>
      </c>
      <c r="H91" s="188" t="n">
        <f aca="false">H88*$C$6</f>
        <v>3228.85439761905</v>
      </c>
      <c r="I91" s="188" t="n">
        <f aca="false">I88*$C$6</f>
        <v>3435.28582210683</v>
      </c>
      <c r="J91" s="188" t="n">
        <f aca="false">J88*$C$6</f>
        <v>3624.03569311037</v>
      </c>
      <c r="K91" s="188" t="n">
        <f aca="false">K88*$C$6</f>
        <v>3790.58026674042</v>
      </c>
      <c r="L91" s="188" t="n">
        <f aca="false">L88*$C$6</f>
        <v>3930.70538393425</v>
      </c>
      <c r="M91" s="188" t="n">
        <f aca="false">M88*$C$6</f>
        <v>4040.67778567588</v>
      </c>
      <c r="N91" s="188" t="n">
        <f aca="false">N88*$C$6</f>
        <v>4117.40576718388</v>
      </c>
      <c r="O91" s="188" t="n">
        <f aca="false">O88*$C$6</f>
        <v>4158.57982485572</v>
      </c>
    </row>
    <row r="92" customFormat="false" ht="15" hidden="false" customHeight="true" outlineLevel="0" collapsed="false">
      <c r="E92" s="81" t="s">
        <v>239</v>
      </c>
      <c r="F92" s="188" t="n">
        <f aca="false">F88*$C$7</f>
        <v>-436.711215255</v>
      </c>
      <c r="G92" s="188" t="n">
        <f aca="false">G88*$C$7</f>
        <v>-472.482716131221</v>
      </c>
      <c r="H92" s="188" t="n">
        <f aca="false">H88*$C$7</f>
        <v>-506.937205753101</v>
      </c>
      <c r="I92" s="188" t="n">
        <f aca="false">I88*$C$7</f>
        <v>-539.347391107582</v>
      </c>
      <c r="J92" s="188" t="n">
        <f aca="false">J88*$C$7</f>
        <v>-568.981533874549</v>
      </c>
      <c r="K92" s="188" t="n">
        <f aca="false">K88*$C$7</f>
        <v>-595.129396364606</v>
      </c>
      <c r="L92" s="188" t="n">
        <f aca="false">L88*$C$7</f>
        <v>-617.129346383551</v>
      </c>
      <c r="M92" s="188" t="n">
        <f aca="false">M88*$C$7</f>
        <v>-634.395254096815</v>
      </c>
      <c r="N92" s="188" t="n">
        <f aca="false">N88*$C$7</f>
        <v>-646.441715088498</v>
      </c>
      <c r="O92" s="188" t="n">
        <f aca="false">O88*$C$7</f>
        <v>-652.906132239383</v>
      </c>
    </row>
    <row r="93" customFormat="false" ht="15" hidden="false" customHeight="true" outlineLevel="0" collapsed="false">
      <c r="E93" s="80" t="s">
        <v>46</v>
      </c>
      <c r="F93" s="190" t="n">
        <f aca="false">F89+F90-F91-F92</f>
        <v>1238.312149737</v>
      </c>
      <c r="G93" s="190" t="n">
        <f aca="false">G89+G90-G91-G92</f>
        <v>1339.74367382435</v>
      </c>
      <c r="H93" s="190" t="n">
        <f aca="false">H89+H90-H91-H92</f>
        <v>1437.44075972778</v>
      </c>
      <c r="I93" s="190" t="n">
        <f aca="false">I89+I90-I91-I92</f>
        <v>1529.34113896638</v>
      </c>
      <c r="J93" s="190" t="n">
        <f aca="false">J89+J90-J91-J92</f>
        <v>1613.36993821292</v>
      </c>
      <c r="K93" s="190" t="n">
        <f aca="false">K89+K90-K91-K92</f>
        <v>1687.51325004013</v>
      </c>
      <c r="L93" s="190" t="n">
        <f aca="false">L89+L90-L91-L92</f>
        <v>1749.89498984994</v>
      </c>
      <c r="M93" s="190" t="n">
        <f aca="false">M89+M90-M91-M92</f>
        <v>1798.85316301041</v>
      </c>
      <c r="N93" s="190" t="n">
        <f aca="false">N89+N90-N91-N92</f>
        <v>1833.01138585024</v>
      </c>
      <c r="O93" s="190" t="n">
        <f aca="false">O89+O90-O91-O92</f>
        <v>1851.34149970875</v>
      </c>
      <c r="P93" s="190" t="n">
        <f aca="false">P89*(1-$C$90/$C$89)</f>
        <v>3146.0844502818</v>
      </c>
    </row>
    <row r="94" customFormat="false" ht="15" hidden="false" customHeight="true" outlineLevel="0" collapsed="false">
      <c r="B94" s="81" t="s">
        <v>240</v>
      </c>
      <c r="C94" s="182" t="n">
        <f aca="false">SUM(F95:O95)</f>
        <v>11425.1719230026</v>
      </c>
      <c r="E94" s="81" t="s">
        <v>241</v>
      </c>
      <c r="F94" s="191" t="n">
        <f aca="false">DCF!O$71</f>
        <v>0.0347222222222222</v>
      </c>
      <c r="G94" s="191" t="n">
        <f aca="false">DCF!P$71</f>
        <v>0.569444444444444</v>
      </c>
      <c r="H94" s="191" t="n">
        <f aca="false">DCF!Q$71</f>
        <v>1.56944444444444</v>
      </c>
      <c r="I94" s="191" t="n">
        <f aca="false">DCF!R$71</f>
        <v>2.56944444444444</v>
      </c>
      <c r="J94" s="191" t="n">
        <f aca="false">DCF!S$71</f>
        <v>3.56944444444444</v>
      </c>
      <c r="K94" s="191" t="n">
        <f aca="false">DCF!T$71</f>
        <v>4.56944444444445</v>
      </c>
      <c r="L94" s="191" t="n">
        <f aca="false">DCF!U$71</f>
        <v>5.56944444444445</v>
      </c>
      <c r="M94" s="191" t="n">
        <f aca="false">DCF!V$71</f>
        <v>6.56944444444445</v>
      </c>
      <c r="N94" s="191" t="n">
        <f aca="false">DCF!W$71</f>
        <v>7.56944444444445</v>
      </c>
      <c r="O94" s="191" t="n">
        <f aca="false">DCF!X$71</f>
        <v>8.56944444444445</v>
      </c>
    </row>
    <row r="95" customFormat="false" ht="15" hidden="false" customHeight="true" outlineLevel="0" collapsed="false">
      <c r="B95" s="81" t="s">
        <v>73</v>
      </c>
      <c r="C95" s="182" t="n">
        <f aca="false">P93/($C$89-$C$90)</f>
        <v>41486.5594951797</v>
      </c>
      <c r="E95" s="81" t="s">
        <v>242</v>
      </c>
      <c r="F95" s="188" t="n">
        <f aca="false">F93/(1+$C$89)^F94</f>
        <v>1234.77648581277</v>
      </c>
      <c r="G95" s="188" t="n">
        <f aca="false">G93/(1+$C$89)^G94</f>
        <v>1278.36968989242</v>
      </c>
      <c r="H95" s="188" t="n">
        <f aca="false">H93/(1+$C$89)^H94</f>
        <v>1263.1686527077</v>
      </c>
      <c r="I95" s="188" t="n">
        <f aca="false">I93/(1+$C$89)^I94</f>
        <v>1237.69144555822</v>
      </c>
      <c r="J95" s="188" t="n">
        <f aca="false">J93/(1+$C$89)^J94</f>
        <v>1202.48207929507</v>
      </c>
      <c r="K95" s="188" t="n">
        <f aca="false">K93/(1+$C$89)^K94</f>
        <v>1158.3197939855</v>
      </c>
      <c r="L95" s="188" t="n">
        <f aca="false">L93/(1+$C$89)^L94</f>
        <v>1106.1904585923</v>
      </c>
      <c r="M95" s="188" t="n">
        <f aca="false">M93/(1+$C$89)^M94</f>
        <v>1047.2497580292</v>
      </c>
      <c r="N95" s="188" t="n">
        <f aca="false">N93/(1+$C$89)^N94</f>
        <v>982.780093745969</v>
      </c>
      <c r="O95" s="188" t="n">
        <f aca="false">O93/(1+$C$89)^O94</f>
        <v>914.143465383489</v>
      </c>
    </row>
    <row r="96" customFormat="false" ht="15" hidden="false" customHeight="true" outlineLevel="0" collapsed="false">
      <c r="B96" s="81" t="s">
        <v>243</v>
      </c>
      <c r="C96" s="182" t="n">
        <f aca="false">C95/(1+$C$89)^O94</f>
        <v>20484.9657773718</v>
      </c>
    </row>
    <row r="97" customFormat="false" ht="15" hidden="false" customHeight="true" outlineLevel="0" collapsed="false">
      <c r="B97" s="81" t="s">
        <v>244</v>
      </c>
      <c r="C97" s="182" t="n">
        <f aca="false">C94+C96</f>
        <v>31910.1377003745</v>
      </c>
    </row>
    <row r="98" customFormat="false" ht="15" hidden="false" customHeight="true" outlineLevel="0" collapsed="false">
      <c r="B98" s="81" t="s">
        <v>245</v>
      </c>
      <c r="C98" s="182" t="n">
        <f aca="false">C97+$C$9-$C$10</f>
        <v>32810.1377003745</v>
      </c>
    </row>
    <row r="99" customFormat="false" ht="15" hidden="false" customHeight="true" outlineLevel="0" collapsed="false">
      <c r="B99" s="185" t="s">
        <v>246</v>
      </c>
      <c r="C99" s="192" t="n">
        <f aca="false">C98/$C$11</f>
        <v>30.7556596366465</v>
      </c>
    </row>
    <row r="102" customFormat="false" ht="15" hidden="false" customHeight="true" outlineLevel="0" collapsed="false">
      <c r="B102" s="79" t="s">
        <v>250</v>
      </c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</row>
    <row r="103" customFormat="false" ht="15" hidden="false" customHeight="true" outlineLevel="0" collapsed="false">
      <c r="B103" s="185" t="s">
        <v>233</v>
      </c>
      <c r="C103" s="185" t="s">
        <v>147</v>
      </c>
      <c r="E103" s="185" t="s">
        <v>234</v>
      </c>
      <c r="F103" s="186" t="str">
        <f aca="false">"FY"&amp;RIGHT(DCF!O$38,2)</f>
        <v>FY26</v>
      </c>
      <c r="G103" s="186" t="str">
        <f aca="false">"FY"&amp;RIGHT(DCF!P$38,2)</f>
        <v>FY27</v>
      </c>
      <c r="H103" s="186" t="str">
        <f aca="false">"FY"&amp;RIGHT(DCF!Q$38,2)</f>
        <v>FY28</v>
      </c>
      <c r="I103" s="186" t="str">
        <f aca="false">"FY"&amp;RIGHT(DCF!R$38,2)</f>
        <v>FY29</v>
      </c>
      <c r="J103" s="186" t="str">
        <f aca="false">"FY"&amp;RIGHT(DCF!S$38,2)</f>
        <v>FY30</v>
      </c>
      <c r="K103" s="186" t="str">
        <f aca="false">"FY"&amp;RIGHT(DCF!T$38,2)</f>
        <v>FY31</v>
      </c>
      <c r="L103" s="186" t="str">
        <f aca="false">"FY"&amp;RIGHT(DCF!U$38,2)</f>
        <v>FY32</v>
      </c>
      <c r="M103" s="186" t="str">
        <f aca="false">"FY"&amp;RIGHT(DCF!V$38,2)</f>
        <v>FY33</v>
      </c>
      <c r="N103" s="186" t="str">
        <f aca="false">"FY"&amp;RIGHT(DCF!W$38,2)</f>
        <v>FY34</v>
      </c>
      <c r="O103" s="186" t="str">
        <f aca="false">"FY"&amp;RIGHT(DCF!X$38,2)</f>
        <v>FY35</v>
      </c>
      <c r="P103" s="186" t="s">
        <v>40</v>
      </c>
    </row>
    <row r="104" customFormat="false" ht="15" hidden="false" customHeight="true" outlineLevel="0" collapsed="false">
      <c r="B104" s="81" t="s">
        <v>235</v>
      </c>
      <c r="C104" s="181" t="n">
        <f aca="false">DCF!$L$11</f>
        <v>0.0909</v>
      </c>
      <c r="E104" s="81" t="s">
        <v>76</v>
      </c>
      <c r="F104" s="187" t="n">
        <f aca="false">$C$104</f>
        <v>0.0909</v>
      </c>
      <c r="G104" s="187" t="n">
        <f aca="false">F104-($C$104-$C$107)/$C$12</f>
        <v>0.0824666666666667</v>
      </c>
      <c r="H104" s="187" t="n">
        <f aca="false">G104-($C$104-$C$107)/$C$12</f>
        <v>0.0740333333333333</v>
      </c>
      <c r="I104" s="187" t="n">
        <f aca="false">H104-($C$104-$C$107)/$C$12</f>
        <v>0.0656</v>
      </c>
      <c r="J104" s="187" t="n">
        <f aca="false">I104-($C$104-$C$107)/$C$12</f>
        <v>0.0571666666666667</v>
      </c>
      <c r="K104" s="187" t="n">
        <f aca="false">J104-($C$104-$C$107)/$C$12</f>
        <v>0.0487333333333333</v>
      </c>
      <c r="L104" s="187" t="n">
        <f aca="false">K104-($C$104-$C$107)/$C$12</f>
        <v>0.0403</v>
      </c>
      <c r="M104" s="187" t="n">
        <f aca="false">L104-($C$104-$C$107)/$C$12</f>
        <v>0.0318666666666667</v>
      </c>
      <c r="N104" s="187" t="n">
        <f aca="false">M104-($C$104-$C$107)/$C$12</f>
        <v>0.0234333333333333</v>
      </c>
      <c r="O104" s="187" t="n">
        <f aca="false">N104-($C$104-$C$107)/$C$12</f>
        <v>0.015</v>
      </c>
    </row>
    <row r="105" customFormat="false" ht="15" hidden="false" customHeight="true" outlineLevel="0" collapsed="false">
      <c r="B105" s="81" t="s">
        <v>236</v>
      </c>
      <c r="C105" s="181" t="n">
        <f aca="false">DCF!$L$13</f>
        <v>0.1722</v>
      </c>
      <c r="E105" s="81" t="s">
        <v>16</v>
      </c>
      <c r="F105" s="188" t="n">
        <f aca="false">$C$8*(1+F104)</f>
        <v>15216.41865</v>
      </c>
      <c r="G105" s="188" t="n">
        <f aca="false">F105*(1+G104)</f>
        <v>16471.26597467</v>
      </c>
      <c r="H105" s="188" t="n">
        <f aca="false">G105*(1+H104)</f>
        <v>17690.6886989947</v>
      </c>
      <c r="I105" s="188" t="n">
        <f aca="false">H105*(1+I104)</f>
        <v>18851.1978776488</v>
      </c>
      <c r="J105" s="188" t="n">
        <f aca="false">I105*(1+J104)</f>
        <v>19928.8580229877</v>
      </c>
      <c r="K105" s="188" t="n">
        <f aca="false">J105*(1+K104)</f>
        <v>20900.0577039746</v>
      </c>
      <c r="L105" s="188" t="n">
        <f aca="false">K105*(1+L104)</f>
        <v>21742.3300294448</v>
      </c>
      <c r="M105" s="188" t="n">
        <f aca="false">L105*(1+M104)</f>
        <v>22435.1856130498</v>
      </c>
      <c r="N105" s="188" t="n">
        <f aca="false">M105*(1+N104)</f>
        <v>22960.9167959156</v>
      </c>
      <c r="O105" s="188" t="n">
        <f aca="false">N105*(1+O104)</f>
        <v>23305.3305478543</v>
      </c>
    </row>
    <row r="106" customFormat="false" ht="15" hidden="false" customHeight="true" outlineLevel="0" collapsed="false">
      <c r="B106" s="81" t="s">
        <v>21</v>
      </c>
      <c r="C106" s="189" t="n">
        <f aca="false">DCF!$L$16</f>
        <v>0.0858338239797238</v>
      </c>
      <c r="E106" s="81" t="s">
        <v>237</v>
      </c>
      <c r="F106" s="188" t="n">
        <f aca="false">F105*$C$105*(1-$C$4)</f>
        <v>2358.240562377</v>
      </c>
      <c r="G106" s="188" t="n">
        <f aca="false">G105*$C$105*(1-$C$4)</f>
        <v>2552.71680075436</v>
      </c>
      <c r="H106" s="188" t="n">
        <f aca="false">H105*$C$105*(1-$C$4)</f>
        <v>2741.7029345702</v>
      </c>
      <c r="I106" s="188" t="n">
        <f aca="false">I105*$C$105*(1-$C$4)</f>
        <v>2921.55864707801</v>
      </c>
      <c r="J106" s="188" t="n">
        <f aca="false">J105*$C$105*(1-$C$4)</f>
        <v>3088.57441640264</v>
      </c>
      <c r="K106" s="188" t="n">
        <f aca="false">K105*$C$105*(1-$C$4)</f>
        <v>3239.09094296199</v>
      </c>
      <c r="L106" s="188" t="n">
        <f aca="false">L105*$C$105*(1-$C$4)</f>
        <v>3369.62630796336</v>
      </c>
      <c r="M106" s="188" t="n">
        <f aca="false">M105*$C$105*(1-$C$4)</f>
        <v>3477.00506631046</v>
      </c>
      <c r="N106" s="188" t="n">
        <f aca="false">N105*$C$105*(1-$C$4)</f>
        <v>3558.482885031</v>
      </c>
      <c r="O106" s="188" t="n">
        <f aca="false">O105*$C$105*(1-$C$4)</f>
        <v>3611.86012830646</v>
      </c>
      <c r="P106" s="188" t="n">
        <f aca="false">O106*(1+$C$107)</f>
        <v>3666.03803023106</v>
      </c>
    </row>
    <row r="107" customFormat="false" ht="15" hidden="false" customHeight="true" outlineLevel="0" collapsed="false">
      <c r="B107" s="81" t="s">
        <v>238</v>
      </c>
      <c r="C107" s="181" t="n">
        <f aca="false">DCF!$H$92</f>
        <v>0.015</v>
      </c>
      <c r="E107" s="81" t="s">
        <v>35</v>
      </c>
      <c r="F107" s="188" t="n">
        <f aca="false">F105*$C$5</f>
        <v>1224.921701325</v>
      </c>
      <c r="G107" s="188" t="n">
        <f aca="false">G105*$C$5</f>
        <v>1325.93691096094</v>
      </c>
      <c r="H107" s="188" t="n">
        <f aca="false">H105*$C$5</f>
        <v>1424.10044026908</v>
      </c>
      <c r="I107" s="188" t="n">
        <f aca="false">I105*$C$5</f>
        <v>1517.52142915073</v>
      </c>
      <c r="J107" s="188" t="n">
        <f aca="false">J105*$C$5</f>
        <v>1604.27307085051</v>
      </c>
      <c r="K107" s="188" t="n">
        <f aca="false">K105*$C$5</f>
        <v>1682.45464516996</v>
      </c>
      <c r="L107" s="188" t="n">
        <f aca="false">L105*$C$5</f>
        <v>1750.25756737031</v>
      </c>
      <c r="M107" s="188" t="n">
        <f aca="false">M105*$C$5</f>
        <v>1806.03244185051</v>
      </c>
      <c r="N107" s="188" t="n">
        <f aca="false">N105*$C$5</f>
        <v>1848.35380207121</v>
      </c>
      <c r="O107" s="188" t="n">
        <f aca="false">O105*$C$5</f>
        <v>1876.07910910227</v>
      </c>
    </row>
    <row r="108" customFormat="false" ht="15" hidden="false" customHeight="true" outlineLevel="0" collapsed="false">
      <c r="E108" s="81" t="s">
        <v>36</v>
      </c>
      <c r="F108" s="188" t="n">
        <f aca="false">F105*$C$6</f>
        <v>2781.56132922</v>
      </c>
      <c r="G108" s="188" t="n">
        <f aca="false">G105*$C$6</f>
        <v>3010.94742016968</v>
      </c>
      <c r="H108" s="188" t="n">
        <f aca="false">H105*$C$6</f>
        <v>3233.85789417624</v>
      </c>
      <c r="I108" s="188" t="n">
        <f aca="false">I105*$C$6</f>
        <v>3445.9989720342</v>
      </c>
      <c r="J108" s="188" t="n">
        <f aca="false">J105*$C$6</f>
        <v>3642.99524660215</v>
      </c>
      <c r="K108" s="188" t="n">
        <f aca="false">K105*$C$6</f>
        <v>3820.53054828657</v>
      </c>
      <c r="L108" s="188" t="n">
        <f aca="false">L105*$C$6</f>
        <v>3974.49792938251</v>
      </c>
      <c r="M108" s="188" t="n">
        <f aca="false">M105*$C$6</f>
        <v>4101.1519300655</v>
      </c>
      <c r="N108" s="188" t="n">
        <f aca="false">N105*$C$6</f>
        <v>4197.25559029337</v>
      </c>
      <c r="O108" s="188" t="n">
        <f aca="false">O105*$C$6</f>
        <v>4260.21442414777</v>
      </c>
    </row>
    <row r="109" customFormat="false" ht="15" hidden="false" customHeight="true" outlineLevel="0" collapsed="false">
      <c r="E109" s="81" t="s">
        <v>239</v>
      </c>
      <c r="F109" s="188" t="n">
        <f aca="false">F105*$C$7</f>
        <v>-436.711215255</v>
      </c>
      <c r="G109" s="188" t="n">
        <f aca="false">G105*$C$7</f>
        <v>-472.725333473029</v>
      </c>
      <c r="H109" s="188" t="n">
        <f aca="false">H105*$C$7</f>
        <v>-507.722765661149</v>
      </c>
      <c r="I109" s="188" t="n">
        <f aca="false">I105*$C$7</f>
        <v>-541.02937908852</v>
      </c>
      <c r="J109" s="188" t="n">
        <f aca="false">J105*$C$7</f>
        <v>-571.958225259747</v>
      </c>
      <c r="K109" s="188" t="n">
        <f aca="false">K105*$C$7</f>
        <v>-599.831656104072</v>
      </c>
      <c r="L109" s="188" t="n">
        <f aca="false">L105*$C$7</f>
        <v>-624.004871845066</v>
      </c>
      <c r="M109" s="188" t="n">
        <f aca="false">M105*$C$7</f>
        <v>-643.889827094529</v>
      </c>
      <c r="N109" s="188" t="n">
        <f aca="false">N105*$C$7</f>
        <v>-658.978312042778</v>
      </c>
      <c r="O109" s="188" t="n">
        <f aca="false">O105*$C$7</f>
        <v>-668.862986723419</v>
      </c>
    </row>
    <row r="110" customFormat="false" ht="15" hidden="false" customHeight="true" outlineLevel="0" collapsed="false">
      <c r="E110" s="80" t="s">
        <v>46</v>
      </c>
      <c r="F110" s="190" t="n">
        <f aca="false">F106+F107-F108-F109</f>
        <v>1238.312149737</v>
      </c>
      <c r="G110" s="190" t="n">
        <f aca="false">G106+G107-G108-G109</f>
        <v>1340.43162501864</v>
      </c>
      <c r="H110" s="190" t="n">
        <f aca="false">H106+H107-H108-H109</f>
        <v>1439.66824632419</v>
      </c>
      <c r="I110" s="190" t="n">
        <f aca="false">I106+I107-I108-I109</f>
        <v>1534.11048328306</v>
      </c>
      <c r="J110" s="190" t="n">
        <f aca="false">J106+J107-J108-J109</f>
        <v>1621.81046591074</v>
      </c>
      <c r="K110" s="190" t="n">
        <f aca="false">K106+K107-K108-K109</f>
        <v>1700.84669594946</v>
      </c>
      <c r="L110" s="190" t="n">
        <f aca="false">L106+L107-L108-L109</f>
        <v>1769.39081779622</v>
      </c>
      <c r="M110" s="190" t="n">
        <f aca="false">M106+M107-M108-M109</f>
        <v>1825.77540518999</v>
      </c>
      <c r="N110" s="190" t="n">
        <f aca="false">N106+N107-N108-N109</f>
        <v>1868.55940885161</v>
      </c>
      <c r="O110" s="190" t="n">
        <f aca="false">O106+O107-O108-O109</f>
        <v>1896.58779998439</v>
      </c>
      <c r="P110" s="190" t="n">
        <f aca="false">P106*(1-$C$107/$C$106)</f>
        <v>3025.37485219933</v>
      </c>
    </row>
    <row r="111" customFormat="false" ht="15" hidden="false" customHeight="true" outlineLevel="0" collapsed="false">
      <c r="B111" s="81" t="s">
        <v>240</v>
      </c>
      <c r="C111" s="182" t="n">
        <f aca="false">SUM(F112:O112)</f>
        <v>11516.4871200723</v>
      </c>
      <c r="E111" s="81" t="s">
        <v>241</v>
      </c>
      <c r="F111" s="191" t="n">
        <f aca="false">DCF!O$71</f>
        <v>0.0347222222222222</v>
      </c>
      <c r="G111" s="191" t="n">
        <f aca="false">DCF!P$71</f>
        <v>0.569444444444444</v>
      </c>
      <c r="H111" s="191" t="n">
        <f aca="false">DCF!Q$71</f>
        <v>1.56944444444444</v>
      </c>
      <c r="I111" s="191" t="n">
        <f aca="false">DCF!R$71</f>
        <v>2.56944444444444</v>
      </c>
      <c r="J111" s="191" t="n">
        <f aca="false">DCF!S$71</f>
        <v>3.56944444444444</v>
      </c>
      <c r="K111" s="191" t="n">
        <f aca="false">DCF!T$71</f>
        <v>4.56944444444445</v>
      </c>
      <c r="L111" s="191" t="n">
        <f aca="false">DCF!U$71</f>
        <v>5.56944444444445</v>
      </c>
      <c r="M111" s="191" t="n">
        <f aca="false">DCF!V$71</f>
        <v>6.56944444444445</v>
      </c>
      <c r="N111" s="191" t="n">
        <f aca="false">DCF!W$71</f>
        <v>7.56944444444445</v>
      </c>
      <c r="O111" s="191" t="n">
        <f aca="false">DCF!X$71</f>
        <v>8.56944444444445</v>
      </c>
    </row>
    <row r="112" customFormat="false" ht="15" hidden="false" customHeight="true" outlineLevel="0" collapsed="false">
      <c r="B112" s="81" t="s">
        <v>73</v>
      </c>
      <c r="C112" s="182" t="n">
        <f aca="false">P110/($C$106-$C$107)</f>
        <v>42710.8785354486</v>
      </c>
      <c r="E112" s="81" t="s">
        <v>242</v>
      </c>
      <c r="F112" s="188" t="n">
        <f aca="false">F110/(1+$C$106)^F111</f>
        <v>1234.77648581277</v>
      </c>
      <c r="G112" s="188" t="n">
        <f aca="false">G110/(1+$C$106)^G111</f>
        <v>1279.02612587499</v>
      </c>
      <c r="H112" s="188" t="n">
        <f aca="false">H110/(1+$C$106)^H111</f>
        <v>1265.12608380451</v>
      </c>
      <c r="I112" s="188" t="n">
        <f aca="false">I110/(1+$C$106)^I111</f>
        <v>1241.55126238475</v>
      </c>
      <c r="J112" s="188" t="n">
        <f aca="false">J110/(1+$C$106)^J111</f>
        <v>1208.77300058723</v>
      </c>
      <c r="K112" s="188" t="n">
        <f aca="false">K110/(1+$C$106)^K111</f>
        <v>1167.47195579427</v>
      </c>
      <c r="L112" s="188" t="n">
        <f aca="false">L110/(1+$C$106)^L111</f>
        <v>1118.51468317813</v>
      </c>
      <c r="M112" s="188" t="n">
        <f aca="false">M110/(1+$C$106)^M111</f>
        <v>1062.92325055651</v>
      </c>
      <c r="N112" s="188" t="n">
        <f aca="false">N110/(1+$C$106)^N111</f>
        <v>1001.8393803644</v>
      </c>
      <c r="O112" s="188" t="n">
        <f aca="false">O110/(1+$C$106)^O111</f>
        <v>936.484891714753</v>
      </c>
    </row>
    <row r="113" customFormat="false" ht="15" hidden="false" customHeight="true" outlineLevel="0" collapsed="false">
      <c r="B113" s="81" t="s">
        <v>243</v>
      </c>
      <c r="C113" s="182" t="n">
        <f aca="false">C112/(1+$C$106)^O111</f>
        <v>21089.5021367536</v>
      </c>
    </row>
    <row r="114" customFormat="false" ht="15" hidden="false" customHeight="true" outlineLevel="0" collapsed="false">
      <c r="B114" s="81" t="s">
        <v>244</v>
      </c>
      <c r="C114" s="182" t="n">
        <f aca="false">C111+C113</f>
        <v>32605.9892568259</v>
      </c>
    </row>
    <row r="115" customFormat="false" ht="15" hidden="false" customHeight="true" outlineLevel="0" collapsed="false">
      <c r="B115" s="81" t="s">
        <v>245</v>
      </c>
      <c r="C115" s="182" t="n">
        <f aca="false">C114+$C$9-$C$10</f>
        <v>33505.9892568259</v>
      </c>
    </row>
    <row r="116" customFormat="false" ht="15" hidden="false" customHeight="true" outlineLevel="0" collapsed="false">
      <c r="B116" s="185" t="s">
        <v>246</v>
      </c>
      <c r="C116" s="192" t="n">
        <f aca="false">C115/$C$11</f>
        <v>31.4079389359073</v>
      </c>
    </row>
    <row r="119" customFormat="false" ht="15" hidden="false" customHeight="true" outlineLevel="0" collapsed="false">
      <c r="B119" s="79" t="s">
        <v>251</v>
      </c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</row>
    <row r="120" customFormat="false" ht="15" hidden="false" customHeight="true" outlineLevel="0" collapsed="false">
      <c r="B120" s="185" t="s">
        <v>233</v>
      </c>
      <c r="C120" s="185" t="s">
        <v>147</v>
      </c>
      <c r="E120" s="185" t="s">
        <v>234</v>
      </c>
      <c r="F120" s="186" t="str">
        <f aca="false">"FY"&amp;RIGHT(DCF!O$38,2)</f>
        <v>FY26</v>
      </c>
      <c r="G120" s="186" t="str">
        <f aca="false">"FY"&amp;RIGHT(DCF!P$38,2)</f>
        <v>FY27</v>
      </c>
      <c r="H120" s="186" t="str">
        <f aca="false">"FY"&amp;RIGHT(DCF!Q$38,2)</f>
        <v>FY28</v>
      </c>
      <c r="I120" s="186" t="str">
        <f aca="false">"FY"&amp;RIGHT(DCF!R$38,2)</f>
        <v>FY29</v>
      </c>
      <c r="J120" s="186" t="str">
        <f aca="false">"FY"&amp;RIGHT(DCF!S$38,2)</f>
        <v>FY30</v>
      </c>
      <c r="K120" s="186" t="str">
        <f aca="false">"FY"&amp;RIGHT(DCF!T$38,2)</f>
        <v>FY31</v>
      </c>
      <c r="L120" s="186" t="str">
        <f aca="false">"FY"&amp;RIGHT(DCF!U$38,2)</f>
        <v>FY32</v>
      </c>
      <c r="M120" s="186" t="str">
        <f aca="false">"FY"&amp;RIGHT(DCF!V$38,2)</f>
        <v>FY33</v>
      </c>
      <c r="N120" s="186" t="str">
        <f aca="false">"FY"&amp;RIGHT(DCF!W$38,2)</f>
        <v>FY34</v>
      </c>
      <c r="O120" s="186" t="str">
        <f aca="false">"FY"&amp;RIGHT(DCF!X$38,2)</f>
        <v>FY35</v>
      </c>
      <c r="P120" s="186" t="s">
        <v>40</v>
      </c>
    </row>
    <row r="121" customFormat="false" ht="15" hidden="false" customHeight="true" outlineLevel="0" collapsed="false">
      <c r="B121" s="81" t="s">
        <v>235</v>
      </c>
      <c r="C121" s="181" t="n">
        <f aca="false">DCF!$L$11</f>
        <v>0.0909</v>
      </c>
      <c r="E121" s="81" t="s">
        <v>76</v>
      </c>
      <c r="F121" s="187" t="n">
        <f aca="false">$C$121</f>
        <v>0.0909</v>
      </c>
      <c r="G121" s="187" t="n">
        <f aca="false">F121-($C$121-$C$124)/$C$12</f>
        <v>0.0830222222222222</v>
      </c>
      <c r="H121" s="187" t="n">
        <f aca="false">G121-($C$121-$C$124)/$C$12</f>
        <v>0.0751444444444444</v>
      </c>
      <c r="I121" s="187" t="n">
        <f aca="false">H121-($C$121-$C$124)/$C$12</f>
        <v>0.0672666666666667</v>
      </c>
      <c r="J121" s="187" t="n">
        <f aca="false">I121-($C$121-$C$124)/$C$12</f>
        <v>0.0593888888888889</v>
      </c>
      <c r="K121" s="187" t="n">
        <f aca="false">J121-($C$121-$C$124)/$C$12</f>
        <v>0.0515111111111111</v>
      </c>
      <c r="L121" s="187" t="n">
        <f aca="false">K121-($C$121-$C$124)/$C$12</f>
        <v>0.0436333333333333</v>
      </c>
      <c r="M121" s="187" t="n">
        <f aca="false">L121-($C$121-$C$124)/$C$12</f>
        <v>0.0357555555555556</v>
      </c>
      <c r="N121" s="187" t="n">
        <f aca="false">M121-($C$121-$C$124)/$C$12</f>
        <v>0.0278777777777778</v>
      </c>
      <c r="O121" s="187" t="n">
        <f aca="false">N121-($C$121-$C$124)/$C$12</f>
        <v>0.02</v>
      </c>
    </row>
    <row r="122" customFormat="false" ht="15" hidden="false" customHeight="true" outlineLevel="0" collapsed="false">
      <c r="B122" s="81" t="s">
        <v>236</v>
      </c>
      <c r="C122" s="181" t="n">
        <f aca="false">DCF!$L$13</f>
        <v>0.1722</v>
      </c>
      <c r="E122" s="81" t="s">
        <v>16</v>
      </c>
      <c r="F122" s="188" t="n">
        <f aca="false">$C$8*(1+F121)</f>
        <v>15216.41865</v>
      </c>
      <c r="G122" s="188" t="n">
        <f aca="false">F122*(1+G121)</f>
        <v>16479.7195405867</v>
      </c>
      <c r="H122" s="188" t="n">
        <f aca="false">G122*(1+H121)</f>
        <v>17718.0789100643</v>
      </c>
      <c r="I122" s="188" t="n">
        <f aca="false">H122*(1+I121)</f>
        <v>18909.9150180813</v>
      </c>
      <c r="J122" s="188" t="n">
        <f aca="false">I122*(1+J121)</f>
        <v>20032.9538599885</v>
      </c>
      <c r="K122" s="188" t="n">
        <f aca="false">J122*(1+K121)</f>
        <v>21064.8735721541</v>
      </c>
      <c r="L122" s="188" t="n">
        <f aca="false">K122*(1+L121)</f>
        <v>21984.0042223524</v>
      </c>
      <c r="M122" s="188" t="n">
        <f aca="false">L122*(1+M121)</f>
        <v>22770.0545066583</v>
      </c>
      <c r="N122" s="188" t="n">
        <f aca="false">M122*(1+N121)</f>
        <v>23404.8330261828</v>
      </c>
      <c r="O122" s="188" t="n">
        <f aca="false">N122*(1+O121)</f>
        <v>23872.9296867065</v>
      </c>
    </row>
    <row r="123" customFormat="false" ht="15" hidden="false" customHeight="true" outlineLevel="0" collapsed="false">
      <c r="B123" s="81" t="s">
        <v>21</v>
      </c>
      <c r="C123" s="189" t="n">
        <f aca="false">DCF!$L$16</f>
        <v>0.0858338239797238</v>
      </c>
      <c r="E123" s="81" t="s">
        <v>237</v>
      </c>
      <c r="F123" s="188" t="n">
        <f aca="false">F122*$C$122*(1-$C$4)</f>
        <v>2358.240562377</v>
      </c>
      <c r="G123" s="188" t="n">
        <f aca="false">G122*$C$122*(1-$C$4)</f>
        <v>2554.02693440012</v>
      </c>
      <c r="H123" s="188" t="n">
        <f aca="false">H122*$C$122*(1-$C$4)</f>
        <v>2745.94786948177</v>
      </c>
      <c r="I123" s="188" t="n">
        <f aca="false">I122*$C$122*(1-$C$4)</f>
        <v>2930.65862950224</v>
      </c>
      <c r="J123" s="188" t="n">
        <f aca="false">J122*$C$122*(1-$C$4)</f>
        <v>3104.70718922101</v>
      </c>
      <c r="K123" s="188" t="n">
        <f aca="false">K122*$C$122*(1-$C$4)</f>
        <v>3264.63410621244</v>
      </c>
      <c r="L123" s="188" t="n">
        <f aca="false">L122*$C$122*(1-$C$4)</f>
        <v>3407.08097438018</v>
      </c>
      <c r="M123" s="188" t="n">
        <f aca="false">M122*$C$122*(1-$C$4)</f>
        <v>3528.9030474419</v>
      </c>
      <c r="N123" s="188" t="n">
        <f aca="false">N122*$C$122*(1-$C$4)</f>
        <v>3627.28102239781</v>
      </c>
      <c r="O123" s="188" t="n">
        <f aca="false">O122*$C$122*(1-$C$4)</f>
        <v>3699.82664284577</v>
      </c>
      <c r="P123" s="188" t="n">
        <f aca="false">O123*(1+$C$124)</f>
        <v>3773.82317570268</v>
      </c>
    </row>
    <row r="124" customFormat="false" ht="15" hidden="false" customHeight="true" outlineLevel="0" collapsed="false">
      <c r="B124" s="81" t="s">
        <v>238</v>
      </c>
      <c r="C124" s="181" t="n">
        <f aca="false">DCF!$J$92</f>
        <v>0.02</v>
      </c>
      <c r="E124" s="81" t="s">
        <v>35</v>
      </c>
      <c r="F124" s="188" t="n">
        <f aca="false">F122*$C$5</f>
        <v>1224.921701325</v>
      </c>
      <c r="G124" s="188" t="n">
        <f aca="false">G122*$C$5</f>
        <v>1326.61742301723</v>
      </c>
      <c r="H124" s="188" t="n">
        <f aca="false">H122*$C$5</f>
        <v>1426.30535226018</v>
      </c>
      <c r="I124" s="188" t="n">
        <f aca="false">I122*$C$5</f>
        <v>1522.24815895554</v>
      </c>
      <c r="J124" s="188" t="n">
        <f aca="false">J122*$C$5</f>
        <v>1612.65278572907</v>
      </c>
      <c r="K124" s="188" t="n">
        <f aca="false">K122*$C$5</f>
        <v>1695.7223225584</v>
      </c>
      <c r="L124" s="188" t="n">
        <f aca="false">L122*$C$5</f>
        <v>1769.71233989937</v>
      </c>
      <c r="M124" s="188" t="n">
        <f aca="false">M122*$C$5</f>
        <v>1832.98938778599</v>
      </c>
      <c r="N124" s="188" t="n">
        <f aca="false">N122*$C$5</f>
        <v>1884.08905860772</v>
      </c>
      <c r="O124" s="188" t="n">
        <f aca="false">O122*$C$5</f>
        <v>1921.77083977987</v>
      </c>
    </row>
    <row r="125" customFormat="false" ht="15" hidden="false" customHeight="true" outlineLevel="0" collapsed="false">
      <c r="E125" s="81" t="s">
        <v>36</v>
      </c>
      <c r="F125" s="188" t="n">
        <f aca="false">F122*$C$6</f>
        <v>2781.56132922</v>
      </c>
      <c r="G125" s="188" t="n">
        <f aca="false">G122*$C$6</f>
        <v>3012.49273201924</v>
      </c>
      <c r="H125" s="188" t="n">
        <f aca="false">H122*$C$6</f>
        <v>3238.86482475976</v>
      </c>
      <c r="I125" s="188" t="n">
        <f aca="false">I122*$C$6</f>
        <v>3456.73246530526</v>
      </c>
      <c r="J125" s="188" t="n">
        <f aca="false">J122*$C$6</f>
        <v>3662.02396560589</v>
      </c>
      <c r="K125" s="188" t="n">
        <f aca="false">K122*$C$6</f>
        <v>3850.65888898977</v>
      </c>
      <c r="L125" s="188" t="n">
        <f aca="false">L122*$C$6</f>
        <v>4018.67597184602</v>
      </c>
      <c r="M125" s="188" t="n">
        <f aca="false">M122*$C$6</f>
        <v>4162.36596381714</v>
      </c>
      <c r="N125" s="188" t="n">
        <f aca="false">N122*$C$6</f>
        <v>4278.40347718622</v>
      </c>
      <c r="O125" s="188" t="n">
        <f aca="false">O122*$C$6</f>
        <v>4363.97154672994</v>
      </c>
    </row>
    <row r="126" customFormat="false" ht="15" hidden="false" customHeight="true" outlineLevel="0" collapsed="false">
      <c r="E126" s="81" t="s">
        <v>239</v>
      </c>
      <c r="F126" s="188" t="n">
        <f aca="false">F122*$C$7</f>
        <v>-436.711215255</v>
      </c>
      <c r="G126" s="188" t="n">
        <f aca="false">G122*$C$7</f>
        <v>-472.967950814837</v>
      </c>
      <c r="H126" s="188" t="n">
        <f aca="false">H122*$C$7</f>
        <v>-508.508864718846</v>
      </c>
      <c r="I126" s="188" t="n">
        <f aca="false">I122*$C$7</f>
        <v>-542.714561018933</v>
      </c>
      <c r="J126" s="188" t="n">
        <f aca="false">J122*$C$7</f>
        <v>-574.945775781669</v>
      </c>
      <c r="K126" s="188" t="n">
        <f aca="false">K122*$C$7</f>
        <v>-604.561871520822</v>
      </c>
      <c r="L126" s="188" t="n">
        <f aca="false">L122*$C$7</f>
        <v>-630.940921181514</v>
      </c>
      <c r="M126" s="188" t="n">
        <f aca="false">M122*$C$7</f>
        <v>-653.500564341093</v>
      </c>
      <c r="N126" s="188" t="n">
        <f aca="false">N122*$C$7</f>
        <v>-671.718707851447</v>
      </c>
      <c r="O126" s="188" t="n">
        <f aca="false">O122*$C$7</f>
        <v>-685.153082008476</v>
      </c>
    </row>
    <row r="127" customFormat="false" ht="15" hidden="false" customHeight="true" outlineLevel="0" collapsed="false">
      <c r="E127" s="80" t="s">
        <v>46</v>
      </c>
      <c r="F127" s="190" t="n">
        <f aca="false">F123+F124-F125-F126</f>
        <v>1238.312149737</v>
      </c>
      <c r="G127" s="190" t="n">
        <f aca="false">G123+G124-G125-G126</f>
        <v>1341.11957621294</v>
      </c>
      <c r="H127" s="190" t="n">
        <f aca="false">H123+H124-H125-H126</f>
        <v>1441.89726170103</v>
      </c>
      <c r="I127" s="190" t="n">
        <f aca="false">I123+I124-I125-I126</f>
        <v>1538.88888417146</v>
      </c>
      <c r="J127" s="190" t="n">
        <f aca="false">J123+J124-J125-J126</f>
        <v>1630.28178512586</v>
      </c>
      <c r="K127" s="190" t="n">
        <f aca="false">K123+K124-K125-K126</f>
        <v>1714.2594113019</v>
      </c>
      <c r="L127" s="190" t="n">
        <f aca="false">L123+L124-L125-L126</f>
        <v>1789.05826361504</v>
      </c>
      <c r="M127" s="190" t="n">
        <f aca="false">M123+M124-M125-M126</f>
        <v>1853.02703575185</v>
      </c>
      <c r="N127" s="190" t="n">
        <f aca="false">N123+N124-N125-N126</f>
        <v>1904.68531167076</v>
      </c>
      <c r="O127" s="190" t="n">
        <f aca="false">O123+O124-O125-O126</f>
        <v>1942.77901790417</v>
      </c>
      <c r="P127" s="190" t="n">
        <f aca="false">P123*(1-$C$124/$C$123)</f>
        <v>2894.49076320428</v>
      </c>
    </row>
    <row r="128" customFormat="false" ht="15" hidden="false" customHeight="true" outlineLevel="0" collapsed="false">
      <c r="B128" s="81" t="s">
        <v>240</v>
      </c>
      <c r="C128" s="182" t="n">
        <f aca="false">SUM(F129:O129)</f>
        <v>11608.9650096073</v>
      </c>
      <c r="E128" s="81" t="s">
        <v>241</v>
      </c>
      <c r="F128" s="191" t="n">
        <f aca="false">DCF!O$71</f>
        <v>0.0347222222222222</v>
      </c>
      <c r="G128" s="191" t="n">
        <f aca="false">DCF!P$71</f>
        <v>0.569444444444444</v>
      </c>
      <c r="H128" s="191" t="n">
        <f aca="false">DCF!Q$71</f>
        <v>1.56944444444444</v>
      </c>
      <c r="I128" s="191" t="n">
        <f aca="false">DCF!R$71</f>
        <v>2.56944444444444</v>
      </c>
      <c r="J128" s="191" t="n">
        <f aca="false">DCF!S$71</f>
        <v>3.56944444444444</v>
      </c>
      <c r="K128" s="191" t="n">
        <f aca="false">DCF!T$71</f>
        <v>4.56944444444445</v>
      </c>
      <c r="L128" s="191" t="n">
        <f aca="false">DCF!U$71</f>
        <v>5.56944444444445</v>
      </c>
      <c r="M128" s="191" t="n">
        <f aca="false">DCF!V$71</f>
        <v>6.56944444444445</v>
      </c>
      <c r="N128" s="191" t="n">
        <f aca="false">DCF!W$71</f>
        <v>7.56944444444445</v>
      </c>
      <c r="O128" s="191" t="n">
        <f aca="false">DCF!X$71</f>
        <v>8.56944444444445</v>
      </c>
    </row>
    <row r="129" customFormat="false" ht="15" hidden="false" customHeight="true" outlineLevel="0" collapsed="false">
      <c r="B129" s="81" t="s">
        <v>73</v>
      </c>
      <c r="C129" s="182" t="n">
        <f aca="false">P127/($C$123-$C$124)</f>
        <v>43966.6206249201</v>
      </c>
      <c r="E129" s="81" t="s">
        <v>242</v>
      </c>
      <c r="F129" s="188" t="n">
        <f aca="false">F127/(1+$C$123)^F128</f>
        <v>1234.77648581277</v>
      </c>
      <c r="G129" s="188" t="n">
        <f aca="false">G127/(1+$C$123)^G128</f>
        <v>1279.68256185756</v>
      </c>
      <c r="H129" s="188" t="n">
        <f aca="false">H127/(1+$C$123)^H128</f>
        <v>1267.08485833582</v>
      </c>
      <c r="I129" s="188" t="n">
        <f aca="false">I127/(1+$C$123)^I128</f>
        <v>1245.41840866907</v>
      </c>
      <c r="J129" s="188" t="n">
        <f aca="false">J127/(1+$C$123)^J128</f>
        <v>1215.08687151224</v>
      </c>
      <c r="K129" s="188" t="n">
        <f aca="false">K127/(1+$C$123)^K128</f>
        <v>1176.67852865137</v>
      </c>
      <c r="L129" s="188" t="n">
        <f aca="false">L127/(1+$C$123)^L128</f>
        <v>1130.94739544707</v>
      </c>
      <c r="M129" s="188" t="n">
        <f aca="false">M127/(1+$C$123)^M128</f>
        <v>1078.78850520801</v>
      </c>
      <c r="N129" s="188" t="n">
        <f aca="false">N127/(1+$C$123)^N128</f>
        <v>1021.20850072739</v>
      </c>
      <c r="O129" s="188" t="n">
        <f aca="false">O127/(1+$C$123)^O128</f>
        <v>959.292893386039</v>
      </c>
    </row>
    <row r="130" customFormat="false" ht="15" hidden="false" customHeight="true" outlineLevel="0" collapsed="false">
      <c r="B130" s="81" t="s">
        <v>243</v>
      </c>
      <c r="C130" s="182" t="n">
        <f aca="false">C129/(1+$C$123)^O128</f>
        <v>21709.5543667058</v>
      </c>
    </row>
    <row r="131" customFormat="false" ht="15" hidden="false" customHeight="true" outlineLevel="0" collapsed="false">
      <c r="B131" s="81" t="s">
        <v>244</v>
      </c>
      <c r="C131" s="182" t="n">
        <f aca="false">C128+C130</f>
        <v>33318.5193763131</v>
      </c>
    </row>
    <row r="132" customFormat="false" ht="15" hidden="false" customHeight="true" outlineLevel="0" collapsed="false">
      <c r="B132" s="81" t="s">
        <v>245</v>
      </c>
      <c r="C132" s="182" t="n">
        <f aca="false">C131+$C$9-$C$10</f>
        <v>34218.5193763131</v>
      </c>
    </row>
    <row r="133" customFormat="false" ht="15" hidden="false" customHeight="true" outlineLevel="0" collapsed="false">
      <c r="B133" s="185" t="s">
        <v>246</v>
      </c>
      <c r="C133" s="192" t="n">
        <f aca="false">C132/$C$11</f>
        <v>32.0758524337393</v>
      </c>
    </row>
    <row r="136" customFormat="false" ht="15" hidden="false" customHeight="true" outlineLevel="0" collapsed="false">
      <c r="B136" s="79" t="s">
        <v>252</v>
      </c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</row>
    <row r="137" customFormat="false" ht="15" hidden="false" customHeight="true" outlineLevel="0" collapsed="false">
      <c r="B137" s="185" t="s">
        <v>233</v>
      </c>
      <c r="C137" s="185" t="s">
        <v>147</v>
      </c>
      <c r="E137" s="185" t="s">
        <v>234</v>
      </c>
      <c r="F137" s="186" t="str">
        <f aca="false">"FY"&amp;RIGHT(DCF!O$38,2)</f>
        <v>FY26</v>
      </c>
      <c r="G137" s="186" t="str">
        <f aca="false">"FY"&amp;RIGHT(DCF!P$38,2)</f>
        <v>FY27</v>
      </c>
      <c r="H137" s="186" t="str">
        <f aca="false">"FY"&amp;RIGHT(DCF!Q$38,2)</f>
        <v>FY28</v>
      </c>
      <c r="I137" s="186" t="str">
        <f aca="false">"FY"&amp;RIGHT(DCF!R$38,2)</f>
        <v>FY29</v>
      </c>
      <c r="J137" s="186" t="str">
        <f aca="false">"FY"&amp;RIGHT(DCF!S$38,2)</f>
        <v>FY30</v>
      </c>
      <c r="K137" s="186" t="str">
        <f aca="false">"FY"&amp;RIGHT(DCF!T$38,2)</f>
        <v>FY31</v>
      </c>
      <c r="L137" s="186" t="str">
        <f aca="false">"FY"&amp;RIGHT(DCF!U$38,2)</f>
        <v>FY32</v>
      </c>
      <c r="M137" s="186" t="str">
        <f aca="false">"FY"&amp;RIGHT(DCF!V$38,2)</f>
        <v>FY33</v>
      </c>
      <c r="N137" s="186" t="str">
        <f aca="false">"FY"&amp;RIGHT(DCF!W$38,2)</f>
        <v>FY34</v>
      </c>
      <c r="O137" s="186" t="str">
        <f aca="false">"FY"&amp;RIGHT(DCF!X$38,2)</f>
        <v>FY35</v>
      </c>
      <c r="P137" s="186" t="s">
        <v>40</v>
      </c>
    </row>
    <row r="138" customFormat="false" ht="15" hidden="false" customHeight="true" outlineLevel="0" collapsed="false">
      <c r="B138" s="81" t="s">
        <v>235</v>
      </c>
      <c r="C138" s="181" t="n">
        <f aca="false">DCF!$L$11</f>
        <v>0.0909</v>
      </c>
      <c r="E138" s="81" t="s">
        <v>76</v>
      </c>
      <c r="F138" s="187" t="n">
        <f aca="false">$C$138</f>
        <v>0.0909</v>
      </c>
      <c r="G138" s="187" t="n">
        <f aca="false">F138-($C$138-$C$141)/$C$12</f>
        <v>0.0835777777777778</v>
      </c>
      <c r="H138" s="187" t="n">
        <f aca="false">G138-($C$138-$C$141)/$C$12</f>
        <v>0.0762555555555556</v>
      </c>
      <c r="I138" s="187" t="n">
        <f aca="false">H138-($C$138-$C$141)/$C$12</f>
        <v>0.0689333333333334</v>
      </c>
      <c r="J138" s="187" t="n">
        <f aca="false">I138-($C$138-$C$141)/$C$12</f>
        <v>0.0616111111111111</v>
      </c>
      <c r="K138" s="187" t="n">
        <f aca="false">J138-($C$138-$C$141)/$C$12</f>
        <v>0.0542888888888889</v>
      </c>
      <c r="L138" s="187" t="n">
        <f aca="false">K138-($C$138-$C$141)/$C$12</f>
        <v>0.0469666666666667</v>
      </c>
      <c r="M138" s="187" t="n">
        <f aca="false">L138-($C$138-$C$141)/$C$12</f>
        <v>0.0396444444444445</v>
      </c>
      <c r="N138" s="187" t="n">
        <f aca="false">M138-($C$138-$C$141)/$C$12</f>
        <v>0.0323222222222222</v>
      </c>
      <c r="O138" s="187" t="n">
        <f aca="false">N138-($C$138-$C$141)/$C$12</f>
        <v>0.025</v>
      </c>
    </row>
    <row r="139" customFormat="false" ht="15" hidden="false" customHeight="true" outlineLevel="0" collapsed="false">
      <c r="B139" s="81" t="s">
        <v>236</v>
      </c>
      <c r="C139" s="181" t="n">
        <f aca="false">DCF!$L$13</f>
        <v>0.1722</v>
      </c>
      <c r="E139" s="81" t="s">
        <v>16</v>
      </c>
      <c r="F139" s="188" t="n">
        <f aca="false">$C$8*(1+F138)</f>
        <v>15216.41865</v>
      </c>
      <c r="G139" s="188" t="n">
        <f aca="false">F139*(1+G138)</f>
        <v>16488.1731065033</v>
      </c>
      <c r="H139" s="188" t="n">
        <f aca="false">G139*(1+H138)</f>
        <v>17745.4879068359</v>
      </c>
      <c r="I139" s="188" t="n">
        <f aca="false">H139*(1+I138)</f>
        <v>18968.7435398805</v>
      </c>
      <c r="J139" s="188" t="n">
        <f aca="false">I139*(1+J138)</f>
        <v>20137.4289057542</v>
      </c>
      <c r="K139" s="188" t="n">
        <f aca="false">J139*(1+K138)</f>
        <v>21230.6675461266</v>
      </c>
      <c r="L139" s="188" t="n">
        <f aca="false">K139*(1+L138)</f>
        <v>22227.8012318763</v>
      </c>
      <c r="M139" s="188" t="n">
        <f aca="false">L139*(1+M138)</f>
        <v>23109.0100629356</v>
      </c>
      <c r="N139" s="188" t="n">
        <f aca="false">M139*(1+N138)</f>
        <v>23855.9446215254</v>
      </c>
      <c r="O139" s="188" t="n">
        <f aca="false">N139*(1+O138)</f>
        <v>24452.3432370635</v>
      </c>
    </row>
    <row r="140" customFormat="false" ht="15" hidden="false" customHeight="true" outlineLevel="0" collapsed="false">
      <c r="B140" s="81" t="s">
        <v>21</v>
      </c>
      <c r="C140" s="189" t="n">
        <f aca="false">DCF!$L$16</f>
        <v>0.0858338239797238</v>
      </c>
      <c r="E140" s="81" t="s">
        <v>237</v>
      </c>
      <c r="F140" s="188" t="n">
        <f aca="false">F139*$C$139*(1-$C$4)</f>
        <v>2358.240562377</v>
      </c>
      <c r="G140" s="188" t="n">
        <f aca="false">G139*$C$139*(1-$C$4)</f>
        <v>2555.33706804589</v>
      </c>
      <c r="H140" s="188" t="n">
        <f aca="false">H139*$C$139*(1-$C$4)</f>
        <v>2750.19571580143</v>
      </c>
      <c r="I140" s="188" t="n">
        <f aca="false">I139*$C$139*(1-$C$4)</f>
        <v>2939.77587381067</v>
      </c>
      <c r="J140" s="188" t="n">
        <f aca="false">J139*$C$139*(1-$C$4)</f>
        <v>3120.89873181379</v>
      </c>
      <c r="K140" s="188" t="n">
        <f aca="false">K139*$C$139*(1-$C$4)</f>
        <v>3290.3288562987</v>
      </c>
      <c r="L140" s="188" t="n">
        <f aca="false">L139*$C$139*(1-$C$4)</f>
        <v>3444.8646349162</v>
      </c>
      <c r="M140" s="188" t="n">
        <f aca="false">M139*$C$139*(1-$C$4)</f>
        <v>3581.43437955376</v>
      </c>
      <c r="N140" s="188" t="n">
        <f aca="false">N139*$C$139*(1-$C$4)</f>
        <v>3697.19429744401</v>
      </c>
      <c r="O140" s="188" t="n">
        <f aca="false">O139*$C$139*(1-$C$4)</f>
        <v>3789.62415488011</v>
      </c>
      <c r="P140" s="188" t="n">
        <f aca="false">O140*(1+$C$141)</f>
        <v>3884.36475875211</v>
      </c>
    </row>
    <row r="141" customFormat="false" ht="15" hidden="false" customHeight="true" outlineLevel="0" collapsed="false">
      <c r="B141" s="81" t="s">
        <v>238</v>
      </c>
      <c r="C141" s="181" t="n">
        <f aca="false">DCF!$L$92</f>
        <v>0.025</v>
      </c>
      <c r="E141" s="81" t="s">
        <v>35</v>
      </c>
      <c r="F141" s="188" t="n">
        <f aca="false">F139*$C$5</f>
        <v>1224.921701325</v>
      </c>
      <c r="G141" s="188" t="n">
        <f aca="false">G139*$C$5</f>
        <v>1327.29793507352</v>
      </c>
      <c r="H141" s="188" t="n">
        <f aca="false">H139*$C$5</f>
        <v>1428.51177650029</v>
      </c>
      <c r="I141" s="188" t="n">
        <f aca="false">I139*$C$5</f>
        <v>1526.98385496038</v>
      </c>
      <c r="J141" s="188" t="n">
        <f aca="false">J139*$C$5</f>
        <v>1621.06302691321</v>
      </c>
      <c r="K141" s="188" t="n">
        <f aca="false">K139*$C$5</f>
        <v>1709.06873746319</v>
      </c>
      <c r="L141" s="188" t="n">
        <f aca="false">L139*$C$5</f>
        <v>1789.33799916605</v>
      </c>
      <c r="M141" s="188" t="n">
        <f aca="false">M139*$C$5</f>
        <v>1860.27531006632</v>
      </c>
      <c r="N141" s="188" t="n">
        <f aca="false">N139*$C$5</f>
        <v>1920.40354203279</v>
      </c>
      <c r="O141" s="188" t="n">
        <f aca="false">O139*$C$5</f>
        <v>1968.41363058361</v>
      </c>
    </row>
    <row r="142" customFormat="false" ht="15" hidden="false" customHeight="true" outlineLevel="0" collapsed="false">
      <c r="E142" s="81" t="s">
        <v>36</v>
      </c>
      <c r="F142" s="188" t="n">
        <f aca="false">F139*$C$6</f>
        <v>2781.56132922</v>
      </c>
      <c r="G142" s="188" t="n">
        <f aca="false">G139*$C$6</f>
        <v>3014.03804386881</v>
      </c>
      <c r="H142" s="188" t="n">
        <f aca="false">H139*$C$6</f>
        <v>3243.8751893696</v>
      </c>
      <c r="I142" s="188" t="n">
        <f aca="false">I139*$C$6</f>
        <v>3467.48631909015</v>
      </c>
      <c r="J142" s="188" t="n">
        <f aca="false">J139*$C$6</f>
        <v>3681.12200397187</v>
      </c>
      <c r="K142" s="188" t="n">
        <f aca="false">K139*$C$6</f>
        <v>3880.96602743194</v>
      </c>
      <c r="L142" s="188" t="n">
        <f aca="false">L139*$C$6</f>
        <v>4063.242065187</v>
      </c>
      <c r="M142" s="188" t="n">
        <f aca="false">M139*$C$6</f>
        <v>4224.32703950463</v>
      </c>
      <c r="N142" s="188" t="n">
        <f aca="false">N139*$C$6</f>
        <v>4360.86667681484</v>
      </c>
      <c r="O142" s="188" t="n">
        <f aca="false">O139*$C$6</f>
        <v>4469.88834373521</v>
      </c>
    </row>
    <row r="143" customFormat="false" ht="15" hidden="false" customHeight="true" outlineLevel="0" collapsed="false">
      <c r="E143" s="81" t="s">
        <v>239</v>
      </c>
      <c r="F143" s="188" t="n">
        <f aca="false">F139*$C$7</f>
        <v>-436.711215255</v>
      </c>
      <c r="G143" s="188" t="n">
        <f aca="false">G139*$C$7</f>
        <v>-473.210568156646</v>
      </c>
      <c r="H143" s="188" t="n">
        <f aca="false">H139*$C$7</f>
        <v>-509.295502926191</v>
      </c>
      <c r="I143" s="188" t="n">
        <f aca="false">I139*$C$7</f>
        <v>-544.402939594569</v>
      </c>
      <c r="J143" s="188" t="n">
        <f aca="false">J139*$C$7</f>
        <v>-577.944209595146</v>
      </c>
      <c r="K143" s="188" t="n">
        <f aca="false">K139*$C$7</f>
        <v>-609.320158573834</v>
      </c>
      <c r="L143" s="188" t="n">
        <f aca="false">L139*$C$7</f>
        <v>-637.937895354851</v>
      </c>
      <c r="M143" s="188" t="n">
        <f aca="false">M139*$C$7</f>
        <v>-663.228588806252</v>
      </c>
      <c r="N143" s="188" t="n">
        <f aca="false">N139*$C$7</f>
        <v>-684.665610637779</v>
      </c>
      <c r="O143" s="188" t="n">
        <f aca="false">O139*$C$7</f>
        <v>-701.782250903723</v>
      </c>
    </row>
    <row r="144" customFormat="false" ht="15" hidden="false" customHeight="true" outlineLevel="0" collapsed="false">
      <c r="E144" s="80" t="s">
        <v>46</v>
      </c>
      <c r="F144" s="190" t="n">
        <f aca="false">F140+F141-F142-F143</f>
        <v>1238.312149737</v>
      </c>
      <c r="G144" s="190" t="n">
        <f aca="false">G140+G141-G142-G143</f>
        <v>1341.80752740724</v>
      </c>
      <c r="H144" s="190" t="n">
        <f aca="false">H140+H141-H142-H143</f>
        <v>1444.12780585831</v>
      </c>
      <c r="I144" s="190" t="n">
        <f aca="false">I140+I141-I142-I143</f>
        <v>1543.67634927547</v>
      </c>
      <c r="J144" s="190" t="n">
        <f aca="false">J140+J141-J142-J143</f>
        <v>1638.78396435028</v>
      </c>
      <c r="K144" s="190" t="n">
        <f aca="false">K140+K141-K142-K143</f>
        <v>1727.75172490378</v>
      </c>
      <c r="L144" s="190" t="n">
        <f aca="false">L140+L141-L142-L143</f>
        <v>1808.8984642501</v>
      </c>
      <c r="M144" s="190" t="n">
        <f aca="false">M140+M141-M142-M143</f>
        <v>1880.6112389217</v>
      </c>
      <c r="N144" s="190" t="n">
        <f aca="false">N140+N141-N142-N143</f>
        <v>1941.39677329974</v>
      </c>
      <c r="O144" s="190" t="n">
        <f aca="false">O140+O141-O142-O143</f>
        <v>1989.93169263223</v>
      </c>
      <c r="P144" s="190" t="n">
        <f aca="false">P140*(1-$C$141/$C$140)</f>
        <v>2753.00284958513</v>
      </c>
    </row>
    <row r="145" customFormat="false" ht="15" hidden="false" customHeight="true" outlineLevel="0" collapsed="false">
      <c r="B145" s="81" t="s">
        <v>240</v>
      </c>
      <c r="C145" s="182" t="n">
        <f aca="false">SUM(F146:O146)</f>
        <v>11702.6207307731</v>
      </c>
      <c r="E145" s="81" t="s">
        <v>241</v>
      </c>
      <c r="F145" s="191" t="n">
        <f aca="false">DCF!O$71</f>
        <v>0.0347222222222222</v>
      </c>
      <c r="G145" s="191" t="n">
        <f aca="false">DCF!P$71</f>
        <v>0.569444444444444</v>
      </c>
      <c r="H145" s="191" t="n">
        <f aca="false">DCF!Q$71</f>
        <v>1.56944444444444</v>
      </c>
      <c r="I145" s="191" t="n">
        <f aca="false">DCF!R$71</f>
        <v>2.56944444444444</v>
      </c>
      <c r="J145" s="191" t="n">
        <f aca="false">DCF!S$71</f>
        <v>3.56944444444444</v>
      </c>
      <c r="K145" s="191" t="n">
        <f aca="false">DCF!T$71</f>
        <v>4.56944444444445</v>
      </c>
      <c r="L145" s="191" t="n">
        <f aca="false">DCF!U$71</f>
        <v>5.56944444444445</v>
      </c>
      <c r="M145" s="191" t="n">
        <f aca="false">DCF!V$71</f>
        <v>6.56944444444445</v>
      </c>
      <c r="N145" s="191" t="n">
        <f aca="false">DCF!W$71</f>
        <v>7.56944444444445</v>
      </c>
      <c r="O145" s="191" t="n">
        <f aca="false">DCF!X$71</f>
        <v>8.56944444444445</v>
      </c>
    </row>
    <row r="146" customFormat="false" ht="15" hidden="false" customHeight="true" outlineLevel="0" collapsed="false">
      <c r="B146" s="81" t="s">
        <v>73</v>
      </c>
      <c r="C146" s="182" t="n">
        <f aca="false">P144/($C$140-$C$141)</f>
        <v>45254.4763666792</v>
      </c>
      <c r="E146" s="81" t="s">
        <v>242</v>
      </c>
      <c r="F146" s="188" t="n">
        <f aca="false">F144/(1+$C$140)^F145</f>
        <v>1234.77648581277</v>
      </c>
      <c r="G146" s="188" t="n">
        <f aca="false">G144/(1+$C$140)^G145</f>
        <v>1280.33899784013</v>
      </c>
      <c r="H146" s="188" t="n">
        <f aca="false">H144/(1+$C$140)^H145</f>
        <v>1269.04497630164</v>
      </c>
      <c r="I146" s="188" t="n">
        <f aca="false">I144/(1+$C$140)^I145</f>
        <v>1249.29289059738</v>
      </c>
      <c r="J146" s="188" t="n">
        <f aca="false">J144/(1+$C$140)^J145</f>
        <v>1221.42374311878</v>
      </c>
      <c r="K146" s="188" t="n">
        <f aca="false">K144/(1+$C$140)^K145</f>
        <v>1185.93973825157</v>
      </c>
      <c r="L146" s="188" t="n">
        <f aca="false">L144/(1+$C$140)^L145</f>
        <v>1143.48931411439</v>
      </c>
      <c r="M146" s="188" t="n">
        <f aca="false">M144/(1+$C$140)^M145</f>
        <v>1094.84737576458</v>
      </c>
      <c r="N146" s="188" t="n">
        <f aca="false">N144/(1+$C$140)^N145</f>
        <v>1040.89157197277</v>
      </c>
      <c r="O146" s="188" t="n">
        <f aca="false">O144/(1+$C$140)^O145</f>
        <v>982.575636999137</v>
      </c>
    </row>
    <row r="147" customFormat="false" ht="15" hidden="false" customHeight="true" outlineLevel="0" collapsed="false">
      <c r="B147" s="81" t="s">
        <v>243</v>
      </c>
      <c r="C147" s="182" t="n">
        <f aca="false">C146/(1+$C$140)^O145</f>
        <v>22345.4634687655</v>
      </c>
    </row>
    <row r="148" customFormat="false" ht="15" hidden="false" customHeight="true" outlineLevel="0" collapsed="false">
      <c r="B148" s="81" t="s">
        <v>244</v>
      </c>
      <c r="C148" s="182" t="n">
        <f aca="false">C145+C147</f>
        <v>34048.0841995386</v>
      </c>
    </row>
    <row r="149" customFormat="false" ht="15" hidden="false" customHeight="true" outlineLevel="0" collapsed="false">
      <c r="B149" s="81" t="s">
        <v>245</v>
      </c>
      <c r="C149" s="182" t="n">
        <f aca="false">C148+$C$9-$C$10</f>
        <v>34948.0841995386</v>
      </c>
    </row>
    <row r="150" customFormat="false" ht="15" hidden="false" customHeight="true" outlineLevel="0" collapsed="false">
      <c r="B150" s="185" t="s">
        <v>246</v>
      </c>
      <c r="C150" s="192" t="n">
        <f aca="false">C149/$C$11</f>
        <v>32.7597339703212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LibreOffice/26.2.6.3$MacOSX_X86_64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2026-03-08T16:56:37Z</dcterms:created>
  <dc:creator>openpyxl</dc:creator>
  <dc:description/>
  <dc:language>en-US</dc:language>
  <cp:lastModifiedBy/>
  <dcterms:modified xsi:type="dcterms:W3CDTF">2026-10-18T10:57:45Z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