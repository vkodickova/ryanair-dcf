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CF" sheetId="1" state="visible" r:id="rId3"/>
    <sheet name="Changes" sheetId="2" state="visible" r:id="rId4"/>
    <sheet name="Valuation" sheetId="3" state="visible" r:id="rId5"/>
    <sheet name="WACC" sheetId="4" state="visible" r:id="rId6"/>
    <sheet name="Sources &amp; Checks" sheetId="5" state="visible" r:id="rId7"/>
    <sheet name="Ratios" sheetId="6" state="visible" r:id="rId8"/>
    <sheet name="Calc" sheetId="7" state="visible" r:id="rId9"/>
  </sheets>
  <definedNames>
    <definedName function="false" hidden="false" localSheetId="0" name="_xlnm.Print_Area" vbProcedure="false">DCF!$A$1:$Y$101</definedName>
    <definedName function="false" hidden="false" localSheetId="5" name="_xlnm.Print_Area" vbProcedure="false">Ratios!$A$1:$E$36</definedName>
    <definedName function="false" hidden="false" localSheetId="4" name="_xlnm.Print_Area" vbProcedure="false">'Sources &amp; Checks'!$A$1:$D$25</definedName>
    <definedName function="false" hidden="false" localSheetId="2" name="_xlnm.Print_Area" vbProcedure="false">Valuation!$A$1:$Z$30</definedName>
    <definedName function="false" hidden="false" localSheetId="3" name="_xlnm.Print_Area" vbProcedure="false">WACC!$A$1:$J$22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  <author>Viktorie Kodickova</author>
  </authors>
  <commentList>
    <comment ref="D6" authorId="0">
      <text>
        <r>
          <rPr>
            <sz val="10"/>
            <rFont val="Arial"/>
            <family val="2"/>
          </rPr>
          <t xml:space="preserve">Valuation date aligned to current market price date.</t>
        </r>
      </text>
    </comment>
    <comment ref="I6" authorId="0">
      <text>
        <r>
          <rPr>
            <sz val="10"/>
            <rFont val="Arial"/>
            <family val="2"/>
          </rPr>
          <t xml:space="preserve">Linked to verified source sheet (market price on 06/03/2026).</t>
        </r>
      </text>
    </comment>
    <comment ref="L16" authorId="0">
      <text>
        <r>
          <rPr>
            <sz val="10"/>
            <rFont val="Arial"/>
            <family val="2"/>
          </rPr>
          <t xml:space="preserve">Base case WACC linked to WACC!F22. Conservative / Optimistic cases use 9.2% / 8.2%.</t>
        </r>
      </text>
    </comment>
    <comment ref="L17" authorId="1">
      <text>
        <r>
          <rPr>
            <sz val="10"/>
            <rFont val="Arial"/>
            <family val="2"/>
          </rPr>
          <t xml:space="preserve">Base terminal growth rate = 1.5% for a mature airline. Scenarios use 1.0% to 2.0%, the sensitivity table 0.5% to 2.5%.</t>
        </r>
      </text>
    </comment>
    <comment ref="O41" authorId="1">
      <text>
        <r>
          <rPr>
            <sz val="10"/>
            <rFont val="Arial"/>
            <family val="2"/>
          </rPr>
          <t xml:space="preserve">Conservative case revenue growth: 7.0% in FY26, falling in equal steps to the 1.0% terminal growth rate in FY35.</t>
        </r>
      </text>
    </comment>
    <comment ref="O42" authorId="1">
      <text>
        <r>
          <rPr>
            <sz val="10"/>
            <rFont val="Arial"/>
            <family val="2"/>
          </rPr>
          <t xml:space="preserve">Base case revenue growth: 9.09% in FY26 (average of FY17-19 and FY24-25), falling in equal steps to the 1.5% terminal growth rate in FY35.</t>
        </r>
      </text>
    </comment>
    <comment ref="O47" authorId="1">
      <text>
        <r>
          <rPr>
            <sz val="10"/>
            <rFont val="Arial"/>
            <family val="2"/>
          </rPr>
          <t xml:space="preserve">Conservative EBIT margin: 16.0%, flat in all years.</t>
        </r>
      </text>
    </comment>
    <comment ref="O48" authorId="1">
      <text>
        <r>
          <rPr>
            <sz val="10"/>
            <rFont val="Arial"/>
            <family val="2"/>
          </rPr>
          <t xml:space="preserve">Base EBIT margin: 17.2% (average of FY17-19 and FY24-25), flat in all years.</t>
        </r>
      </text>
    </comment>
    <comment ref="O57" authorId="1">
      <text>
        <r>
          <rPr>
            <sz val="10"/>
            <rFont val="Arial"/>
            <family val="2"/>
          </rPr>
          <t xml:space="preserve">D&amp;A: 8.05% of sales (average of FY17-19 and FY24-25), flat in all years.</t>
        </r>
      </text>
    </comment>
    <comment ref="O60" authorId="1">
      <text>
        <r>
          <rPr>
            <sz val="10"/>
            <rFont val="Arial"/>
            <family val="2"/>
          </rPr>
          <t xml:space="preserve">CapEx: 18.28% of sales in FY26 (average of FY17-19 and FY24-25). From FY27 CapEx = D&amp;A + net reinvestment (rows 64 and 65), so it follows growth.</t>
        </r>
      </text>
    </comment>
    <comment ref="O63" authorId="1">
      <text>
        <r>
          <rPr>
            <sz val="10"/>
            <rFont val="Arial"/>
            <family val="2"/>
          </rPr>
          <t xml:space="preserve">Change in NWC: -2.87% of sales in FY26 (average of FY17-19 and FY24-25). Negative means a cash source. From FY27 it keeps its share of net reinvestment, so the inflow shrinks with growth.</t>
        </r>
      </text>
    </comment>
    <comment ref="S76" authorId="0">
      <text>
        <r>
          <rPr>
            <sz val="10"/>
            <rFont val="Arial"/>
            <family val="2"/>
          </rPr>
          <t xml:space="preserve">Linked to verified source sheet (gross cash at 31 Dec 2025).</t>
        </r>
      </text>
    </comment>
    <comment ref="S77" authorId="0">
      <text>
        <r>
          <rPr>
            <sz val="10"/>
            <rFont val="Arial"/>
            <family val="2"/>
          </rPr>
          <t xml:space="preserve">Linked to verified source sheet (gross debt at 31 Dec 2025).</t>
        </r>
      </text>
    </comment>
    <comment ref="S78" authorId="0">
      <text>
        <r>
          <rPr>
            <sz val="10"/>
            <rFont val="Arial"/>
            <family val="2"/>
          </rPr>
          <t xml:space="preserve">Equity value = enterprise value + cash - debt.</t>
        </r>
      </text>
    </comment>
    <comment ref="S80" authorId="0">
      <text>
        <r>
          <rPr>
            <sz val="10"/>
            <rFont val="Arial"/>
            <family val="2"/>
          </rPr>
          <t xml:space="preserve">Linked to verified source sheet (diluted shares).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Arial"/>
            <family val="2"/>
          </rPr>
          <t xml:space="preserve">Linked to verified current share price.</t>
        </r>
      </text>
    </comment>
    <comment ref="J8" authorId="0">
      <text>
        <r>
          <rPr>
            <sz val="10"/>
            <rFont val="Arial"/>
            <family val="2"/>
          </rPr>
          <t xml:space="preserve">Market cap calculated using basic shares outstanding (not diluted).</t>
        </r>
      </text>
    </comment>
    <comment ref="L8" authorId="0">
      <text>
        <r>
          <rPr>
            <sz val="10"/>
            <rFont val="Arial"/>
            <family val="2"/>
          </rPr>
          <t xml:space="preserve">Enterprise value calculated as market cap - cash + debt using verified latest balance sheet inputs.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Market cap now linked to verified share price and basic shares outstanding.</t>
        </r>
      </text>
    </comment>
    <comment ref="F11" authorId="0">
      <text>
        <r>
          <rPr>
            <sz val="10"/>
            <rFont val="Arial"/>
            <family val="2"/>
          </rPr>
          <t xml:space="preserve">Source: https://www.ecb.europa.eu/stats/html/index.en.html (10-year AAA government bond yield 2.89% on 05-Mar-2026).</t>
        </r>
      </text>
    </comment>
    <comment ref="F12" authorId="0">
      <text>
        <r>
          <rPr>
            <sz val="10"/>
            <rFont val="Arial"/>
            <family val="2"/>
          </rPr>
          <t xml:space="preserve">Source: https://finance.yahoo.com/quote/RYA.IR/ (Beta (5Y Monthly) = 1.01, accessed Mar-2026).</t>
        </r>
      </text>
    </comment>
    <comment ref="F13" authorId="0">
      <text>
        <r>
          <rPr>
            <sz val="10"/>
            <rFont val="Arial"/>
            <family val="2"/>
          </rPr>
          <t xml:space="preserve">Source: https://www.kroll.com/en/reports/cost-of-capital/recommended-eurozone-equity-risk-premium-corresponding-risk-free-rates (Kroll notes a Eurozone ERP range of 5.5% to 6.0%; model uses 6.0% as a prudent upper-end assumption).</t>
        </r>
      </text>
    </comment>
    <comment ref="F15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 (gross debt c. €1.5bn at 31-Dec-2025).</t>
        </r>
      </text>
    </comment>
    <comment ref="F17" authorId="0">
      <text>
        <r>
          <rPr>
            <sz val="10"/>
            <rFont val="Arial"/>
            <family val="2"/>
          </rPr>
          <t xml:space="preserve">Analyst assumption: 3.0% pre-tax cost of debt. Ryanair is close to debt-free after the final bond maturity due May-2026; debt weighting in WACC is small.</t>
        </r>
      </text>
    </comment>
    <comment ref="F18" authorId="0">
      <text>
        <r>
          <rPr>
            <sz val="10"/>
            <rFont val="Arial"/>
            <family val="2"/>
          </rPr>
          <t xml:space="preserve">Source: https://investor.ryanair.com/wp-content/uploads/2025/05/Ryanair-2025-Annual-Report.pdf (FY25 effective tax rate ~10%).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https://live.euronext.com/en/product/equities/IE00BYTBXV33-XMSM
Cross-check: https://www.marketscreener.com/quote/stock/RYANAIR-HOLDINGS-PLC-1412410/quotes/</t>
        </r>
      </text>
    </comment>
    <comment ref="B6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7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8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9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10" authorId="0">
      <text>
        <r>
          <rPr>
            <sz val="10"/>
            <rFont val="Arial"/>
            <family val="2"/>
          </rPr>
          <t xml:space="preserve">Source: https://www.investing.com/rates-bonds/germany-10-year-bond-yield-forecasts</t>
        </r>
      </text>
    </comment>
  </commentList>
</comments>
</file>

<file path=xl/sharedStrings.xml><?xml version="1.0" encoding="utf-8"?>
<sst xmlns="http://schemas.openxmlformats.org/spreadsheetml/2006/main" count="841" uniqueCount="301">
  <si>
    <t xml:space="preserve">DCF Model - Ryanair</t>
  </si>
  <si>
    <t xml:space="preserve">Ticker</t>
  </si>
  <si>
    <t xml:space="preserve">RYA.IR</t>
  </si>
  <si>
    <t xml:space="preserve">Implied Price Per Share</t>
  </si>
  <si>
    <t xml:space="preserve">Low-end</t>
  </si>
  <si>
    <t xml:space="preserve">Date</t>
  </si>
  <si>
    <t xml:space="preserve">Current Share Price</t>
  </si>
  <si>
    <t xml:space="preserve">High-end</t>
  </si>
  <si>
    <t xml:space="preserve">Year end</t>
  </si>
  <si>
    <t xml:space="preserve">Implied Upside/Downside</t>
  </si>
  <si>
    <t xml:space="preserve">X</t>
  </si>
  <si>
    <t xml:space="preserve">Assumption</t>
  </si>
  <si>
    <t xml:space="preserve">Switches</t>
  </si>
  <si>
    <t xml:space="preserve">Conservative</t>
  </si>
  <si>
    <t xml:space="preserve">Street/Base</t>
  </si>
  <si>
    <t xml:space="preserve">Optimistic</t>
  </si>
  <si>
    <t xml:space="preserve">Revenue</t>
  </si>
  <si>
    <t xml:space="preserve">Revenue Growth (Norm.)</t>
  </si>
  <si>
    <t xml:space="preserve">EBIT</t>
  </si>
  <si>
    <t xml:space="preserve">Norm. Years: FY17-19, FY24-25</t>
  </si>
  <si>
    <t xml:space="preserve">Fades to TGR</t>
  </si>
  <si>
    <t xml:space="preserve">WACC</t>
  </si>
  <si>
    <t xml:space="preserve">EBIT Margin (Norm.)</t>
  </si>
  <si>
    <t xml:space="preserve">TGR</t>
  </si>
  <si>
    <t xml:space="preserve">D&amp;A 8.0% | CapEx 18.3% | WC -2.9%</t>
  </si>
  <si>
    <t xml:space="preserve">Normalized avg</t>
  </si>
  <si>
    <t xml:space="preserve">Fade steps (FY27-FY35)</t>
  </si>
  <si>
    <t xml:space="preserve">Income Statement </t>
  </si>
  <si>
    <t xml:space="preserve">% growth</t>
  </si>
  <si>
    <t xml:space="preserve"> </t>
  </si>
  <si>
    <t xml:space="preserve">EBITDA</t>
  </si>
  <si>
    <t xml:space="preserve">% of Sales</t>
  </si>
  <si>
    <t xml:space="preserve">Taxes</t>
  </si>
  <si>
    <t xml:space="preserve">Tax rate</t>
  </si>
  <si>
    <t xml:space="preserve">Cash Flow Items</t>
  </si>
  <si>
    <t xml:space="preserve">D&amp;A</t>
  </si>
  <si>
    <t xml:space="preserve">CapEx</t>
  </si>
  <si>
    <t xml:space="preserve">Change in NW</t>
  </si>
  <si>
    <t xml:space="preserve">% of Change in Sales</t>
  </si>
  <si>
    <t xml:space="preserve">DCF</t>
  </si>
  <si>
    <t xml:space="preserve">TV year</t>
  </si>
  <si>
    <t xml:space="preserve">Conservative Case</t>
  </si>
  <si>
    <t xml:space="preserve">Street Case</t>
  </si>
  <si>
    <t xml:space="preserve">Optimistic Case</t>
  </si>
  <si>
    <t xml:space="preserve">EBIAT</t>
  </si>
  <si>
    <t xml:space="preserve">Reinvestment rate (% of NOPAT)</t>
  </si>
  <si>
    <t xml:space="preserve">RONIC</t>
  </si>
  <si>
    <t xml:space="preserve">Unlevered FCF</t>
  </si>
  <si>
    <t xml:space="preserve">Present Value of FCF</t>
  </si>
  <si>
    <t xml:space="preserve">Period</t>
  </si>
  <si>
    <t xml:space="preserve">Discount Period</t>
  </si>
  <si>
    <t xml:space="preserve">Terminal Value</t>
  </si>
  <si>
    <t xml:space="preserve">Present Value of Terminal Value</t>
  </si>
  <si>
    <t xml:space="preserve">Enterprise Value</t>
  </si>
  <si>
    <t xml:space="preserve">(+) Cash</t>
  </si>
  <si>
    <t xml:space="preserve">(-) Debt</t>
  </si>
  <si>
    <t xml:space="preserve">Equity Value</t>
  </si>
  <si>
    <t xml:space="preserve">Diluted Shares</t>
  </si>
  <si>
    <t xml:space="preserve">Implied Stock Price</t>
  </si>
  <si>
    <t xml:space="preserve">Scenario Analysis — Implied Share Price (€)</t>
  </si>
  <si>
    <t xml:space="preserve">Scenario</t>
  </si>
  <si>
    <t xml:space="preserve">Rev Growth</t>
  </si>
  <si>
    <t xml:space="preserve">EBIT Margin</t>
  </si>
  <si>
    <t xml:space="preserve">Implied Price</t>
  </si>
  <si>
    <t xml:space="preserve">Upside / Downside</t>
  </si>
  <si>
    <t xml:space="preserve">Base / Street</t>
  </si>
  <si>
    <t xml:space="preserve">Current Market Price (€26.19)</t>
  </si>
  <si>
    <t xml:space="preserve">Sensitivity Analysis - Implied Price (€)  |  Base-case drivers (Street: 9.1% growth fading to the TGR of each column, 17.2% EBIT margin)</t>
  </si>
  <si>
    <t xml:space="preserve">WACC \ TGR →</t>
  </si>
  <si>
    <t xml:space="preserve">Changes in v2</t>
  </si>
  <si>
    <t xml:space="preserve">Green cells = new or changed in v2</t>
  </si>
  <si>
    <t xml:space="preserve">1. Changes made</t>
  </si>
  <si>
    <t xml:space="preserve">Change</t>
  </si>
  <si>
    <t xml:space="preserve">Cells</t>
  </si>
  <si>
    <t xml:space="preserve">Explanation</t>
  </si>
  <si>
    <t xml:space="preserve">1. Blume adjusted beta</t>
  </si>
  <si>
    <t xml:space="preserve">WACC!F14, F10</t>
  </si>
  <si>
    <t xml:space="preserve">Adjusted beta = 1/3 x 1 + 2/3 x raw beta, used in the cost of equity</t>
  </si>
  <si>
    <t xml:space="preserve">2. Terminal FCF tied to growth</t>
  </si>
  <si>
    <t xml:space="preserve">DCF!Y54:Y66, X73</t>
  </si>
  <si>
    <t xml:space="preserve">Terminal FCF = NOPAT FY35 x (1+g) x (1 - g/WACC), TV = FCF / (WACC - g)</t>
  </si>
  <si>
    <t xml:space="preserve">3. Growth fades to terminal rate</t>
  </si>
  <si>
    <t xml:space="preserve">DCF!P41:X43, D18</t>
  </si>
  <si>
    <t xml:space="preserve">From FY27 growth falls by (start growth - TGR) / 9 a year, FY35 growth = TGR</t>
  </si>
  <si>
    <t xml:space="preserve">4. Reinvestment follows growth</t>
  </si>
  <si>
    <t xml:space="preserve">DCF!P60:X65</t>
  </si>
  <si>
    <t xml:space="preserve">Reinvestment rate = growth / RONIC, RONIC fades from 19.1% to WACC; CapEx and working capital follow</t>
  </si>
  <si>
    <t xml:space="preserve">2. Before and after (base case)</t>
  </si>
  <si>
    <t xml:space="preserve">Before</t>
  </si>
  <si>
    <t xml:space="preserve">After</t>
  </si>
  <si>
    <t xml:space="preserve">Beta used in cost of equity</t>
  </si>
  <si>
    <t xml:space="preserve">Cost of equity</t>
  </si>
  <si>
    <t xml:space="preserve">Revenue growth FY26</t>
  </si>
  <si>
    <t xml:space="preserve">Revenue growth FY35</t>
  </si>
  <si>
    <t xml:space="preserve">NOPAT FY35</t>
  </si>
  <si>
    <t xml:space="preserve">Reinvestment rate FY35 (% of NOPAT)</t>
  </si>
  <si>
    <t xml:space="preserve">Unlevered FCF FY35</t>
  </si>
  <si>
    <t xml:space="preserve">Terminal-year FCF</t>
  </si>
  <si>
    <t xml:space="preserve">Terminal reinvestment (% of NOPAT)</t>
  </si>
  <si>
    <t xml:space="preserve">Terminal value</t>
  </si>
  <si>
    <t xml:space="preserve">PV of terminal value</t>
  </si>
  <si>
    <t xml:space="preserve">Sum of PV of FCF FY26 to FY35</t>
  </si>
  <si>
    <t xml:space="preserve">Enterprise value</t>
  </si>
  <si>
    <t xml:space="preserve">Equity value</t>
  </si>
  <si>
    <t xml:space="preserve">Implied price per share (EUR)</t>
  </si>
  <si>
    <t xml:space="preserve">Upside against current price</t>
  </si>
  <si>
    <t xml:space="preserve">Conservative scenario price (EUR)</t>
  </si>
  <si>
    <t xml:space="preserve">Optimistic scenario price (EUR)</t>
  </si>
  <si>
    <t xml:space="preserve">3. Checkpoint reconciliation (EUR per share)</t>
  </si>
  <si>
    <t xml:space="preserve">Step</t>
  </si>
  <si>
    <t xml:space="preserve">Model</t>
  </si>
  <si>
    <t xml:space="preserve">Reference</t>
  </si>
  <si>
    <t xml:space="preserve">Difference</t>
  </si>
  <si>
    <t xml:space="preserve">Status</t>
  </si>
  <si>
    <t xml:space="preserve">Original model</t>
  </si>
  <si>
    <t xml:space="preserve">Change 1 only</t>
  </si>
  <si>
    <t xml:space="preserve">Change 2 only, growth flat</t>
  </si>
  <si>
    <t xml:space="preserve">Changes 1 and 2, growth flat</t>
  </si>
  <si>
    <t xml:space="preserve">Changes 1, 2 and 3</t>
  </si>
  <si>
    <t xml:space="preserve">All four changes (final model)</t>
  </si>
  <si>
    <t xml:space="preserve">Tolerance</t>
  </si>
  <si>
    <t xml:space="preserve">Comps</t>
  </si>
  <si>
    <t xml:space="preserve">Financial Data</t>
  </si>
  <si>
    <t xml:space="preserve">Multiples</t>
  </si>
  <si>
    <t xml:space="preserve">Multiples (EBIT basis)</t>
  </si>
  <si>
    <t xml:space="preserve">Price</t>
  </si>
  <si>
    <t xml:space="preserve">Market Cap</t>
  </si>
  <si>
    <t xml:space="preserve">EV</t>
  </si>
  <si>
    <t xml:space="preserve">Growth 24</t>
  </si>
  <si>
    <t xml:space="preserve">Growth 25</t>
  </si>
  <si>
    <t xml:space="preserve">EBIT Margin 24</t>
  </si>
  <si>
    <t xml:space="preserve">EBIT Margin 25</t>
  </si>
  <si>
    <t xml:space="preserve">EV/EBITDA 24</t>
  </si>
  <si>
    <t xml:space="preserve">EV/EBITDA 25</t>
  </si>
  <si>
    <t xml:space="preserve">EV/Sales 24</t>
  </si>
  <si>
    <t xml:space="preserve">EV/Sales 25</t>
  </si>
  <si>
    <t xml:space="preserve">EV/EBIT 24</t>
  </si>
  <si>
    <t xml:space="preserve">EV/EBIT 25</t>
  </si>
  <si>
    <t xml:space="preserve">Name</t>
  </si>
  <si>
    <t xml:space="preserve">(Local CCY)</t>
  </si>
  <si>
    <t xml:space="preserve">(Local CCY M)</t>
  </si>
  <si>
    <t xml:space="preserve">(%)</t>
  </si>
  <si>
    <t xml:space="preserve">(x)</t>
  </si>
  <si>
    <t xml:space="preserve">EUR / GBP</t>
  </si>
  <si>
    <t xml:space="preserve">EUR M / GBP M</t>
  </si>
  <si>
    <t xml:space="preserve">Ryanair Holdings plc</t>
  </si>
  <si>
    <t xml:space="preserve">EZJ.L</t>
  </si>
  <si>
    <t xml:space="preserve">easyJet plc</t>
  </si>
  <si>
    <t xml:space="preserve">WIZZ.L</t>
  </si>
  <si>
    <t xml:space="preserve">Wizz Air Holdings plc</t>
  </si>
  <si>
    <t xml:space="preserve">IAG.MC</t>
  </si>
  <si>
    <t xml:space="preserve">International Airlines Group</t>
  </si>
  <si>
    <t xml:space="preserve">LHA.DE</t>
  </si>
  <si>
    <t xml:space="preserve">Deutsche Lufthansa AG</t>
  </si>
  <si>
    <t xml:space="preserve">AF.PA</t>
  </si>
  <si>
    <t xml:space="preserve">Air France-KLM</t>
  </si>
  <si>
    <t xml:space="preserve">PEER AVG (EX-RYA)</t>
  </si>
  <si>
    <t xml:space="preserve">PEER MEDIAN (EX-RYA)</t>
  </si>
  <si>
    <t xml:space="preserve">Implied Valuation from Peer Medians (Ryanair)</t>
  </si>
  <si>
    <t xml:space="preserve">Metric</t>
  </si>
  <si>
    <t xml:space="preserve">Peer Median Multiple (FY25)</t>
  </si>
  <si>
    <t xml:space="preserve">Ryanair Metric (FY25, EUR M)</t>
  </si>
  <si>
    <t xml:space="preserve">Implied EV (EUR M)</t>
  </si>
  <si>
    <t xml:space="preserve">Implied Equity (EUR M)</t>
  </si>
  <si>
    <t xml:space="preserve">Implied Price (€)</t>
  </si>
  <si>
    <t xml:space="preserve">vs. Mkt €26.19</t>
  </si>
  <si>
    <t xml:space="preserve">EV/EBITDA (FY25)</t>
  </si>
  <si>
    <t xml:space="preserve">EV/Sales (FY25)</t>
  </si>
  <si>
    <t xml:space="preserve">EV/EBIT (FY25)</t>
  </si>
  <si>
    <t xml:space="preserve">Note: Peer medians exclude Ryanair (EX-RYA). Implied EV = Multiple × Ryanair metric. Net Debt Bridge: (+) Cash €2,400M, (−) Debt €1,500M. Shares: 1,066.8M diluted. Large discount vs DCF reflects Ryanair's structurally superior margins vs legacy carriers — direct comps multiples understate intrinsic value.</t>
  </si>
  <si>
    <t xml:space="preserve">WACC = % of equity x cost of equity + % of debt x cost of debt x (1- Tax Rate)</t>
  </si>
  <si>
    <t xml:space="preserve">Cost of equity = Risk Free rate + Adjusted Beta x Market Risk Premium</t>
  </si>
  <si>
    <t xml:space="preserve">% of Equity</t>
  </si>
  <si>
    <t xml:space="preserve">Cost of Equity</t>
  </si>
  <si>
    <t xml:space="preserve">Risk Free Rate</t>
  </si>
  <si>
    <t xml:space="preserve">Beta (raw)</t>
  </si>
  <si>
    <t xml:space="preserve">Market Risk Premium</t>
  </si>
  <si>
    <t xml:space="preserve">Adjusted Beta (Blume: 1/3 x 1.0 + 2/3 x raw beta)</t>
  </si>
  <si>
    <t xml:space="preserve">Debt</t>
  </si>
  <si>
    <t xml:space="preserve">% of Debt</t>
  </si>
  <si>
    <t xml:space="preserve">Cost of Debt</t>
  </si>
  <si>
    <t xml:space="preserve">Tax Rate</t>
  </si>
  <si>
    <t xml:space="preserve">Total</t>
  </si>
  <si>
    <t xml:space="preserve">Verified Inputs &amp; Sources</t>
  </si>
  <si>
    <t xml:space="preserve">Value</t>
  </si>
  <si>
    <t xml:space="preserve">Units</t>
  </si>
  <si>
    <t xml:space="preserve">Source / Note</t>
  </si>
  <si>
    <t xml:space="preserve">Valuation date</t>
  </si>
  <si>
    <t xml:space="preserve">date</t>
  </si>
  <si>
    <t xml:space="preserve">Aligned to market price date used in the model.</t>
  </si>
  <si>
    <t xml:space="preserve">Current share price</t>
  </si>
  <si>
    <t xml:space="preserve">EUR/share</t>
  </si>
  <si>
    <t xml:space="preserve">Euronext Dublin last traded price on 06/03/2026.</t>
  </si>
  <si>
    <t xml:space="preserve">Gross cash</t>
  </si>
  <si>
    <t xml:space="preserve">EUR m</t>
  </si>
  <si>
    <t xml:space="preserve">Ryanair Q3 FY26 results: gross cash at 31 Dec 2025.</t>
  </si>
  <si>
    <t xml:space="preserve">Gross debt</t>
  </si>
  <si>
    <t xml:space="preserve">Ryanair Q3 FY26 results: gross debt at 31 Dec 2025.</t>
  </si>
  <si>
    <t xml:space="preserve">Basic shares outstanding</t>
  </si>
  <si>
    <t xml:space="preserve">m shares</t>
  </si>
  <si>
    <t xml:space="preserve">Balance at 31 Dec 2025; used for market cap and EV bridge.</t>
  </si>
  <si>
    <t xml:space="preserve">Diluted shares</t>
  </si>
  <si>
    <t xml:space="preserve">9M FY26 diluted weighted average shares; used for per-share DCF.</t>
  </si>
  <si>
    <t xml:space="preserve">Risk-free rate</t>
  </si>
  <si>
    <t xml:space="preserve">%</t>
  </si>
  <si>
    <t xml:space="preserve">Germany 10Y government bond yield on 06/03/2026.</t>
  </si>
  <si>
    <t xml:space="preserve">Beta</t>
  </si>
  <si>
    <t xml:space="preserve">x</t>
  </si>
  <si>
    <t xml:space="preserve">Analyst assumption retained from original model.</t>
  </si>
  <si>
    <t xml:space="preserve">Market risk premium</t>
  </si>
  <si>
    <t xml:space="preserve">Pre-tax cost of debt</t>
  </si>
  <si>
    <t xml:space="preserve">Analyst assumption retained from original model / Irish tax profile.</t>
  </si>
  <si>
    <t xml:space="preserve">Control note</t>
  </si>
  <si>
    <t xml:space="preserve">Market cap uses basic shares; DCF per-share output uses diluted shares.</t>
  </si>
  <si>
    <t xml:space="preserve">DCF Forecast Methodology</t>
  </si>
  <si>
    <t xml:space="preserve">Normalized Historical Average</t>
  </si>
  <si>
    <t xml:space="preserve">-</t>
  </si>
  <si>
    <t xml:space="preserve">All forecast drivers (revenue growth, EBIT margin, D&amp;A, CapEx, ΔWC) use flat normalized avg. Normal years: FY2017-2019 + FY2024-2025. Excluded: FY2020-2023 (Covid disruption + rebound distortion). Revenue growth starts at the normalised rate in FY26 and fades in equal steps to the terminal growth rate by FY35. From FY27 the reinvestment rate equals growth / RONIC, with RONIC fading from its FY26 implied level to WACC.</t>
  </si>
  <si>
    <t xml:space="preserve">Normalized Revenue Growth</t>
  </si>
  <si>
    <t xml:space="preserve">Avg of FY17(1.7%), FY18(7.6%), FY19(7.6%), FY24(24.8%), FY25(3.8%) excl. Covid years</t>
  </si>
  <si>
    <t xml:space="preserve">Normalized EBIT Margin</t>
  </si>
  <si>
    <t xml:space="preserve">Avg of FY17(23.1%), FY18(23.3%), FY19(13.2%), FY24(15.3%), FY25(11.2%) excl. Covid years</t>
  </si>
  <si>
    <t xml:space="preserve">Normalized D&amp;A %</t>
  </si>
  <si>
    <t xml:space="preserve">Avg of FY17-FY19 + FY24-FY25 D&amp;A as % of Revenue</t>
  </si>
  <si>
    <t xml:space="preserve">Normalized CapEx %</t>
  </si>
  <si>
    <t xml:space="preserve">Avg of FY17-FY19 + FY24-FY25 CapEx as % of Revenue</t>
  </si>
  <si>
    <t xml:space="preserve">Normalized ΔWC %</t>
  </si>
  <si>
    <t xml:space="preserve">Avg of FY17-FY19 + FY24-FY25 change in net working capital as % of Revenue (negative = cash source, typical for airlines)</t>
  </si>
  <si>
    <t xml:space="preserve">⚠ Data Note</t>
  </si>
  <si>
    <t xml:space="preserve">FY2016 historical revenue (€6,535.8M) should be verified against Ryanair's FY2016 Annual Report (year ended 31 March 2016). Some databases report FY2016 total revenues as ~€5,654M (ex-ancillary supplements). If restated, the normalized growth average would adjust from 9.09% to approx. 9.5%.</t>
  </si>
  <si>
    <t xml:space="preserve">Income Statement Data (€ million)</t>
  </si>
  <si>
    <t xml:space="preserve">FY23</t>
  </si>
  <si>
    <t xml:space="preserve">FY24</t>
  </si>
  <si>
    <t xml:space="preserve">FY25</t>
  </si>
  <si>
    <t xml:space="preserve">Total Revenue1</t>
  </si>
  <si>
    <t xml:space="preserve">Total Operating Costs1</t>
  </si>
  <si>
    <t xml:space="preserve">Profit Before Tax1</t>
  </si>
  <si>
    <t xml:space="preserve">Profit After Tax (Net Income)1</t>
  </si>
  <si>
    <t xml:space="preserve">Balance Sheet Data (€ million)</t>
  </si>
  <si>
    <t xml:space="preserve">Total Assets1</t>
  </si>
  <si>
    <t xml:space="preserve">Shareholder Equity1</t>
  </si>
  <si>
    <t xml:space="preserve">Gross Cash1</t>
  </si>
  <si>
    <t xml:space="preserve">Current Liabilities1</t>
  </si>
  <si>
    <t xml:space="preserve">Non-Current Liabilities1</t>
  </si>
  <si>
    <t xml:space="preserve">Total Debt</t>
  </si>
  <si>
    <t xml:space="preserve">Ratio</t>
  </si>
  <si>
    <t xml:space="preserve">Revenue Growth</t>
  </si>
  <si>
    <t xml:space="preserve">Net Income Growth</t>
  </si>
  <si>
    <t xml:space="preserve">n.m</t>
  </si>
  <si>
    <t xml:space="preserve">Net Profit Margin</t>
  </si>
  <si>
    <t xml:space="preserve">Operating Margin</t>
  </si>
  <si>
    <t xml:space="preserve">Cost-to-Revenue</t>
  </si>
  <si>
    <t xml:space="preserve">ROA</t>
  </si>
  <si>
    <t xml:space="preserve">ROE</t>
  </si>
  <si>
    <t xml:space="preserve">Debt Ratio</t>
  </si>
  <si>
    <t xml:space="preserve">Equity Ratio</t>
  </si>
  <si>
    <t xml:space="preserve">1 Ryanair Holdings plc. (2025). Ryanair 2025 annual report. Retrieved 6 March 2026</t>
  </si>
  <si>
    <t xml:space="preserve">Note: Revenue Growth (FY23) - Calculated using FY22 revenue of €4,800.9m and FY23 revenue of €10,775m, resulting in growth of 124.40%. FY22 is used only as a base year.</t>
  </si>
  <si>
    <t xml:space="preserve">Note: Net Income Growth (FY23) - FY22 net income was a loss of €240.8m, while FY23 net income was €1,313.8m. Because the base year is negative, the growth rate is not meaningful and reflects a turnaround from loss to profit.</t>
  </si>
  <si>
    <t xml:space="preserve">Calc</t>
  </si>
  <si>
    <t xml:space="preserve">Inputs</t>
  </si>
  <si>
    <t xml:space="preserve">D&amp;A (% of sales)</t>
  </si>
  <si>
    <t xml:space="preserve">CapEx (% of sales, FY26 level)</t>
  </si>
  <si>
    <t xml:space="preserve">Change in NWC (% of sales, FY26 level, negative = cash source)</t>
  </si>
  <si>
    <t xml:space="preserve">Revenue FY25 (base year, EUR m)</t>
  </si>
  <si>
    <t xml:space="preserve">Cash (EUR m)</t>
  </si>
  <si>
    <t xml:space="preserve">Debt (EUR m)</t>
  </si>
  <si>
    <t xml:space="preserve">Diluted shares (m)</t>
  </si>
  <si>
    <t xml:space="preserve">Cost of equity with raw beta</t>
  </si>
  <si>
    <t xml:space="preserve">WACC with raw beta (before change 1)</t>
  </si>
  <si>
    <t xml:space="preserve">Checkpoint steps</t>
  </si>
  <si>
    <t xml:space="preserve">Step 0. Original model</t>
  </si>
  <si>
    <t xml:space="preserve">Parameter</t>
  </si>
  <si>
    <t xml:space="preserve">Line</t>
  </si>
  <si>
    <t xml:space="preserve">Start growth (FY26)</t>
  </si>
  <si>
    <t xml:space="preserve">Revenue growth</t>
  </si>
  <si>
    <t xml:space="preserve">EBIT margin</t>
  </si>
  <si>
    <t xml:space="preserve">NOPAT = EBIT x (1 - tax)</t>
  </si>
  <si>
    <t xml:space="preserve">Terminal growth rate</t>
  </si>
  <si>
    <t xml:space="preserve">Growth fade (1 = yes, 0 = flat)</t>
  </si>
  <si>
    <t xml:space="preserve">Terminal FCF with g/WACC reinvestment (1 = yes, 0 = old)</t>
  </si>
  <si>
    <t xml:space="preserve">Net reinvestment (CapEx - D&amp;A + change in NWC)</t>
  </si>
  <si>
    <t xml:space="preserve">Reinvestment follows growth / RONIC (1 = yes, 0 = flat % of sales)</t>
  </si>
  <si>
    <t xml:space="preserve">Discount period (years)</t>
  </si>
  <si>
    <t xml:space="preserve">PV of FCF</t>
  </si>
  <si>
    <t xml:space="preserve">Equity value (EV + cash - debt)</t>
  </si>
  <si>
    <t xml:space="preserve">PV of terminal value (% of EV)</t>
  </si>
  <si>
    <t xml:space="preserve">Step 1. Change 1 only</t>
  </si>
  <si>
    <t xml:space="preserve">Step 2. Change 2 only, growth flat</t>
  </si>
  <si>
    <t xml:space="preserve">Step 3. Changes 1 and 2, growth flat</t>
  </si>
  <si>
    <t xml:space="preserve">Step 4. Changes 1, 2 and 3</t>
  </si>
  <si>
    <t xml:space="preserve">Step 5. All four changes (final model)</t>
  </si>
  <si>
    <t xml:space="preserve">Scenarios</t>
  </si>
  <si>
    <t xml:space="preserve">Conservative, original method</t>
  </si>
  <si>
    <t xml:space="preserve">Optimistic, original method</t>
  </si>
  <si>
    <t xml:space="preserve">Sensitivity table cash flows</t>
  </si>
  <si>
    <t xml:space="preserve">Sensitivity, terminal growth from DCF!D92</t>
  </si>
  <si>
    <t xml:space="preserve">Sensitivity, terminal growth from DCF!F92</t>
  </si>
  <si>
    <t xml:space="preserve">Sensitivity, terminal growth from DCF!H92</t>
  </si>
  <si>
    <t xml:space="preserve">Sensitivity, terminal growth from DCF!J92</t>
  </si>
  <si>
    <t xml:space="preserve">Sensitivity, terminal growth from DCF!L92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</si>
</sst>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_(* #,##0.00_);_(* \(#,##0.00\);_(* \-??_);_(@_)"/>
    <numFmt numFmtId="166" formatCode="0%"/>
    <numFmt numFmtId="167" formatCode="\€#,##0.00"/>
    <numFmt numFmtId="168" formatCode="m/d/yyyy"/>
    <numFmt numFmtId="169" formatCode="dd\-mmm\-yyyy"/>
    <numFmt numFmtId="170" formatCode="\+0.0%;\(0.0%\)"/>
    <numFmt numFmtId="171" formatCode="0.0%"/>
    <numFmt numFmtId="172" formatCode="0.00%"/>
    <numFmt numFmtId="173" formatCode="0"/>
    <numFmt numFmtId="174" formatCode="#,##0.0;\(#,##0.0\);\-"/>
    <numFmt numFmtId="175" formatCode="0.0%;\(0.0%\);\-"/>
    <numFmt numFmtId="176" formatCode="_(* #,##0_);_(* \(#,##0\);_(* \-??_);_(@_)"/>
    <numFmt numFmtId="177" formatCode="0.00"/>
    <numFmt numFmtId="178" formatCode="0.000"/>
    <numFmt numFmtId="179" formatCode="#,##0;\(#,##0\);\-"/>
    <numFmt numFmtId="180" formatCode="_-* #,##0.00_-;\-* #,##0.00_-;_-* \-??_-;_-@_-"/>
    <numFmt numFmtId="181" formatCode="0.0000"/>
    <numFmt numFmtId="182" formatCode="0.000%"/>
    <numFmt numFmtId="183" formatCode="0.00%;\-0.00%;\-"/>
    <numFmt numFmtId="184" formatCode="0.00;\-0.00;0.00"/>
    <numFmt numFmtId="185" formatCode="#,##0"/>
    <numFmt numFmtId="186" formatCode="0.00\x"/>
    <numFmt numFmtId="187" formatCode="0.000\x"/>
    <numFmt numFmtId="188" formatCode="0.0"/>
    <numFmt numFmtId="189" formatCode="0.0\x"/>
    <numFmt numFmtId="190" formatCode="0.0000\x"/>
    <numFmt numFmtId="191" formatCode="#,##0.0"/>
    <numFmt numFmtId="192" formatCode="_-* #,##0_-;\-* #,##0_-;_-* \-??_-;_-@_-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9"/>
      <color theme="1"/>
      <name val="Calibri"/>
      <family val="2"/>
      <charset val="1"/>
    </font>
    <font>
      <i val="true"/>
      <sz val="10"/>
      <color rgb="FF0015FF"/>
      <name val="Arial"/>
      <family val="2"/>
      <charset val="1"/>
    </font>
    <font>
      <i val="true"/>
      <sz val="10"/>
      <color theme="1"/>
      <name val="Arial"/>
      <family val="2"/>
      <charset val="1"/>
    </font>
    <font>
      <b val="true"/>
      <sz val="1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u val="single"/>
      <sz val="10"/>
      <color rgb="FF0015FF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9C57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sz val="8"/>
      <color rgb="FF0015FF"/>
      <name val="Calibri"/>
      <family val="2"/>
      <charset val="1"/>
    </font>
    <font>
      <b val="true"/>
      <sz val="9"/>
      <color theme="1"/>
      <name val="Arial"/>
      <family val="2"/>
      <charset val="1"/>
    </font>
    <font>
      <sz val="14"/>
      <color theme="1"/>
      <name val="Calibri"/>
      <family val="2"/>
      <charset val="1"/>
    </font>
    <font>
      <sz val="9"/>
      <color theme="1"/>
      <name val="Arial"/>
      <family val="2"/>
      <charset val="1"/>
    </font>
    <font>
      <sz val="9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9"/>
      <color rgb="FF00800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9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0"/>
      <color rgb="FF14181F"/>
      <name val="Calibri"/>
      <family val="2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8"/>
      <color theme="0"/>
      <name val="Arial"/>
      <family val="2"/>
      <charset val="1"/>
    </font>
    <font>
      <sz val="9"/>
      <color rgb="FFFF0000"/>
      <name val="Arial"/>
      <family val="2"/>
      <charset val="1"/>
    </font>
    <font>
      <i val="true"/>
      <sz val="8"/>
      <name val="Arial"/>
      <family val="2"/>
      <charset val="1"/>
    </font>
    <font>
      <sz val="6"/>
      <color rgb="FF232A31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rgb="FFFF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FCC99"/>
        <bgColor rgb="FFFFEB9C"/>
      </patternFill>
    </fill>
    <fill>
      <patternFill patternType="solid">
        <fgColor rgb="FFFFEB9C"/>
        <bgColor rgb="FFFFCC99"/>
      </patternFill>
    </fill>
    <fill>
      <patternFill patternType="solid">
        <fgColor rgb="FFD6E4F0"/>
        <bgColor rgb="FFDEEBF7"/>
      </patternFill>
    </fill>
    <fill>
      <patternFill patternType="solid">
        <fgColor rgb="FF1F3864"/>
        <bgColor rgb="FF333F4F"/>
      </patternFill>
    </fill>
    <fill>
      <patternFill patternType="solid">
        <fgColor theme="3" tint="-0.25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FBFBF"/>
      </patternFill>
    </fill>
    <fill>
      <patternFill patternType="solid">
        <fgColor rgb="FF2F75B6"/>
        <bgColor rgb="FF008080"/>
      </patternFill>
    </fill>
    <fill>
      <patternFill patternType="solid">
        <fgColor rgb="FFF2F2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theme="2"/>
        <bgColor rgb="FFDEEBF7"/>
      </patternFill>
    </fill>
    <fill>
      <patternFill patternType="solid">
        <fgColor rgb="FF1F4E78"/>
        <bgColor rgb="FF1F3864"/>
      </patternFill>
    </fill>
    <fill>
      <patternFill patternType="solid">
        <fgColor theme="8" tint="0.3999"/>
        <bgColor rgb="FFB7C9D6"/>
      </patternFill>
    </fill>
    <fill>
      <patternFill patternType="solid">
        <fgColor theme="8" tint="0.7999"/>
        <bgColor rgb="FFD6E4F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4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</cellStyleXfs>
  <cellXfs count="2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2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6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6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0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1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1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4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3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lDataCopyrightStyle" xfId="20"/>
    <cellStyle name="amountsStyle" xfId="21"/>
    <cellStyle name="Arial10ItalicBlueStyle" xfId="22"/>
    <cellStyle name="Arial10ItalicStyle" xfId="23"/>
    <cellStyle name="bondFinValueStyle" xfId="24"/>
    <cellStyle name="Comma 2" xfId="25"/>
    <cellStyle name="companyNameStyle" xfId="26"/>
    <cellStyle name="downloadOnStyle" xfId="27"/>
    <cellStyle name="filedDateStyle" xfId="28"/>
    <cellStyle name="finCategoryStyle" xfId="29"/>
    <cellStyle name="finHeaderTitleStyle" xfId="30"/>
    <cellStyle name="finItemStyle" xfId="31"/>
    <cellStyle name="finValueStyle" xfId="32"/>
    <cellStyle name="FooterStyle" xfId="33"/>
    <cellStyle name="headerLinkStyle" xfId="34"/>
    <cellStyle name="hyperLinkStyle" xfId="35"/>
    <cellStyle name="Input" xfId="36"/>
    <cellStyle name="Neutrale" xfId="37"/>
    <cellStyle name="Normal 2" xfId="38"/>
    <cellStyle name="Normal 3" xfId="39"/>
    <cellStyle name="Percent 2" xfId="40"/>
    <cellStyle name="SourcingSheetBaseStyle" xfId="41"/>
    <cellStyle name="summaryStatsHeaderStyle" xfId="42"/>
    <cellStyle name="summaryStatsHeaderTitleStyle" xfId="43"/>
    <cellStyle name="viewHeaderStyle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EEBF7"/>
      <rgbColor rgb="FF660066"/>
      <rgbColor rgb="FFFF8080"/>
      <rgbColor rgb="FF1F4E78"/>
      <rgbColor rgb="FFB7C9D6"/>
      <rgbColor rgb="FF000080"/>
      <rgbColor rgb="FFFF00FF"/>
      <rgbColor rgb="FFFFFF00"/>
      <rgbColor rgb="FF00FFFF"/>
      <rgbColor rgb="FF800080"/>
      <rgbColor rgb="FF800000"/>
      <rgbColor rgb="FF008080"/>
      <rgbColor rgb="FF0015FF"/>
      <rgbColor rgb="FF00CCFF"/>
      <rgbColor rgb="FFD6E4F0"/>
      <rgbColor rgb="FFE7E6E6"/>
      <rgbColor rgb="FFFFEB9C"/>
      <rgbColor rgb="FF9DC3E6"/>
      <rgbColor rgb="FFFF99CC"/>
      <rgbColor rgb="FFCC99FF"/>
      <rgbColor rgb="FFFFCC99"/>
      <rgbColor rgb="FF2F75B6"/>
      <rgbColor rgb="FF33CCCC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14181F"/>
      <rgbColor rgb="FF333F4F"/>
      <rgbColor rgb="FF9C5700"/>
      <rgbColor rgb="FF993366"/>
      <rgbColor rgb="FF3F3F76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Y101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1" activeCellId="0" sqref="F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4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27.5"/>
    <col collapsed="false" customWidth="true" hidden="false" outlineLevel="0" max="7" min="7" style="1" width="11"/>
    <col collapsed="false" customWidth="true" hidden="false" outlineLevel="0" max="8" min="8" style="1" width="14.33"/>
    <col collapsed="false" customWidth="true" hidden="false" outlineLevel="0" max="9" min="9" style="1" width="11"/>
    <col collapsed="false" customWidth="true" hidden="false" outlineLevel="0" max="10" min="10" style="1" width="27.5"/>
    <col collapsed="false" customWidth="true" hidden="false" outlineLevel="0" max="11" min="11" style="1" width="11"/>
    <col collapsed="false" customWidth="true" hidden="false" outlineLevel="0" max="12" min="12" style="1" width="14.33"/>
    <col collapsed="false" customWidth="true" hidden="false" outlineLevel="0" max="13" min="13" style="1" width="24.83"/>
    <col collapsed="false" customWidth="true" hidden="false" outlineLevel="0" max="14" min="14" style="1" width="27.5"/>
    <col collapsed="false" customWidth="true" hidden="false" outlineLevel="0" max="15" min="15" style="1" width="11"/>
    <col collapsed="false" customWidth="true" hidden="false" outlineLevel="0" max="16" min="16" style="1" width="14.33"/>
    <col collapsed="false" customWidth="true" hidden="false" outlineLevel="0" max="25" min="17" style="1" width="11"/>
  </cols>
  <sheetData>
    <row r="3" s="2" customFormat="true" ht="21" hidden="false" customHeight="true" outlineLevel="0" collapsed="false">
      <c r="B3" s="3" t="s">
        <v>0</v>
      </c>
      <c r="C3" s="4"/>
    </row>
    <row r="4" customFormat="false" ht="18.75" hidden="false" customHeight="true" outlineLevel="0" collapsed="false">
      <c r="B4" s="5"/>
      <c r="C4" s="5"/>
    </row>
    <row r="5" customFormat="false" ht="18.75" hidden="false" customHeight="true" outlineLevel="0" collapsed="false">
      <c r="B5" s="6" t="s">
        <v>1</v>
      </c>
      <c r="C5" s="5"/>
      <c r="D5" s="7" t="s">
        <v>2</v>
      </c>
      <c r="F5" s="8" t="s">
        <v>3</v>
      </c>
      <c r="I5" s="9" t="n">
        <f aca="false">S81</f>
        <v>33.5916030155608</v>
      </c>
      <c r="K5" s="8" t="s">
        <v>4</v>
      </c>
    </row>
    <row r="6" customFormat="false" ht="18.75" hidden="false" customHeight="true" outlineLevel="0" collapsed="false">
      <c r="B6" s="6" t="s">
        <v>5</v>
      </c>
      <c r="C6" s="5"/>
      <c r="D6" s="10" t="n">
        <f aca="false">'Sources &amp; Checks'!$B$4</f>
        <v>46087</v>
      </c>
      <c r="F6" s="8" t="s">
        <v>6</v>
      </c>
      <c r="I6" s="9" t="n">
        <f aca="false">'Sources &amp; Checks'!$B$5</f>
        <v>26.19</v>
      </c>
      <c r="K6" s="8" t="s">
        <v>7</v>
      </c>
    </row>
    <row r="7" customFormat="false" ht="18.75" hidden="false" customHeight="true" outlineLevel="0" collapsed="false">
      <c r="B7" s="6" t="s">
        <v>8</v>
      </c>
      <c r="C7" s="5"/>
      <c r="D7" s="11" t="n">
        <v>46112</v>
      </c>
      <c r="F7" s="8" t="s">
        <v>9</v>
      </c>
      <c r="I7" s="12" t="n">
        <f aca="false">I5/I6-1</f>
        <v>0.282611798990485</v>
      </c>
    </row>
    <row r="9" customFormat="false" ht="15" hidden="false" customHeight="true" outlineLevel="0" collapsed="false">
      <c r="A9" s="13" t="s">
        <v>10</v>
      </c>
      <c r="B9" s="14" t="s">
        <v>11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true" outlineLevel="0" collapsed="false">
      <c r="B10" s="8" t="s">
        <v>12</v>
      </c>
      <c r="F10" s="8" t="s">
        <v>13</v>
      </c>
      <c r="J10" s="8" t="s">
        <v>14</v>
      </c>
      <c r="N10" s="8" t="s">
        <v>15</v>
      </c>
    </row>
    <row r="11" customFormat="false" ht="15" hidden="false" customHeight="true" outlineLevel="0" collapsed="false">
      <c r="B11" s="8" t="s">
        <v>16</v>
      </c>
      <c r="D11" s="16" t="n">
        <v>2</v>
      </c>
      <c r="F11" s="8" t="s">
        <v>17</v>
      </c>
      <c r="H11" s="17" t="n">
        <v>0.07</v>
      </c>
      <c r="J11" s="8" t="s">
        <v>17</v>
      </c>
      <c r="L11" s="17" t="n">
        <f aca="false">'Sources &amp; Checks'!$B$19</f>
        <v>0.0909</v>
      </c>
      <c r="N11" s="8" t="s">
        <v>17</v>
      </c>
      <c r="P11" s="17" t="n">
        <v>0.11</v>
      </c>
    </row>
    <row r="12" customFormat="false" ht="15" hidden="false" customHeight="true" outlineLevel="0" collapsed="false">
      <c r="B12" s="8" t="s">
        <v>18</v>
      </c>
      <c r="D12" s="16" t="n">
        <v>2</v>
      </c>
      <c r="F12" s="8" t="s">
        <v>19</v>
      </c>
      <c r="H12" s="18" t="s">
        <v>20</v>
      </c>
      <c r="J12" s="8" t="s">
        <v>19</v>
      </c>
      <c r="L12" s="18" t="s">
        <v>20</v>
      </c>
      <c r="N12" s="8" t="s">
        <v>19</v>
      </c>
      <c r="P12" s="18" t="s">
        <v>20</v>
      </c>
    </row>
    <row r="13" customFormat="false" ht="15" hidden="false" customHeight="true" outlineLevel="0" collapsed="false">
      <c r="B13" s="8" t="s">
        <v>21</v>
      </c>
      <c r="D13" s="16" t="n">
        <v>2</v>
      </c>
      <c r="F13" s="8" t="s">
        <v>22</v>
      </c>
      <c r="H13" s="17" t="n">
        <v>0.16</v>
      </c>
      <c r="J13" s="8" t="s">
        <v>22</v>
      </c>
      <c r="L13" s="17" t="n">
        <f aca="false">'Sources &amp; Checks'!$B$20</f>
        <v>0.1722</v>
      </c>
      <c r="N13" s="8" t="s">
        <v>22</v>
      </c>
      <c r="P13" s="17" t="n">
        <v>0.185</v>
      </c>
    </row>
    <row r="14" customFormat="false" ht="15" hidden="false" customHeight="true" outlineLevel="0" collapsed="false">
      <c r="B14" s="8" t="s">
        <v>23</v>
      </c>
      <c r="D14" s="16" t="n">
        <v>2</v>
      </c>
      <c r="F14" s="8" t="s">
        <v>24</v>
      </c>
      <c r="H14" s="17" t="s">
        <v>25</v>
      </c>
      <c r="J14" s="8" t="s">
        <v>24</v>
      </c>
      <c r="L14" s="17" t="s">
        <v>25</v>
      </c>
      <c r="N14" s="8" t="s">
        <v>24</v>
      </c>
      <c r="P14" s="17" t="s">
        <v>25</v>
      </c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B16" s="8" t="s">
        <v>21</v>
      </c>
      <c r="D16" s="19" t="n">
        <f aca="false">CHOOSE(D13,H16,L16,P16)</f>
        <v>0.0858338239797238</v>
      </c>
      <c r="F16" s="8" t="s">
        <v>21</v>
      </c>
      <c r="H16" s="20" t="n">
        <v>0.092</v>
      </c>
      <c r="J16" s="8" t="s">
        <v>21</v>
      </c>
      <c r="L16" s="19" t="n">
        <f aca="false">WACC!F22</f>
        <v>0.0858338239797238</v>
      </c>
      <c r="N16" s="8" t="s">
        <v>21</v>
      </c>
      <c r="P16" s="20" t="n">
        <v>0.082</v>
      </c>
    </row>
    <row r="17" customFormat="false" ht="15" hidden="false" customHeight="true" outlineLevel="0" collapsed="false">
      <c r="B17" s="8" t="s">
        <v>23</v>
      </c>
      <c r="D17" s="20" t="n">
        <f aca="false">CHOOSE(D14,H17,L17,P17)</f>
        <v>0.015</v>
      </c>
      <c r="F17" s="8" t="s">
        <v>23</v>
      </c>
      <c r="H17" s="20" t="n">
        <v>0.01</v>
      </c>
      <c r="J17" s="8" t="s">
        <v>23</v>
      </c>
      <c r="L17" s="20" t="n">
        <v>0.015</v>
      </c>
      <c r="N17" s="8" t="s">
        <v>23</v>
      </c>
      <c r="P17" s="20" t="n">
        <v>0.02</v>
      </c>
    </row>
    <row r="18" customFormat="false" ht="15" hidden="false" customHeight="true" outlineLevel="0" collapsed="false">
      <c r="B18" s="8" t="s">
        <v>26</v>
      </c>
      <c r="D18" s="21" t="n">
        <f aca="false">COLUMNS(P40:X40)</f>
        <v>9</v>
      </c>
    </row>
    <row r="19" customFormat="false" ht="15" hidden="false" customHeight="true" outlineLevel="0" collapsed="false">
      <c r="A19" s="22" t="s">
        <v>10</v>
      </c>
      <c r="B19" s="23" t="s">
        <v>27</v>
      </c>
      <c r="C19" s="15"/>
      <c r="D19" s="15"/>
      <c r="E19" s="24" t="n">
        <v>2016</v>
      </c>
      <c r="F19" s="24" t="n">
        <f aca="false">E19+1</f>
        <v>2017</v>
      </c>
      <c r="G19" s="24" t="n">
        <f aca="false">F19+1</f>
        <v>2018</v>
      </c>
      <c r="H19" s="24" t="n">
        <f aca="false">G19+1</f>
        <v>2019</v>
      </c>
      <c r="I19" s="24" t="n">
        <f aca="false">H19+1</f>
        <v>2020</v>
      </c>
      <c r="J19" s="24" t="n">
        <f aca="false">I19+1</f>
        <v>2021</v>
      </c>
      <c r="K19" s="24" t="n">
        <f aca="false">J19+1</f>
        <v>2022</v>
      </c>
      <c r="L19" s="24" t="n">
        <f aca="false">K19+1</f>
        <v>2023</v>
      </c>
      <c r="M19" s="24" t="n">
        <f aca="false">L19+1</f>
        <v>2024</v>
      </c>
      <c r="N19" s="24" t="n">
        <f aca="false">M19+1</f>
        <v>2025</v>
      </c>
      <c r="O19" s="24" t="n">
        <f aca="false">N19+1</f>
        <v>2026</v>
      </c>
      <c r="P19" s="24" t="n">
        <f aca="false">O19+1</f>
        <v>2027</v>
      </c>
      <c r="Q19" s="24" t="n">
        <f aca="false">P19+1</f>
        <v>2028</v>
      </c>
      <c r="R19" s="24" t="n">
        <f aca="false">Q19+1</f>
        <v>2029</v>
      </c>
      <c r="S19" s="24" t="n">
        <f aca="false">R19+1</f>
        <v>2030</v>
      </c>
      <c r="T19" s="24" t="n">
        <f aca="false">S19+1</f>
        <v>2031</v>
      </c>
      <c r="U19" s="24" t="n">
        <f aca="false">T19+1</f>
        <v>2032</v>
      </c>
      <c r="V19" s="24" t="n">
        <f aca="false">U19+1</f>
        <v>2033</v>
      </c>
      <c r="W19" s="24" t="n">
        <f aca="false">V19+1</f>
        <v>2034</v>
      </c>
      <c r="X19" s="24" t="n">
        <f aca="false">W19+1</f>
        <v>2035</v>
      </c>
    </row>
    <row r="20" customFormat="false" ht="15" hidden="false" customHeight="true" outlineLevel="0" collapsed="false">
      <c r="B20" s="25" t="s">
        <v>16</v>
      </c>
      <c r="E20" s="26" t="n">
        <v>6535.8</v>
      </c>
      <c r="F20" s="26" t="n">
        <v>6647.8</v>
      </c>
      <c r="G20" s="26" t="n">
        <v>7151</v>
      </c>
      <c r="H20" s="26" t="n">
        <v>7697.4</v>
      </c>
      <c r="I20" s="26" t="n">
        <v>8494.8</v>
      </c>
      <c r="J20" s="26" t="n">
        <v>1635.8</v>
      </c>
      <c r="K20" s="26" t="n">
        <v>4800.9</v>
      </c>
      <c r="L20" s="26" t="n">
        <v>10775.2</v>
      </c>
      <c r="M20" s="26" t="n">
        <v>13443.8</v>
      </c>
      <c r="N20" s="26" t="n">
        <v>13948.5</v>
      </c>
      <c r="O20" s="26" t="n">
        <f aca="false">N20*(1+O21)</f>
        <v>15216.41865</v>
      </c>
      <c r="P20" s="26" t="n">
        <f aca="false">O20*(1+P21)</f>
        <v>16471.26597467</v>
      </c>
      <c r="Q20" s="26" t="n">
        <f aca="false">P20*(1+Q21)</f>
        <v>17690.6886989947</v>
      </c>
      <c r="R20" s="26" t="n">
        <f aca="false">Q20*(1+R21)</f>
        <v>18851.1978776488</v>
      </c>
      <c r="S20" s="26" t="n">
        <f aca="false">R20*(1+S21)</f>
        <v>19928.8580229877</v>
      </c>
      <c r="T20" s="26" t="n">
        <f aca="false">T39</f>
        <v>20900.0577039746</v>
      </c>
      <c r="U20" s="26" t="n">
        <f aca="false">U39</f>
        <v>21742.3300294448</v>
      </c>
      <c r="V20" s="26" t="n">
        <f aca="false">V39</f>
        <v>22435.1856130498</v>
      </c>
      <c r="W20" s="26" t="n">
        <f aca="false">W39</f>
        <v>22960.9167959156</v>
      </c>
      <c r="X20" s="27" t="n">
        <f aca="false">X39</f>
        <v>23305.3305478543</v>
      </c>
    </row>
    <row r="21" customFormat="false" ht="15" hidden="false" customHeight="true" outlineLevel="0" collapsed="false">
      <c r="B21" s="28" t="s">
        <v>28</v>
      </c>
      <c r="C21" s="29"/>
      <c r="D21" s="29"/>
      <c r="E21" s="28" t="s">
        <v>29</v>
      </c>
      <c r="F21" s="28" t="n">
        <f aca="false">F20/E20-1</f>
        <v>0.0171363872823527</v>
      </c>
      <c r="G21" s="28" t="n">
        <f aca="false">G20/F20-1</f>
        <v>0.0756942146273956</v>
      </c>
      <c r="H21" s="28" t="n">
        <f aca="false">H20/G20-1</f>
        <v>0.0764088938609984</v>
      </c>
      <c r="I21" s="28" t="n">
        <f aca="false">I20/H20-1</f>
        <v>0.103593421155195</v>
      </c>
      <c r="J21" s="28" t="n">
        <f aca="false">J20/I20-1</f>
        <v>-0.807435136789565</v>
      </c>
      <c r="K21" s="28" t="n">
        <f aca="false">K20/J20-1</f>
        <v>1.9348942413498</v>
      </c>
      <c r="L21" s="28" t="n">
        <f aca="false">L20/K20-1</f>
        <v>1.24441250598846</v>
      </c>
      <c r="M21" s="28" t="n">
        <f aca="false">M20/L20-1</f>
        <v>0.247661296310045</v>
      </c>
      <c r="N21" s="28" t="n">
        <f aca="false">N20/M20-1</f>
        <v>0.0375414689299156</v>
      </c>
      <c r="O21" s="28" t="n">
        <f aca="false">O40</f>
        <v>0.0909</v>
      </c>
      <c r="P21" s="28" t="n">
        <f aca="false">P40</f>
        <v>0.0824666666666667</v>
      </c>
      <c r="Q21" s="28" t="n">
        <f aca="false">Q40</f>
        <v>0.0740333333333333</v>
      </c>
      <c r="R21" s="28" t="n">
        <f aca="false">R40</f>
        <v>0.0656</v>
      </c>
      <c r="S21" s="28" t="n">
        <f aca="false">S40</f>
        <v>0.0571666666666667</v>
      </c>
      <c r="T21" s="28" t="n">
        <f aca="false">T40</f>
        <v>0.0487333333333333</v>
      </c>
      <c r="U21" s="28" t="n">
        <f aca="false">U40</f>
        <v>0.0403</v>
      </c>
      <c r="V21" s="28" t="n">
        <f aca="false">V40</f>
        <v>0.0318666666666667</v>
      </c>
      <c r="W21" s="28" t="n">
        <f aca="false">W40</f>
        <v>0.0234333333333333</v>
      </c>
      <c r="X21" s="30" t="n">
        <f aca="false">X40</f>
        <v>0.015</v>
      </c>
    </row>
    <row r="22" customFormat="false" ht="15" hidden="false" customHeight="true" outlineLevel="0" collapsed="false">
      <c r="B22" s="25" t="s">
        <v>30</v>
      </c>
      <c r="E22" s="26" t="n">
        <f aca="false">E23+E28</f>
        <v>1887.4</v>
      </c>
      <c r="F22" s="26" t="n">
        <f aca="false">F23+F28</f>
        <v>2031.5</v>
      </c>
      <c r="G22" s="26" t="n">
        <f aca="false">G23+G28</f>
        <v>2228.3</v>
      </c>
      <c r="H22" s="26" t="n">
        <f aca="false">H23+H28</f>
        <v>1657.3</v>
      </c>
      <c r="I22" s="26" t="n">
        <f aca="false">I23+I28</f>
        <v>1876.1</v>
      </c>
      <c r="J22" s="26" t="n">
        <f aca="false">J23+J28</f>
        <v>-268.4</v>
      </c>
      <c r="K22" s="26" t="n">
        <f aca="false">K23+K28</f>
        <v>379.8</v>
      </c>
      <c r="L22" s="26" t="n">
        <f aca="false">L23+L28</f>
        <v>2365.8</v>
      </c>
      <c r="M22" s="26" t="n">
        <f aca="false">M23+M28</f>
        <v>3120.2</v>
      </c>
      <c r="N22" s="26" t="n">
        <f aca="false">N23+N28</f>
        <v>2772.4</v>
      </c>
      <c r="O22" s="26" t="n">
        <f aca="false">O45+O56</f>
        <v>3845.188992855</v>
      </c>
      <c r="P22" s="26" t="n">
        <f aca="false">P45+P56</f>
        <v>4162.28891179911</v>
      </c>
      <c r="Q22" s="26" t="n">
        <f aca="false">Q45+Q56</f>
        <v>4470.43703423597</v>
      </c>
      <c r="R22" s="26" t="n">
        <f aca="false">R45+R56</f>
        <v>4763.69770368185</v>
      </c>
      <c r="S22" s="26" t="n">
        <f aca="false">S45+S56</f>
        <v>5036.02242240899</v>
      </c>
      <c r="T22" s="26" t="n">
        <f aca="false">T45+T56</f>
        <v>5281.44458179439</v>
      </c>
      <c r="U22" s="26" t="n">
        <f aca="false">U45+U56</f>
        <v>5494.28679844071</v>
      </c>
      <c r="V22" s="26" t="n">
        <f aca="false">V45+V56</f>
        <v>5669.37140441768</v>
      </c>
      <c r="W22" s="26" t="n">
        <f aca="false">W45+W56</f>
        <v>5802.22367432787</v>
      </c>
      <c r="X22" s="27" t="n">
        <f aca="false">X45+X56</f>
        <v>5889.25702944279</v>
      </c>
    </row>
    <row r="23" customFormat="false" ht="15" hidden="false" customHeight="true" outlineLevel="0" collapsed="false">
      <c r="B23" s="25" t="s">
        <v>18</v>
      </c>
      <c r="E23" s="26" t="n">
        <v>1460.1</v>
      </c>
      <c r="F23" s="26" t="n">
        <v>1534</v>
      </c>
      <c r="G23" s="26" t="n">
        <v>1667.3</v>
      </c>
      <c r="H23" s="26" t="n">
        <v>1016.8</v>
      </c>
      <c r="I23" s="26" t="n">
        <v>1127.4</v>
      </c>
      <c r="J23" s="26" t="n">
        <v>-839.4</v>
      </c>
      <c r="K23" s="26" t="n">
        <v>-339.6</v>
      </c>
      <c r="L23" s="26" t="n">
        <v>1442.6</v>
      </c>
      <c r="M23" s="26" t="n">
        <v>2060.7</v>
      </c>
      <c r="N23" s="26" t="n">
        <v>1558</v>
      </c>
      <c r="O23" s="26" t="n">
        <f aca="false">O20*O24</f>
        <v>2620.26729153</v>
      </c>
      <c r="P23" s="26" t="n">
        <f aca="false">P20*P24</f>
        <v>2836.35200083817</v>
      </c>
      <c r="Q23" s="26" t="n">
        <f aca="false">Q20*Q24</f>
        <v>3046.33659396689</v>
      </c>
      <c r="R23" s="26" t="n">
        <f aca="false">R20*R24</f>
        <v>3246.17627453112</v>
      </c>
      <c r="S23" s="26" t="n">
        <f aca="false">S20*S24</f>
        <v>3431.74935155848</v>
      </c>
      <c r="T23" s="26" t="n">
        <f aca="false">T45</f>
        <v>3598.98993662443</v>
      </c>
      <c r="U23" s="26" t="n">
        <f aca="false">U45</f>
        <v>3744.0292310704</v>
      </c>
      <c r="V23" s="26" t="n">
        <f aca="false">V45</f>
        <v>3863.33896256718</v>
      </c>
      <c r="W23" s="26" t="n">
        <f aca="false">W45</f>
        <v>3953.86987225667</v>
      </c>
      <c r="X23" s="27" t="n">
        <f aca="false">X45</f>
        <v>4013.17792034052</v>
      </c>
    </row>
    <row r="24" customFormat="false" ht="15" hidden="false" customHeight="true" outlineLevel="0" collapsed="false">
      <c r="B24" s="28" t="s">
        <v>31</v>
      </c>
      <c r="C24" s="29"/>
      <c r="D24" s="29"/>
      <c r="E24" s="28" t="n">
        <f aca="false">E23/E20</f>
        <v>0.223400348847884</v>
      </c>
      <c r="F24" s="28" t="n">
        <f aca="false">F23/F20</f>
        <v>0.230753031077951</v>
      </c>
      <c r="G24" s="28" t="n">
        <f aca="false">G23/G20</f>
        <v>0.2331562019298</v>
      </c>
      <c r="H24" s="28" t="n">
        <f aca="false">H23/H20</f>
        <v>0.132096552082521</v>
      </c>
      <c r="I24" s="28" t="n">
        <f aca="false">I23/I20</f>
        <v>0.132716485379291</v>
      </c>
      <c r="J24" s="28" t="n">
        <f aca="false">J23/J20</f>
        <v>-0.513143416065534</v>
      </c>
      <c r="K24" s="28" t="n">
        <f aca="false">K23/K20</f>
        <v>-0.0707367368618384</v>
      </c>
      <c r="L24" s="28" t="n">
        <f aca="false">L23/L20</f>
        <v>0.133881505679709</v>
      </c>
      <c r="M24" s="28" t="n">
        <f aca="false">M23/M20</f>
        <v>0.15328255403978</v>
      </c>
      <c r="N24" s="28" t="n">
        <f aca="false">N23/N20</f>
        <v>0.111696598200523</v>
      </c>
      <c r="O24" s="28" t="n">
        <f aca="false">O46</f>
        <v>0.1722</v>
      </c>
      <c r="P24" s="28" t="n">
        <f aca="false">P46</f>
        <v>0.1722</v>
      </c>
      <c r="Q24" s="28" t="n">
        <f aca="false">Q46</f>
        <v>0.1722</v>
      </c>
      <c r="R24" s="28" t="n">
        <f aca="false">R46</f>
        <v>0.1722</v>
      </c>
      <c r="S24" s="28" t="n">
        <f aca="false">S46</f>
        <v>0.1722</v>
      </c>
      <c r="T24" s="28" t="n">
        <f aca="false">T46</f>
        <v>0.1722</v>
      </c>
      <c r="U24" s="28" t="n">
        <f aca="false">U46</f>
        <v>0.1722</v>
      </c>
      <c r="V24" s="28" t="n">
        <f aca="false">V46</f>
        <v>0.1722</v>
      </c>
      <c r="W24" s="28" t="n">
        <f aca="false">W46</f>
        <v>0.1722</v>
      </c>
      <c r="X24" s="30" t="n">
        <f aca="false">X46</f>
        <v>0.1722</v>
      </c>
    </row>
    <row r="25" customFormat="false" ht="15" hidden="false" customHeight="true" outlineLevel="0" collapsed="false">
      <c r="B25" s="25" t="s">
        <v>32</v>
      </c>
      <c r="E25" s="26" t="n">
        <v>162.8</v>
      </c>
      <c r="F25" s="26" t="n">
        <v>154.4</v>
      </c>
      <c r="G25" s="26" t="n">
        <v>161.1</v>
      </c>
      <c r="H25" s="26" t="n">
        <v>63.1</v>
      </c>
      <c r="I25" s="26" t="n">
        <v>21.6</v>
      </c>
      <c r="J25" s="26" t="n">
        <v>-93.6</v>
      </c>
      <c r="K25" s="26" t="n">
        <v>-189</v>
      </c>
      <c r="L25" s="26" t="n">
        <v>128.7</v>
      </c>
      <c r="M25" s="26" t="n">
        <v>210.9</v>
      </c>
      <c r="N25" s="26" t="n">
        <v>172.8</v>
      </c>
      <c r="O25" s="26" t="n">
        <f aca="false">O23*O26</f>
        <v>262.026729153</v>
      </c>
      <c r="P25" s="26" t="n">
        <f aca="false">P23*P26</f>
        <v>283.635200083817</v>
      </c>
      <c r="Q25" s="26" t="n">
        <f aca="false">Q23*Q26</f>
        <v>304.633659396689</v>
      </c>
      <c r="R25" s="26" t="n">
        <f aca="false">R23*R26</f>
        <v>324.617627453112</v>
      </c>
      <c r="S25" s="26" t="n">
        <f aca="false">S23*S26</f>
        <v>343.174935155848</v>
      </c>
      <c r="T25" s="26" t="n">
        <f aca="false">T51</f>
        <v>359.898993662443</v>
      </c>
      <c r="U25" s="26" t="n">
        <f aca="false">U51</f>
        <v>374.40292310704</v>
      </c>
      <c r="V25" s="26" t="n">
        <f aca="false">V51</f>
        <v>386.333896256718</v>
      </c>
      <c r="W25" s="26" t="n">
        <f aca="false">W51</f>
        <v>395.386987225667</v>
      </c>
      <c r="X25" s="27" t="n">
        <f aca="false">X51</f>
        <v>401.317792034052</v>
      </c>
    </row>
    <row r="26" customFormat="false" ht="15" hidden="false" customHeight="true" outlineLevel="0" collapsed="false">
      <c r="B26" s="28" t="s">
        <v>33</v>
      </c>
      <c r="C26" s="29"/>
      <c r="D26" s="29"/>
      <c r="E26" s="28" t="n">
        <f aca="false">E25/E23</f>
        <v>0.111499212382714</v>
      </c>
      <c r="F26" s="28" t="n">
        <f aca="false">F25/F23</f>
        <v>0.100651890482399</v>
      </c>
      <c r="G26" s="28" t="n">
        <f aca="false">G25/G23</f>
        <v>0.0966232831524021</v>
      </c>
      <c r="H26" s="28" t="n">
        <f aca="false">H25/H23</f>
        <v>0.0620574350904799</v>
      </c>
      <c r="I26" s="28" t="n">
        <f aca="false">I25/I23</f>
        <v>0.0191591271953167</v>
      </c>
      <c r="J26" s="28" t="n">
        <f aca="false">J25/J23</f>
        <v>0.111508220157255</v>
      </c>
      <c r="K26" s="28" t="n">
        <f aca="false">K25/K23</f>
        <v>0.556537102473498</v>
      </c>
      <c r="L26" s="28" t="n">
        <f aca="false">L25/L23</f>
        <v>0.0892139193123527</v>
      </c>
      <c r="M26" s="28" t="n">
        <f aca="false">M25/M23</f>
        <v>0.102343863735624</v>
      </c>
      <c r="N26" s="28" t="n">
        <f aca="false">N25/N23</f>
        <v>0.110911424903723</v>
      </c>
      <c r="O26" s="28" t="n">
        <f aca="false">O52</f>
        <v>0.1</v>
      </c>
      <c r="P26" s="28" t="n">
        <f aca="false">P52</f>
        <v>0.1</v>
      </c>
      <c r="Q26" s="28" t="n">
        <f aca="false">Q52</f>
        <v>0.1</v>
      </c>
      <c r="R26" s="28" t="n">
        <f aca="false">R52</f>
        <v>0.1</v>
      </c>
      <c r="S26" s="28" t="n">
        <f aca="false">S52</f>
        <v>0.1</v>
      </c>
      <c r="T26" s="28" t="n">
        <f aca="false">T52</f>
        <v>0.1</v>
      </c>
      <c r="U26" s="28" t="n">
        <f aca="false">U52</f>
        <v>0.1</v>
      </c>
      <c r="V26" s="28" t="n">
        <f aca="false">V52</f>
        <v>0.1</v>
      </c>
      <c r="W26" s="28" t="n">
        <f aca="false">W52</f>
        <v>0.1</v>
      </c>
      <c r="X26" s="30" t="n">
        <f aca="false">X52</f>
        <v>0.1</v>
      </c>
    </row>
    <row r="27" customFormat="false" ht="15" hidden="false" customHeight="true" outlineLevel="0" collapsed="false">
      <c r="A27" s="22" t="s">
        <v>10</v>
      </c>
      <c r="B27" s="23" t="s">
        <v>34</v>
      </c>
      <c r="C27" s="15"/>
      <c r="D27" s="24"/>
      <c r="E27" s="24" t="n">
        <f aca="false">E19</f>
        <v>2016</v>
      </c>
      <c r="F27" s="24" t="n">
        <f aca="false">F19</f>
        <v>2017</v>
      </c>
      <c r="G27" s="24" t="n">
        <f aca="false">G19</f>
        <v>2018</v>
      </c>
      <c r="H27" s="24" t="n">
        <f aca="false">H19</f>
        <v>2019</v>
      </c>
      <c r="I27" s="24" t="n">
        <f aca="false">I19</f>
        <v>2020</v>
      </c>
      <c r="J27" s="24" t="n">
        <f aca="false">J19</f>
        <v>2021</v>
      </c>
      <c r="K27" s="24" t="n">
        <f aca="false">K19</f>
        <v>2022</v>
      </c>
      <c r="L27" s="24" t="n">
        <f aca="false">L19</f>
        <v>2023</v>
      </c>
      <c r="M27" s="24" t="n">
        <f aca="false">M19</f>
        <v>2024</v>
      </c>
      <c r="N27" s="24" t="n">
        <f aca="false">N19</f>
        <v>2025</v>
      </c>
      <c r="O27" s="24" t="n">
        <f aca="false">O19</f>
        <v>2026</v>
      </c>
      <c r="P27" s="24" t="n">
        <f aca="false">P19</f>
        <v>2027</v>
      </c>
      <c r="Q27" s="24" t="n">
        <f aca="false">Q19</f>
        <v>2028</v>
      </c>
      <c r="R27" s="24" t="n">
        <f aca="false">R19</f>
        <v>2029</v>
      </c>
      <c r="S27" s="24" t="n">
        <f aca="false">S19</f>
        <v>2030</v>
      </c>
      <c r="T27" s="24" t="n">
        <f aca="false">T38</f>
        <v>2031</v>
      </c>
      <c r="U27" s="24" t="n">
        <f aca="false">U38</f>
        <v>2032</v>
      </c>
      <c r="V27" s="24" t="n">
        <f aca="false">V38</f>
        <v>2033</v>
      </c>
      <c r="W27" s="24" t="n">
        <f aca="false">W38</f>
        <v>2034</v>
      </c>
      <c r="X27" s="24" t="n">
        <f aca="false">X38</f>
        <v>2035</v>
      </c>
    </row>
    <row r="28" customFormat="false" ht="15" hidden="false" customHeight="true" outlineLevel="0" collapsed="false">
      <c r="B28" s="25" t="s">
        <v>35</v>
      </c>
      <c r="E28" s="26" t="n">
        <v>427.3</v>
      </c>
      <c r="F28" s="26" t="n">
        <v>497.5</v>
      </c>
      <c r="G28" s="26" t="n">
        <v>561</v>
      </c>
      <c r="H28" s="26" t="n">
        <v>640.5</v>
      </c>
      <c r="I28" s="26" t="n">
        <v>748.7</v>
      </c>
      <c r="J28" s="26" t="n">
        <v>571</v>
      </c>
      <c r="K28" s="26" t="n">
        <v>719.4</v>
      </c>
      <c r="L28" s="26" t="n">
        <v>923.2</v>
      </c>
      <c r="M28" s="26" t="n">
        <v>1059.5</v>
      </c>
      <c r="N28" s="26" t="n">
        <v>1214.4</v>
      </c>
      <c r="O28" s="26" t="n">
        <f aca="false">O20*O29</f>
        <v>1224.921701325</v>
      </c>
      <c r="P28" s="26" t="n">
        <f aca="false">P20*P29</f>
        <v>1325.93691096094</v>
      </c>
      <c r="Q28" s="26" t="n">
        <f aca="false">Q20*Q29</f>
        <v>1424.10044026908</v>
      </c>
      <c r="R28" s="26" t="n">
        <f aca="false">R20*R29</f>
        <v>1517.52142915073</v>
      </c>
      <c r="S28" s="26" t="n">
        <f aca="false">S20*S29</f>
        <v>1604.27307085051</v>
      </c>
      <c r="T28" s="26" t="n">
        <f aca="false">T56</f>
        <v>1682.45464516996</v>
      </c>
      <c r="U28" s="26" t="n">
        <f aca="false">U56</f>
        <v>1750.25756737031</v>
      </c>
      <c r="V28" s="26" t="n">
        <f aca="false">V56</f>
        <v>1806.03244185051</v>
      </c>
      <c r="W28" s="26" t="n">
        <f aca="false">W56</f>
        <v>1848.35380207121</v>
      </c>
      <c r="X28" s="26" t="n">
        <f aca="false">X56</f>
        <v>1876.07910910227</v>
      </c>
    </row>
    <row r="29" customFormat="false" ht="15" hidden="false" customHeight="true" outlineLevel="0" collapsed="false">
      <c r="B29" s="28" t="s">
        <v>31</v>
      </c>
      <c r="C29" s="31"/>
      <c r="D29" s="31"/>
      <c r="E29" s="28" t="n">
        <f aca="false">E28/E20</f>
        <v>0.0653783775513327</v>
      </c>
      <c r="F29" s="28" t="n">
        <f aca="false">F28/F20</f>
        <v>0.0748367881103523</v>
      </c>
      <c r="G29" s="28" t="n">
        <f aca="false">G28/G20</f>
        <v>0.078450566354356</v>
      </c>
      <c r="H29" s="28" t="n">
        <f aca="false">H28/H20</f>
        <v>0.083209915036246</v>
      </c>
      <c r="I29" s="28" t="n">
        <f aca="false">I28/I20</f>
        <v>0.0881362716014503</v>
      </c>
      <c r="J29" s="28" t="n">
        <f aca="false">J28/J20</f>
        <v>0.349064677833476</v>
      </c>
      <c r="K29" s="28" t="n">
        <f aca="false">K28/K20</f>
        <v>0.149846903705555</v>
      </c>
      <c r="L29" s="28" t="n">
        <f aca="false">L28/L20</f>
        <v>0.0856782240700869</v>
      </c>
      <c r="M29" s="28" t="n">
        <f aca="false">M28/M20</f>
        <v>0.0788095627724304</v>
      </c>
      <c r="N29" s="28" t="n">
        <f aca="false">N28/N20</f>
        <v>0.0870631250672115</v>
      </c>
      <c r="O29" s="28" t="n">
        <f aca="false">O57</f>
        <v>0.0805</v>
      </c>
      <c r="P29" s="28" t="n">
        <f aca="false">P57</f>
        <v>0.0805</v>
      </c>
      <c r="Q29" s="28" t="n">
        <f aca="false">Q57</f>
        <v>0.0805</v>
      </c>
      <c r="R29" s="28" t="n">
        <f aca="false">R57</f>
        <v>0.0805</v>
      </c>
      <c r="S29" s="28" t="n">
        <f aca="false">S57</f>
        <v>0.0805</v>
      </c>
      <c r="T29" s="28" t="n">
        <f aca="false">T57</f>
        <v>0.0805</v>
      </c>
      <c r="U29" s="28" t="n">
        <f aca="false">U57</f>
        <v>0.0805</v>
      </c>
      <c r="V29" s="28" t="n">
        <f aca="false">V57</f>
        <v>0.0805</v>
      </c>
      <c r="W29" s="28" t="n">
        <f aca="false">W57</f>
        <v>0.0805</v>
      </c>
      <c r="X29" s="28" t="n">
        <f aca="false">X57</f>
        <v>0.0805</v>
      </c>
    </row>
    <row r="30" customFormat="false" ht="15" hidden="false" customHeight="true" outlineLevel="0" collapsed="false">
      <c r="C30" s="31"/>
      <c r="D30" s="31"/>
      <c r="E30" s="31"/>
    </row>
    <row r="31" customFormat="false" ht="15" hidden="false" customHeight="true" outlineLevel="0" collapsed="false">
      <c r="B31" s="25" t="s">
        <v>36</v>
      </c>
      <c r="E31" s="26" t="n">
        <v>1217.7</v>
      </c>
      <c r="F31" s="26" t="n">
        <v>1449.8</v>
      </c>
      <c r="G31" s="26" t="n">
        <v>1470.6</v>
      </c>
      <c r="H31" s="26" t="n">
        <v>1546.7</v>
      </c>
      <c r="I31" s="26" t="n">
        <v>578.8</v>
      </c>
      <c r="J31" s="26" t="n">
        <v>294.7</v>
      </c>
      <c r="K31" s="26" t="n">
        <v>1181.6</v>
      </c>
      <c r="L31" s="26" t="n">
        <v>1914.7</v>
      </c>
      <c r="M31" s="26" t="n">
        <v>2391.9</v>
      </c>
      <c r="N31" s="26" t="n">
        <v>1552.5</v>
      </c>
      <c r="O31" s="26" t="n">
        <f aca="false">O20*O32</f>
        <v>2781.56132922</v>
      </c>
      <c r="P31" s="26" t="n">
        <f aca="false">P20*P32</f>
        <v>2954.42115258707</v>
      </c>
      <c r="Q31" s="26" t="n">
        <f aca="false">Q20*Q32</f>
        <v>3103.95479522757</v>
      </c>
      <c r="R31" s="26" t="n">
        <f aca="false">R20*R32</f>
        <v>3222.77011796383</v>
      </c>
      <c r="S31" s="26" t="n">
        <f aca="false">S20*S32</f>
        <v>3302.7957530548</v>
      </c>
      <c r="T31" s="26" t="n">
        <f aca="false">T59</f>
        <v>3335.15041883282</v>
      </c>
      <c r="U31" s="26" t="n">
        <f aca="false">U59</f>
        <v>3309.83834871397</v>
      </c>
      <c r="V31" s="26" t="n">
        <f aca="false">V59</f>
        <v>3215.12601226459</v>
      </c>
      <c r="W31" s="26" t="n">
        <f aca="false">W59</f>
        <v>3036.32396790174</v>
      </c>
      <c r="X31" s="26" t="n">
        <f aca="false">X59</f>
        <v>2753.406201529</v>
      </c>
    </row>
    <row r="32" customFormat="false" ht="15" hidden="false" customHeight="true" outlineLevel="0" collapsed="false">
      <c r="B32" s="28" t="s">
        <v>31</v>
      </c>
      <c r="C32" s="29"/>
      <c r="D32" s="29"/>
      <c r="E32" s="28" t="n">
        <f aca="false">E31/E20</f>
        <v>0.186312310658221</v>
      </c>
      <c r="F32" s="28" t="n">
        <f aca="false">F31/F20</f>
        <v>0.21808718673847</v>
      </c>
      <c r="G32" s="28" t="n">
        <f aca="false">G31/G20</f>
        <v>0.205649559502168</v>
      </c>
      <c r="H32" s="28" t="n">
        <f aca="false">H31/H20</f>
        <v>0.200937979057864</v>
      </c>
      <c r="I32" s="28" t="n">
        <f aca="false">I31/I20</f>
        <v>0.0681358007251495</v>
      </c>
      <c r="J32" s="28" t="n">
        <f aca="false">J31/J20</f>
        <v>0.180156498349431</v>
      </c>
      <c r="K32" s="28" t="n">
        <f aca="false">K31/K20</f>
        <v>0.246120519069341</v>
      </c>
      <c r="L32" s="28" t="n">
        <f aca="false">L31/L20</f>
        <v>0.177695077585567</v>
      </c>
      <c r="M32" s="28" t="n">
        <f aca="false">M31/M20</f>
        <v>0.177918445677561</v>
      </c>
      <c r="N32" s="28" t="n">
        <f aca="false">N31/N20</f>
        <v>0.111302290568878</v>
      </c>
      <c r="O32" s="28" t="n">
        <f aca="false">O60</f>
        <v>0.1828</v>
      </c>
      <c r="P32" s="28" t="n">
        <f aca="false">P60</f>
        <v>0.179368189253362</v>
      </c>
      <c r="Q32" s="28" t="n">
        <f aca="false">Q60</f>
        <v>0.175456978981488</v>
      </c>
      <c r="R32" s="28" t="n">
        <f aca="false">R60</f>
        <v>0.170958372984083</v>
      </c>
      <c r="S32" s="28" t="n">
        <f aca="false">S60</f>
        <v>0.165729303166547</v>
      </c>
      <c r="T32" s="28" t="n">
        <f aca="false">T60</f>
        <v>0.159576134481129</v>
      </c>
      <c r="U32" s="28" t="n">
        <f aca="false">U60</f>
        <v>0.15223015859991</v>
      </c>
      <c r="V32" s="28" t="n">
        <f aca="false">V60</f>
        <v>0.143307306109135</v>
      </c>
      <c r="W32" s="28" t="n">
        <f aca="false">W60</f>
        <v>0.132238794944018</v>
      </c>
      <c r="X32" s="28" t="n">
        <f aca="false">X60</f>
        <v>0.118144910919639</v>
      </c>
    </row>
    <row r="34" customFormat="false" ht="15" hidden="false" customHeight="true" outlineLevel="0" collapsed="false">
      <c r="B34" s="25" t="s">
        <v>37</v>
      </c>
      <c r="E34" s="26" t="n">
        <v>-135.6</v>
      </c>
      <c r="F34" s="26" t="n">
        <v>-113.1</v>
      </c>
      <c r="G34" s="26" t="n">
        <v>-168.9</v>
      </c>
      <c r="H34" s="26" t="n">
        <v>-514.3</v>
      </c>
      <c r="I34" s="26" t="n">
        <v>388.5</v>
      </c>
      <c r="J34" s="26" t="n">
        <v>1703.2</v>
      </c>
      <c r="K34" s="26" t="n">
        <v>-1785.9</v>
      </c>
      <c r="L34" s="26" t="n">
        <v>-1353.9</v>
      </c>
      <c r="M34" s="26" t="n">
        <v>-19</v>
      </c>
      <c r="N34" s="26" t="n">
        <v>-480.3</v>
      </c>
      <c r="O34" s="26" t="n">
        <f aca="false">O20*O35</f>
        <v>-436.711215255</v>
      </c>
      <c r="P34" s="26" t="n">
        <f aca="false">P20*P35</f>
        <v>-456.867035529522</v>
      </c>
      <c r="Q34" s="26" t="n">
        <f aca="false">Q20*Q35</f>
        <v>-471.278787754728</v>
      </c>
      <c r="R34" s="26" t="n">
        <f aca="false">R20*R35</f>
        <v>-478.403102335641</v>
      </c>
      <c r="S34" s="26" t="n">
        <f aca="false">S20*S35</f>
        <v>-476.516138604723</v>
      </c>
      <c r="T34" s="26" t="n">
        <f aca="false">T62</f>
        <v>-463.659518124379</v>
      </c>
      <c r="U34" s="26" t="n">
        <f aca="false">U62</f>
        <v>-437.536348236198</v>
      </c>
      <c r="V34" s="26" t="n">
        <f aca="false">V62</f>
        <v>-395.317551035036</v>
      </c>
      <c r="W34" s="26" t="n">
        <f aca="false">W62</f>
        <v>-333.281952681686</v>
      </c>
      <c r="X34" s="26" t="n">
        <f aca="false">X62</f>
        <v>-246.131843134379</v>
      </c>
    </row>
    <row r="35" customFormat="false" ht="15" hidden="false" customHeight="true" outlineLevel="0" collapsed="false">
      <c r="B35" s="28" t="s">
        <v>31</v>
      </c>
      <c r="C35" s="31"/>
      <c r="D35" s="31"/>
      <c r="E35" s="28" t="n">
        <f aca="false">E34/E20</f>
        <v>-0.0207472688882769</v>
      </c>
      <c r="F35" s="28" t="n">
        <f aca="false">F34/F20</f>
        <v>-0.0170131472065947</v>
      </c>
      <c r="G35" s="28" t="n">
        <f aca="false">G34/G20</f>
        <v>-0.0236190742553489</v>
      </c>
      <c r="H35" s="28" t="n">
        <f aca="false">H34/H20</f>
        <v>-0.0668147686231715</v>
      </c>
      <c r="I35" s="28" t="n">
        <f aca="false">I34/I20</f>
        <v>0.0457338607147902</v>
      </c>
      <c r="J35" s="28" t="n">
        <f aca="false">J34/J20</f>
        <v>1.04120308106125</v>
      </c>
      <c r="K35" s="28" t="n">
        <f aca="false">K34/K20</f>
        <v>-0.37199275135912</v>
      </c>
      <c r="L35" s="28" t="n">
        <f aca="false">L34/L20</f>
        <v>-0.125649639913876</v>
      </c>
      <c r="M35" s="28" t="n">
        <f aca="false">M34/M20</f>
        <v>-0.00141329088501763</v>
      </c>
      <c r="N35" s="28" t="n">
        <f aca="false">N34/N20</f>
        <v>-0.0344338100871061</v>
      </c>
      <c r="O35" s="28" t="n">
        <f aca="false">O63</f>
        <v>-0.0287</v>
      </c>
      <c r="P35" s="28" t="n">
        <f aca="false">P63</f>
        <v>-0.0277372143848631</v>
      </c>
      <c r="Q35" s="28" t="n">
        <f aca="false">Q63</f>
        <v>-0.0266399344747674</v>
      </c>
      <c r="R35" s="28" t="n">
        <f aca="false">R63</f>
        <v>-0.0253778622154758</v>
      </c>
      <c r="S35" s="28" t="n">
        <f aca="false">S63</f>
        <v>-0.0239108602236549</v>
      </c>
      <c r="T35" s="28" t="n">
        <f aca="false">T63</f>
        <v>-0.0221846046882542</v>
      </c>
      <c r="U35" s="28" t="n">
        <f aca="false">U63</f>
        <v>-0.0201237101839434</v>
      </c>
      <c r="V35" s="28" t="n">
        <f aca="false">V63</f>
        <v>-0.0176204270315951</v>
      </c>
      <c r="W35" s="28" t="n">
        <f aca="false">W63</f>
        <v>-0.0145151848963179</v>
      </c>
      <c r="X35" s="28" t="n">
        <f aca="false">X63</f>
        <v>-0.0105611822423621</v>
      </c>
    </row>
    <row r="36" customFormat="false" ht="15" hidden="false" customHeight="true" outlineLevel="0" collapsed="false">
      <c r="B36" s="32" t="s">
        <v>38</v>
      </c>
      <c r="C36" s="31"/>
      <c r="D36" s="31"/>
      <c r="E36" s="31"/>
      <c r="F36" s="32" t="n">
        <f aca="false">F34/(F20-E20)</f>
        <v>-1.00982142857143</v>
      </c>
      <c r="G36" s="32" t="n">
        <f aca="false">G34/(G20-F20)</f>
        <v>-0.335651828298887</v>
      </c>
      <c r="H36" s="32" t="n">
        <f aca="false">H34/(H20-G20)</f>
        <v>-0.941251830161055</v>
      </c>
      <c r="I36" s="32" t="n">
        <f aca="false">I34/(I20-H20)</f>
        <v>0.487208427389015</v>
      </c>
      <c r="J36" s="32" t="n">
        <f aca="false">J34/(J20-I20)</f>
        <v>-0.248316081061379</v>
      </c>
      <c r="K36" s="32" t="n">
        <f aca="false">K34/(K20-J20)</f>
        <v>-0.56424757511611</v>
      </c>
      <c r="L36" s="32" t="n">
        <f aca="false">L34/(L20-K20)</f>
        <v>-0.226620691963912</v>
      </c>
      <c r="M36" s="32" t="n">
        <f aca="false">M34/(M20-L20)</f>
        <v>-0.00711983811736491</v>
      </c>
      <c r="N36" s="32" t="n">
        <f aca="false">N34/(N20-M20)</f>
        <v>-0.951654448187041</v>
      </c>
    </row>
    <row r="38" customFormat="false" ht="15" hidden="false" customHeight="true" outlineLevel="0" collapsed="false">
      <c r="A38" s="22" t="s">
        <v>10</v>
      </c>
      <c r="B38" s="33" t="s">
        <v>39</v>
      </c>
      <c r="C38" s="34"/>
      <c r="D38" s="35"/>
      <c r="E38" s="24" t="n">
        <f aca="false">E27</f>
        <v>2016</v>
      </c>
      <c r="F38" s="24" t="n">
        <f aca="false">E38+1</f>
        <v>2017</v>
      </c>
      <c r="G38" s="24" t="n">
        <f aca="false">F38+1</f>
        <v>2018</v>
      </c>
      <c r="H38" s="24" t="n">
        <f aca="false">G38+1</f>
        <v>2019</v>
      </c>
      <c r="I38" s="24" t="n">
        <f aca="false">H38+1</f>
        <v>2020</v>
      </c>
      <c r="J38" s="24" t="n">
        <f aca="false">I38+1</f>
        <v>2021</v>
      </c>
      <c r="K38" s="24" t="n">
        <f aca="false">J38+1</f>
        <v>2022</v>
      </c>
      <c r="L38" s="24" t="n">
        <f aca="false">K38+1</f>
        <v>2023</v>
      </c>
      <c r="M38" s="24" t="n">
        <f aca="false">L38+1</f>
        <v>2024</v>
      </c>
      <c r="N38" s="24" t="n">
        <f aca="false">M38+1</f>
        <v>2025</v>
      </c>
      <c r="O38" s="24" t="n">
        <f aca="false">N38+1</f>
        <v>2026</v>
      </c>
      <c r="P38" s="24" t="n">
        <f aca="false">O38+1</f>
        <v>2027</v>
      </c>
      <c r="Q38" s="24" t="n">
        <f aca="false">P38+1</f>
        <v>2028</v>
      </c>
      <c r="R38" s="24" t="n">
        <f aca="false">Q38+1</f>
        <v>2029</v>
      </c>
      <c r="S38" s="24" t="n">
        <f aca="false">R38+1</f>
        <v>2030</v>
      </c>
      <c r="T38" s="24" t="n">
        <f aca="false">S38+1</f>
        <v>2031</v>
      </c>
      <c r="U38" s="24" t="n">
        <f aca="false">T38+1</f>
        <v>2032</v>
      </c>
      <c r="V38" s="24" t="n">
        <f aca="false">U38+1</f>
        <v>2033</v>
      </c>
      <c r="W38" s="24" t="n">
        <f aca="false">V38+1</f>
        <v>2034</v>
      </c>
      <c r="X38" s="24" t="n">
        <f aca="false">W38+1</f>
        <v>2035</v>
      </c>
      <c r="Y38" s="36" t="s">
        <v>40</v>
      </c>
    </row>
    <row r="39" customFormat="false" ht="15" hidden="false" customHeight="true" outlineLevel="0" collapsed="false">
      <c r="B39" s="25" t="s">
        <v>16</v>
      </c>
      <c r="E39" s="26" t="n">
        <f aca="false">E20</f>
        <v>6535.8</v>
      </c>
      <c r="F39" s="26" t="n">
        <f aca="false">F20</f>
        <v>6647.8</v>
      </c>
      <c r="G39" s="26" t="n">
        <f aca="false">G20</f>
        <v>7151</v>
      </c>
      <c r="H39" s="26" t="n">
        <f aca="false">H20</f>
        <v>7697.4</v>
      </c>
      <c r="I39" s="26" t="n">
        <f aca="false">I20</f>
        <v>8494.8</v>
      </c>
      <c r="J39" s="26" t="n">
        <f aca="false">J20</f>
        <v>1635.8</v>
      </c>
      <c r="K39" s="26" t="n">
        <f aca="false">K20</f>
        <v>4800.9</v>
      </c>
      <c r="L39" s="26" t="n">
        <f aca="false">L20</f>
        <v>10775.2</v>
      </c>
      <c r="M39" s="26" t="n">
        <f aca="false">M20</f>
        <v>13443.8</v>
      </c>
      <c r="N39" s="26" t="n">
        <f aca="false">N20</f>
        <v>13948.5</v>
      </c>
      <c r="O39" s="26" t="n">
        <f aca="false">N39*(1+O40)</f>
        <v>15216.41865</v>
      </c>
      <c r="P39" s="26" t="n">
        <f aca="false">O39*(1+P40)</f>
        <v>16471.26597467</v>
      </c>
      <c r="Q39" s="26" t="n">
        <f aca="false">P39*(1+Q40)</f>
        <v>17690.6886989947</v>
      </c>
      <c r="R39" s="26" t="n">
        <f aca="false">Q39*(1+R40)</f>
        <v>18851.1978776488</v>
      </c>
      <c r="S39" s="26" t="n">
        <f aca="false">R39*(1+S40)</f>
        <v>19928.8580229877</v>
      </c>
      <c r="T39" s="26" t="n">
        <f aca="false">S39*(1+T40)</f>
        <v>20900.0577039746</v>
      </c>
      <c r="U39" s="26" t="n">
        <f aca="false">T39*(1+U40)</f>
        <v>21742.3300294448</v>
      </c>
      <c r="V39" s="26" t="n">
        <f aca="false">U39*(1+V40)</f>
        <v>22435.1856130498</v>
      </c>
      <c r="W39" s="26" t="n">
        <f aca="false">V39*(1+W40)</f>
        <v>22960.9167959156</v>
      </c>
      <c r="X39" s="26" t="n">
        <f aca="false">W39*(1+X40)</f>
        <v>23305.3305478543</v>
      </c>
    </row>
    <row r="40" customFormat="false" ht="15" hidden="false" customHeight="true" outlineLevel="0" collapsed="false">
      <c r="B40" s="28" t="s">
        <v>28</v>
      </c>
      <c r="C40" s="29"/>
      <c r="D40" s="29"/>
      <c r="E40" s="29"/>
      <c r="F40" s="28" t="n">
        <f aca="false">F39/E39-1</f>
        <v>0.0171363872823527</v>
      </c>
      <c r="G40" s="28" t="n">
        <f aca="false">G39/F39-1</f>
        <v>0.0756942146273956</v>
      </c>
      <c r="H40" s="28" t="n">
        <f aca="false">H39/G39-1</f>
        <v>0.0764088938609984</v>
      </c>
      <c r="I40" s="28" t="n">
        <f aca="false">I39/H39-1</f>
        <v>0.103593421155195</v>
      </c>
      <c r="J40" s="28" t="n">
        <f aca="false">J39/I39-1</f>
        <v>-0.807435136789565</v>
      </c>
      <c r="K40" s="28" t="n">
        <f aca="false">K39/J39-1</f>
        <v>1.9348942413498</v>
      </c>
      <c r="L40" s="28" t="n">
        <f aca="false">L39/K39-1</f>
        <v>1.24441250598846</v>
      </c>
      <c r="M40" s="28" t="n">
        <f aca="false">M39/L39-1</f>
        <v>0.247661296310045</v>
      </c>
      <c r="N40" s="28" t="n">
        <f aca="false">N39/M39-1</f>
        <v>0.0375414689299156</v>
      </c>
      <c r="O40" s="28" t="n">
        <f aca="false">INDEX(O41:O43,$D$11)</f>
        <v>0.0909</v>
      </c>
      <c r="P40" s="28" t="n">
        <f aca="false">INDEX(P41:P43,$D$11)</f>
        <v>0.0824666666666667</v>
      </c>
      <c r="Q40" s="28" t="n">
        <f aca="false">INDEX(Q41:Q43,$D$11)</f>
        <v>0.0740333333333333</v>
      </c>
      <c r="R40" s="28" t="n">
        <f aca="false">INDEX(R41:R43,$D$11)</f>
        <v>0.0656</v>
      </c>
      <c r="S40" s="28" t="n">
        <f aca="false">INDEX(S41:S43,$D$11)</f>
        <v>0.0571666666666667</v>
      </c>
      <c r="T40" s="28" t="n">
        <f aca="false">INDEX(T41:T43,$D$11)</f>
        <v>0.0487333333333333</v>
      </c>
      <c r="U40" s="28" t="n">
        <f aca="false">INDEX(U41:U43,$D$11)</f>
        <v>0.0403</v>
      </c>
      <c r="V40" s="28" t="n">
        <f aca="false">INDEX(V41:V43,$D$11)</f>
        <v>0.0318666666666667</v>
      </c>
      <c r="W40" s="28" t="n">
        <f aca="false">INDEX(W41:W43,$D$11)</f>
        <v>0.0234333333333333</v>
      </c>
      <c r="X40" s="28" t="n">
        <f aca="false">INDEX(X41:X43,$D$11)</f>
        <v>0.015</v>
      </c>
      <c r="Y40" s="37" t="n">
        <f aca="false">$D$17</f>
        <v>0.015</v>
      </c>
    </row>
    <row r="41" customFormat="false" ht="15" hidden="false" customHeight="true" outlineLevel="0" collapsed="false">
      <c r="B41" s="38" t="s">
        <v>41</v>
      </c>
      <c r="O41" s="39" t="n">
        <f aca="false">$H$11</f>
        <v>0.07</v>
      </c>
      <c r="P41" s="18" t="n">
        <f aca="false">O41-($H$11-$H$17)/$D$18</f>
        <v>0.0633333333333333</v>
      </c>
      <c r="Q41" s="18" t="n">
        <f aca="false">P41-($H$11-$H$17)/$D$18</f>
        <v>0.0566666666666667</v>
      </c>
      <c r="R41" s="18" t="n">
        <f aca="false">Q41-($H$11-$H$17)/$D$18</f>
        <v>0.05</v>
      </c>
      <c r="S41" s="18" t="n">
        <f aca="false">R41-($H$11-$H$17)/$D$18</f>
        <v>0.0433333333333333</v>
      </c>
      <c r="T41" s="18" t="n">
        <f aca="false">S41-($H$11-$H$17)/$D$18</f>
        <v>0.0366666666666667</v>
      </c>
      <c r="U41" s="18" t="n">
        <f aca="false">T41-($H$11-$H$17)/$D$18</f>
        <v>0.03</v>
      </c>
      <c r="V41" s="18" t="n">
        <f aca="false">U41-($H$11-$H$17)/$D$18</f>
        <v>0.0233333333333333</v>
      </c>
      <c r="W41" s="18" t="n">
        <f aca="false">V41-($H$11-$H$17)/$D$18</f>
        <v>0.0166666666666667</v>
      </c>
      <c r="X41" s="18" t="n">
        <f aca="false">W41-($H$11-$H$17)/$D$18</f>
        <v>0.01</v>
      </c>
    </row>
    <row r="42" customFormat="false" ht="15" hidden="false" customHeight="true" outlineLevel="0" collapsed="false">
      <c r="B42" s="38" t="s">
        <v>42</v>
      </c>
      <c r="O42" s="39" t="n">
        <f aca="false">$L$11</f>
        <v>0.0909</v>
      </c>
      <c r="P42" s="18" t="n">
        <f aca="false">O42-($L$11-$L$17)/$D$18</f>
        <v>0.0824666666666667</v>
      </c>
      <c r="Q42" s="18" t="n">
        <f aca="false">P42-($L$11-$L$17)/$D$18</f>
        <v>0.0740333333333333</v>
      </c>
      <c r="R42" s="18" t="n">
        <f aca="false">Q42-($L$11-$L$17)/$D$18</f>
        <v>0.0656</v>
      </c>
      <c r="S42" s="18" t="n">
        <f aca="false">R42-($L$11-$L$17)/$D$18</f>
        <v>0.0571666666666667</v>
      </c>
      <c r="T42" s="18" t="n">
        <f aca="false">S42-($L$11-$L$17)/$D$18</f>
        <v>0.0487333333333333</v>
      </c>
      <c r="U42" s="18" t="n">
        <f aca="false">T42-($L$11-$L$17)/$D$18</f>
        <v>0.0403</v>
      </c>
      <c r="V42" s="18" t="n">
        <f aca="false">U42-($L$11-$L$17)/$D$18</f>
        <v>0.0318666666666667</v>
      </c>
      <c r="W42" s="18" t="n">
        <f aca="false">V42-($L$11-$L$17)/$D$18</f>
        <v>0.0234333333333333</v>
      </c>
      <c r="X42" s="18" t="n">
        <f aca="false">W42-($L$11-$L$17)/$D$18</f>
        <v>0.015</v>
      </c>
    </row>
    <row r="43" customFormat="false" ht="15" hidden="false" customHeight="true" outlineLevel="0" collapsed="false">
      <c r="B43" s="38" t="s">
        <v>43</v>
      </c>
      <c r="O43" s="39" t="n">
        <f aca="false">$P$11</f>
        <v>0.11</v>
      </c>
      <c r="P43" s="18" t="n">
        <f aca="false">O43-($P$11-$P$17)/$D$18</f>
        <v>0.1</v>
      </c>
      <c r="Q43" s="18" t="n">
        <f aca="false">P43-($P$11-$P$17)/$D$18</f>
        <v>0.09</v>
      </c>
      <c r="R43" s="18" t="n">
        <f aca="false">Q43-($P$11-$P$17)/$D$18</f>
        <v>0.08</v>
      </c>
      <c r="S43" s="18" t="n">
        <f aca="false">R43-($P$11-$P$17)/$D$18</f>
        <v>0.07</v>
      </c>
      <c r="T43" s="18" t="n">
        <f aca="false">S43-($P$11-$P$17)/$D$18</f>
        <v>0.06</v>
      </c>
      <c r="U43" s="18" t="n">
        <f aca="false">T43-($P$11-$P$17)/$D$18</f>
        <v>0.05</v>
      </c>
      <c r="V43" s="18" t="n">
        <f aca="false">U43-($P$11-$P$17)/$D$18</f>
        <v>0.04</v>
      </c>
      <c r="W43" s="18" t="n">
        <f aca="false">V43-($P$11-$P$17)/$D$18</f>
        <v>0.03</v>
      </c>
      <c r="X43" s="18" t="n">
        <f aca="false">W43-($P$11-$P$17)/$D$18</f>
        <v>0.02</v>
      </c>
    </row>
    <row r="45" customFormat="false" ht="15" hidden="false" customHeight="true" outlineLevel="0" collapsed="false">
      <c r="B45" s="25" t="s">
        <v>18</v>
      </c>
      <c r="E45" s="26" t="n">
        <f aca="false">E23</f>
        <v>1460.1</v>
      </c>
      <c r="F45" s="26" t="n">
        <f aca="false">F23</f>
        <v>1534</v>
      </c>
      <c r="G45" s="26" t="n">
        <f aca="false">G23</f>
        <v>1667.3</v>
      </c>
      <c r="H45" s="26" t="n">
        <f aca="false">H23</f>
        <v>1016.8</v>
      </c>
      <c r="I45" s="26" t="n">
        <f aca="false">I23</f>
        <v>1127.4</v>
      </c>
      <c r="J45" s="26" t="n">
        <f aca="false">J23</f>
        <v>-839.4</v>
      </c>
      <c r="K45" s="26" t="n">
        <f aca="false">K23</f>
        <v>-339.6</v>
      </c>
      <c r="L45" s="26" t="n">
        <f aca="false">L23</f>
        <v>1442.6</v>
      </c>
      <c r="M45" s="26" t="n">
        <f aca="false">M23</f>
        <v>2060.7</v>
      </c>
      <c r="N45" s="26" t="n">
        <f aca="false">N23</f>
        <v>1558</v>
      </c>
      <c r="O45" s="26" t="n">
        <f aca="false">O39*O46</f>
        <v>2620.26729153</v>
      </c>
      <c r="P45" s="26" t="n">
        <f aca="false">P39*P46</f>
        <v>2836.35200083817</v>
      </c>
      <c r="Q45" s="26" t="n">
        <f aca="false">Q39*Q46</f>
        <v>3046.33659396689</v>
      </c>
      <c r="R45" s="26" t="n">
        <f aca="false">R39*R46</f>
        <v>3246.17627453112</v>
      </c>
      <c r="S45" s="26" t="n">
        <f aca="false">S39*S46</f>
        <v>3431.74935155848</v>
      </c>
      <c r="T45" s="26" t="n">
        <f aca="false">T39*T46</f>
        <v>3598.98993662443</v>
      </c>
      <c r="U45" s="26" t="n">
        <f aca="false">U39*U46</f>
        <v>3744.0292310704</v>
      </c>
      <c r="V45" s="26" t="n">
        <f aca="false">V39*V46</f>
        <v>3863.33896256718</v>
      </c>
      <c r="W45" s="26" t="n">
        <f aca="false">W39*W46</f>
        <v>3953.86987225667</v>
      </c>
      <c r="X45" s="26" t="n">
        <f aca="false">X39*X46</f>
        <v>4013.17792034052</v>
      </c>
    </row>
    <row r="46" customFormat="false" ht="15" hidden="false" customHeight="true" outlineLevel="0" collapsed="false">
      <c r="B46" s="28" t="s">
        <v>31</v>
      </c>
      <c r="C46" s="29"/>
      <c r="D46" s="29"/>
      <c r="E46" s="28" t="n">
        <f aca="false">E45/E20</f>
        <v>0.223400348847884</v>
      </c>
      <c r="F46" s="28" t="n">
        <f aca="false">F45/F20</f>
        <v>0.230753031077951</v>
      </c>
      <c r="G46" s="28" t="n">
        <f aca="false">G45/G20</f>
        <v>0.2331562019298</v>
      </c>
      <c r="H46" s="28" t="n">
        <f aca="false">H45/H20</f>
        <v>0.132096552082521</v>
      </c>
      <c r="I46" s="28" t="n">
        <f aca="false">I45/I20</f>
        <v>0.132716485379291</v>
      </c>
      <c r="J46" s="28" t="n">
        <f aca="false">J45/J20</f>
        <v>-0.513143416065534</v>
      </c>
      <c r="K46" s="28" t="n">
        <f aca="false">K45/K20</f>
        <v>-0.0707367368618384</v>
      </c>
      <c r="L46" s="28" t="n">
        <f aca="false">L45/L20</f>
        <v>0.133881505679709</v>
      </c>
      <c r="M46" s="28" t="n">
        <f aca="false">M45/M20</f>
        <v>0.15328255403978</v>
      </c>
      <c r="N46" s="28" t="n">
        <f aca="false">N45/N20</f>
        <v>0.111696598200523</v>
      </c>
      <c r="O46" s="28" t="n">
        <f aca="false">INDEX(O47:O49,$D$12)</f>
        <v>0.1722</v>
      </c>
      <c r="P46" s="28" t="n">
        <f aca="false">INDEX(P47:P49,$D$12)</f>
        <v>0.1722</v>
      </c>
      <c r="Q46" s="28" t="n">
        <f aca="false">INDEX(Q47:Q49,$D$12)</f>
        <v>0.1722</v>
      </c>
      <c r="R46" s="28" t="n">
        <f aca="false">INDEX(R47:R49,$D$12)</f>
        <v>0.1722</v>
      </c>
      <c r="S46" s="28" t="n">
        <f aca="false">INDEX(S47:S49,$D$12)</f>
        <v>0.1722</v>
      </c>
      <c r="T46" s="28" t="n">
        <f aca="false">INDEX(T47:T49,$D$12)</f>
        <v>0.1722</v>
      </c>
      <c r="U46" s="28" t="n">
        <f aca="false">INDEX(U47:U49,$D$12)</f>
        <v>0.1722</v>
      </c>
      <c r="V46" s="28" t="n">
        <f aca="false">INDEX(V47:V49,$D$12)</f>
        <v>0.1722</v>
      </c>
      <c r="W46" s="28" t="n">
        <f aca="false">INDEX(W47:W49,$D$12)</f>
        <v>0.1722</v>
      </c>
      <c r="X46" s="28" t="n">
        <f aca="false">INDEX(X47:X49,$D$12)</f>
        <v>0.1722</v>
      </c>
    </row>
    <row r="47" customFormat="false" ht="15" hidden="false" customHeight="true" outlineLevel="0" collapsed="false">
      <c r="B47" s="38" t="s">
        <v>41</v>
      </c>
      <c r="D47" s="29"/>
      <c r="O47" s="39" t="n">
        <f aca="false">$H$13</f>
        <v>0.16</v>
      </c>
      <c r="P47" s="39" t="n">
        <f aca="false">$H$13</f>
        <v>0.16</v>
      </c>
      <c r="Q47" s="39" t="n">
        <f aca="false">$H$13</f>
        <v>0.16</v>
      </c>
      <c r="R47" s="39" t="n">
        <f aca="false">$H$13</f>
        <v>0.16</v>
      </c>
      <c r="S47" s="39" t="n">
        <f aca="false">$H$13</f>
        <v>0.16</v>
      </c>
      <c r="T47" s="39" t="n">
        <f aca="false">$H$13</f>
        <v>0.16</v>
      </c>
      <c r="U47" s="39" t="n">
        <f aca="false">$H$13</f>
        <v>0.16</v>
      </c>
      <c r="V47" s="39" t="n">
        <f aca="false">$H$13</f>
        <v>0.16</v>
      </c>
      <c r="W47" s="39" t="n">
        <f aca="false">$H$13</f>
        <v>0.16</v>
      </c>
      <c r="X47" s="39" t="n">
        <f aca="false">$H$13</f>
        <v>0.16</v>
      </c>
    </row>
    <row r="48" customFormat="false" ht="15" hidden="false" customHeight="true" outlineLevel="0" collapsed="false">
      <c r="B48" s="38" t="s">
        <v>42</v>
      </c>
      <c r="D48" s="29"/>
      <c r="O48" s="39" t="n">
        <f aca="false">$L$13</f>
        <v>0.1722</v>
      </c>
      <c r="P48" s="39" t="n">
        <f aca="false">$L$13</f>
        <v>0.1722</v>
      </c>
      <c r="Q48" s="39" t="n">
        <f aca="false">$L$13</f>
        <v>0.1722</v>
      </c>
      <c r="R48" s="39" t="n">
        <f aca="false">$L$13</f>
        <v>0.1722</v>
      </c>
      <c r="S48" s="39" t="n">
        <f aca="false">$L$13</f>
        <v>0.1722</v>
      </c>
      <c r="T48" s="39" t="n">
        <f aca="false">$L$13</f>
        <v>0.1722</v>
      </c>
      <c r="U48" s="39" t="n">
        <f aca="false">$L$13</f>
        <v>0.1722</v>
      </c>
      <c r="V48" s="39" t="n">
        <f aca="false">$L$13</f>
        <v>0.1722</v>
      </c>
      <c r="W48" s="39" t="n">
        <f aca="false">$L$13</f>
        <v>0.1722</v>
      </c>
      <c r="X48" s="39" t="n">
        <f aca="false">$L$13</f>
        <v>0.1722</v>
      </c>
    </row>
    <row r="49" customFormat="false" ht="15" hidden="false" customHeight="true" outlineLevel="0" collapsed="false">
      <c r="B49" s="38" t="s">
        <v>43</v>
      </c>
      <c r="D49" s="29"/>
      <c r="O49" s="39" t="n">
        <f aca="false">$P$13</f>
        <v>0.185</v>
      </c>
      <c r="P49" s="39" t="n">
        <f aca="false">$P$13</f>
        <v>0.185</v>
      </c>
      <c r="Q49" s="39" t="n">
        <f aca="false">$P$13</f>
        <v>0.185</v>
      </c>
      <c r="R49" s="39" t="n">
        <f aca="false">$P$13</f>
        <v>0.185</v>
      </c>
      <c r="S49" s="39" t="n">
        <f aca="false">$P$13</f>
        <v>0.185</v>
      </c>
      <c r="T49" s="39" t="n">
        <f aca="false">$P$13</f>
        <v>0.185</v>
      </c>
      <c r="U49" s="39" t="n">
        <f aca="false">$P$13</f>
        <v>0.185</v>
      </c>
      <c r="V49" s="39" t="n">
        <f aca="false">$P$13</f>
        <v>0.185</v>
      </c>
      <c r="W49" s="39" t="n">
        <f aca="false">$P$13</f>
        <v>0.185</v>
      </c>
      <c r="X49" s="39" t="n">
        <f aca="false">$P$13</f>
        <v>0.185</v>
      </c>
    </row>
    <row r="51" customFormat="false" ht="15" hidden="false" customHeight="true" outlineLevel="0" collapsed="false">
      <c r="B51" s="25" t="s">
        <v>32</v>
      </c>
      <c r="E51" s="26" t="n">
        <f aca="false">E25</f>
        <v>162.8</v>
      </c>
      <c r="F51" s="26" t="n">
        <f aca="false">F25</f>
        <v>154.4</v>
      </c>
      <c r="G51" s="26" t="n">
        <f aca="false">G25</f>
        <v>161.1</v>
      </c>
      <c r="H51" s="26" t="n">
        <f aca="false">H25</f>
        <v>63.1</v>
      </c>
      <c r="I51" s="26" t="n">
        <f aca="false">I25</f>
        <v>21.6</v>
      </c>
      <c r="J51" s="26" t="n">
        <f aca="false">J25</f>
        <v>-93.6</v>
      </c>
      <c r="K51" s="26" t="n">
        <f aca="false">K25</f>
        <v>-189</v>
      </c>
      <c r="L51" s="26" t="n">
        <f aca="false">L25</f>
        <v>128.7</v>
      </c>
      <c r="M51" s="26" t="n">
        <f aca="false">M25</f>
        <v>210.9</v>
      </c>
      <c r="N51" s="26" t="n">
        <f aca="false">N25</f>
        <v>172.8</v>
      </c>
      <c r="O51" s="26" t="n">
        <f aca="false">O45*O52</f>
        <v>262.026729153</v>
      </c>
      <c r="P51" s="26" t="n">
        <f aca="false">P45*P52</f>
        <v>283.635200083817</v>
      </c>
      <c r="Q51" s="26" t="n">
        <f aca="false">Q45*Q52</f>
        <v>304.633659396689</v>
      </c>
      <c r="R51" s="26" t="n">
        <f aca="false">R45*R52</f>
        <v>324.617627453112</v>
      </c>
      <c r="S51" s="26" t="n">
        <f aca="false">S45*S52</f>
        <v>343.174935155848</v>
      </c>
      <c r="T51" s="26" t="n">
        <f aca="false">T45*T52</f>
        <v>359.898993662443</v>
      </c>
      <c r="U51" s="26" t="n">
        <f aca="false">U45*U52</f>
        <v>374.40292310704</v>
      </c>
      <c r="V51" s="26" t="n">
        <f aca="false">V45*V52</f>
        <v>386.333896256718</v>
      </c>
      <c r="W51" s="26" t="n">
        <f aca="false">W45*W52</f>
        <v>395.386987225667</v>
      </c>
      <c r="X51" s="26" t="n">
        <f aca="false">X45*X52</f>
        <v>401.317792034052</v>
      </c>
    </row>
    <row r="52" customFormat="false" ht="15" hidden="false" customHeight="true" outlineLevel="0" collapsed="false">
      <c r="B52" s="28" t="s">
        <v>33</v>
      </c>
      <c r="C52" s="29"/>
      <c r="D52" s="29"/>
      <c r="E52" s="28" t="n">
        <f aca="false">E51/E45</f>
        <v>0.111499212382714</v>
      </c>
      <c r="F52" s="28" t="n">
        <f aca="false">F51/F45</f>
        <v>0.100651890482399</v>
      </c>
      <c r="G52" s="28" t="n">
        <f aca="false">G51/G45</f>
        <v>0.0966232831524021</v>
      </c>
      <c r="H52" s="28" t="n">
        <f aca="false">H51/H45</f>
        <v>0.0620574350904799</v>
      </c>
      <c r="I52" s="28" t="n">
        <f aca="false">I51/I45</f>
        <v>0.0191591271953167</v>
      </c>
      <c r="J52" s="28" t="n">
        <f aca="false">J51/J45</f>
        <v>0.111508220157255</v>
      </c>
      <c r="K52" s="28" t="n">
        <f aca="false">K51/K45</f>
        <v>0.556537102473498</v>
      </c>
      <c r="L52" s="28" t="n">
        <f aca="false">L51/L45</f>
        <v>0.0892139193123527</v>
      </c>
      <c r="M52" s="28" t="n">
        <f aca="false">M51/M45</f>
        <v>0.102343863735624</v>
      </c>
      <c r="N52" s="28" t="n">
        <f aca="false">N51/N45</f>
        <v>0.110911424903723</v>
      </c>
      <c r="O52" s="40" t="n">
        <f aca="false">'Sources &amp; Checks'!$B$14</f>
        <v>0.1</v>
      </c>
      <c r="P52" s="40" t="n">
        <f aca="false">'Sources &amp; Checks'!$B$14</f>
        <v>0.1</v>
      </c>
      <c r="Q52" s="40" t="n">
        <f aca="false">'Sources &amp; Checks'!$B$14</f>
        <v>0.1</v>
      </c>
      <c r="R52" s="40" t="n">
        <f aca="false">'Sources &amp; Checks'!$B$14</f>
        <v>0.1</v>
      </c>
      <c r="S52" s="40" t="n">
        <f aca="false">'Sources &amp; Checks'!$B$14</f>
        <v>0.1</v>
      </c>
      <c r="T52" s="40" t="n">
        <f aca="false">'Sources &amp; Checks'!$B$14</f>
        <v>0.1</v>
      </c>
      <c r="U52" s="40" t="n">
        <f aca="false">'Sources &amp; Checks'!$B$14</f>
        <v>0.1</v>
      </c>
      <c r="V52" s="40" t="n">
        <f aca="false">'Sources &amp; Checks'!$B$14</f>
        <v>0.1</v>
      </c>
      <c r="W52" s="40" t="n">
        <f aca="false">'Sources &amp; Checks'!$B$14</f>
        <v>0.1</v>
      </c>
      <c r="X52" s="40" t="n">
        <f aca="false">'Sources &amp; Checks'!$B$14</f>
        <v>0.1</v>
      </c>
    </row>
    <row r="54" customFormat="false" ht="15.75" hidden="false" customHeight="true" outlineLevel="0" collapsed="false">
      <c r="A54" s="41" t="s">
        <v>10</v>
      </c>
      <c r="B54" s="42" t="s">
        <v>44</v>
      </c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4" t="n">
        <f aca="false">O45-O51</f>
        <v>2358.240562377</v>
      </c>
      <c r="P54" s="44" t="n">
        <f aca="false">P45-P51</f>
        <v>2552.71680075436</v>
      </c>
      <c r="Q54" s="44" t="n">
        <f aca="false">Q45-Q51</f>
        <v>2741.7029345702</v>
      </c>
      <c r="R54" s="44" t="n">
        <f aca="false">R45-R51</f>
        <v>2921.55864707801</v>
      </c>
      <c r="S54" s="44" t="n">
        <f aca="false">S45-S51</f>
        <v>3088.57441640264</v>
      </c>
      <c r="T54" s="44" t="n">
        <f aca="false">T45-T51</f>
        <v>3239.09094296199</v>
      </c>
      <c r="U54" s="44" t="n">
        <f aca="false">U45-U51</f>
        <v>3369.62630796336</v>
      </c>
      <c r="V54" s="44" t="n">
        <f aca="false">V45-V51</f>
        <v>3477.00506631046</v>
      </c>
      <c r="W54" s="44" t="n">
        <f aca="false">W45-W51</f>
        <v>3558.482885031</v>
      </c>
      <c r="X54" s="44" t="n">
        <f aca="false">X45-X51</f>
        <v>3611.86012830646</v>
      </c>
      <c r="Y54" s="45" t="n">
        <f aca="false">X54*(1+Y40)</f>
        <v>3666.03803023106</v>
      </c>
    </row>
    <row r="55" customFormat="false" ht="15.75" hidden="false" customHeight="true" outlineLevel="0" collapsed="false"/>
    <row r="56" customFormat="false" ht="15" hidden="false" customHeight="true" outlineLevel="0" collapsed="false">
      <c r="B56" s="25" t="s">
        <v>35</v>
      </c>
      <c r="E56" s="26" t="n">
        <f aca="false">E28</f>
        <v>427.3</v>
      </c>
      <c r="F56" s="26" t="n">
        <f aca="false">F28</f>
        <v>497.5</v>
      </c>
      <c r="G56" s="26" t="n">
        <f aca="false">G28</f>
        <v>561</v>
      </c>
      <c r="H56" s="26" t="n">
        <f aca="false">H28</f>
        <v>640.5</v>
      </c>
      <c r="I56" s="26" t="n">
        <f aca="false">I28</f>
        <v>748.7</v>
      </c>
      <c r="J56" s="26" t="n">
        <f aca="false">J28</f>
        <v>571</v>
      </c>
      <c r="K56" s="26" t="n">
        <f aca="false">K28</f>
        <v>719.4</v>
      </c>
      <c r="L56" s="26" t="n">
        <f aca="false">L28</f>
        <v>923.2</v>
      </c>
      <c r="M56" s="26" t="n">
        <f aca="false">M28</f>
        <v>1059.5</v>
      </c>
      <c r="N56" s="26" t="n">
        <f aca="false">N28</f>
        <v>1214.4</v>
      </c>
      <c r="O56" s="26" t="n">
        <f aca="false">O57*O39</f>
        <v>1224.921701325</v>
      </c>
      <c r="P56" s="26" t="n">
        <f aca="false">P57*P39</f>
        <v>1325.93691096094</v>
      </c>
      <c r="Q56" s="26" t="n">
        <f aca="false">Q57*Q39</f>
        <v>1424.10044026908</v>
      </c>
      <c r="R56" s="26" t="n">
        <f aca="false">R57*R39</f>
        <v>1517.52142915073</v>
      </c>
      <c r="S56" s="26" t="n">
        <f aca="false">S57*S39</f>
        <v>1604.27307085051</v>
      </c>
      <c r="T56" s="26" t="n">
        <f aca="false">T57*T39</f>
        <v>1682.45464516996</v>
      </c>
      <c r="U56" s="26" t="n">
        <f aca="false">U57*U39</f>
        <v>1750.25756737031</v>
      </c>
      <c r="V56" s="26" t="n">
        <f aca="false">V57*V39</f>
        <v>1806.03244185051</v>
      </c>
      <c r="W56" s="26" t="n">
        <f aca="false">W57*W39</f>
        <v>1848.35380207121</v>
      </c>
      <c r="X56" s="26" t="n">
        <f aca="false">X57*X39</f>
        <v>1876.07910910227</v>
      </c>
    </row>
    <row r="57" customFormat="false" ht="15" hidden="false" customHeight="true" outlineLevel="0" collapsed="false">
      <c r="B57" s="28" t="s">
        <v>31</v>
      </c>
      <c r="C57" s="31"/>
      <c r="E57" s="28" t="n">
        <f aca="false">E56/E20</f>
        <v>0.0653783775513327</v>
      </c>
      <c r="F57" s="28" t="n">
        <f aca="false">F56/F20</f>
        <v>0.0748367881103523</v>
      </c>
      <c r="G57" s="28" t="n">
        <f aca="false">G56/G20</f>
        <v>0.078450566354356</v>
      </c>
      <c r="H57" s="28" t="n">
        <f aca="false">H56/H20</f>
        <v>0.083209915036246</v>
      </c>
      <c r="I57" s="28" t="n">
        <f aca="false">I56/I20</f>
        <v>0.0881362716014503</v>
      </c>
      <c r="J57" s="28" t="n">
        <f aca="false">J56/J20</f>
        <v>0.349064677833476</v>
      </c>
      <c r="K57" s="28" t="n">
        <f aca="false">K56/K20</f>
        <v>0.149846903705555</v>
      </c>
      <c r="L57" s="28" t="n">
        <f aca="false">L56/L20</f>
        <v>0.0856782240700869</v>
      </c>
      <c r="M57" s="28" t="n">
        <f aca="false">M56/M20</f>
        <v>0.0788095627724304</v>
      </c>
      <c r="N57" s="28" t="n">
        <f aca="false">N56/N20</f>
        <v>0.0870631250672115</v>
      </c>
      <c r="O57" s="40" t="n">
        <f aca="false">'Sources &amp; Checks'!$B$21</f>
        <v>0.0805</v>
      </c>
      <c r="P57" s="40" t="n">
        <f aca="false">'Sources &amp; Checks'!$B$21</f>
        <v>0.0805</v>
      </c>
      <c r="Q57" s="40" t="n">
        <f aca="false">'Sources &amp; Checks'!$B$21</f>
        <v>0.0805</v>
      </c>
      <c r="R57" s="40" t="n">
        <f aca="false">'Sources &amp; Checks'!$B$21</f>
        <v>0.0805</v>
      </c>
      <c r="S57" s="40" t="n">
        <f aca="false">'Sources &amp; Checks'!$B$21</f>
        <v>0.0805</v>
      </c>
      <c r="T57" s="40" t="n">
        <f aca="false">'Sources &amp; Checks'!$B$21</f>
        <v>0.0805</v>
      </c>
      <c r="U57" s="40" t="n">
        <f aca="false">'Sources &amp; Checks'!$B$21</f>
        <v>0.0805</v>
      </c>
      <c r="V57" s="40" t="n">
        <f aca="false">'Sources &amp; Checks'!$B$21</f>
        <v>0.0805</v>
      </c>
      <c r="W57" s="40" t="n">
        <f aca="false">'Sources &amp; Checks'!$B$21</f>
        <v>0.0805</v>
      </c>
      <c r="X57" s="40" t="n">
        <f aca="false">'Sources &amp; Checks'!$B$21</f>
        <v>0.0805</v>
      </c>
    </row>
    <row r="58" customFormat="false" ht="15" hidden="false" customHeight="true" outlineLevel="0" collapsed="false">
      <c r="C58" s="31"/>
    </row>
    <row r="59" customFormat="false" ht="15" hidden="false" customHeight="true" outlineLevel="0" collapsed="false">
      <c r="B59" s="25" t="s">
        <v>36</v>
      </c>
      <c r="E59" s="26" t="n">
        <f aca="false">E31</f>
        <v>1217.7</v>
      </c>
      <c r="F59" s="26" t="n">
        <f aca="false">F31</f>
        <v>1449.8</v>
      </c>
      <c r="G59" s="26" t="n">
        <f aca="false">G31</f>
        <v>1470.6</v>
      </c>
      <c r="H59" s="26" t="n">
        <f aca="false">H31</f>
        <v>1546.7</v>
      </c>
      <c r="I59" s="26" t="n">
        <f aca="false">I31</f>
        <v>578.8</v>
      </c>
      <c r="J59" s="26" t="n">
        <f aca="false">J31</f>
        <v>294.7</v>
      </c>
      <c r="K59" s="26" t="n">
        <f aca="false">K31</f>
        <v>1181.6</v>
      </c>
      <c r="L59" s="26" t="n">
        <f aca="false">L31</f>
        <v>1914.7</v>
      </c>
      <c r="M59" s="26" t="n">
        <f aca="false">M31</f>
        <v>2391.9</v>
      </c>
      <c r="N59" s="26" t="n">
        <f aca="false">N31</f>
        <v>1552.5</v>
      </c>
      <c r="O59" s="26" t="n">
        <f aca="false">O60*O39</f>
        <v>2781.56132922</v>
      </c>
      <c r="P59" s="26" t="n">
        <f aca="false">P60*P39</f>
        <v>2954.42115258707</v>
      </c>
      <c r="Q59" s="26" t="n">
        <f aca="false">Q60*Q39</f>
        <v>3103.95479522757</v>
      </c>
      <c r="R59" s="26" t="n">
        <f aca="false">R60*R39</f>
        <v>3222.77011796383</v>
      </c>
      <c r="S59" s="26" t="n">
        <f aca="false">S60*S39</f>
        <v>3302.7957530548</v>
      </c>
      <c r="T59" s="26" t="n">
        <f aca="false">T60*T39</f>
        <v>3335.15041883282</v>
      </c>
      <c r="U59" s="26" t="n">
        <f aca="false">U60*U39</f>
        <v>3309.83834871397</v>
      </c>
      <c r="V59" s="26" t="n">
        <f aca="false">V60*V39</f>
        <v>3215.12601226459</v>
      </c>
      <c r="W59" s="26" t="n">
        <f aca="false">W60*W39</f>
        <v>3036.32396790174</v>
      </c>
      <c r="X59" s="26" t="n">
        <f aca="false">X60*X39</f>
        <v>2753.406201529</v>
      </c>
    </row>
    <row r="60" customFormat="false" ht="15" hidden="false" customHeight="true" outlineLevel="0" collapsed="false">
      <c r="B60" s="28" t="s">
        <v>31</v>
      </c>
      <c r="C60" s="29"/>
      <c r="E60" s="28" t="n">
        <f aca="false">E59/E20</f>
        <v>0.186312310658221</v>
      </c>
      <c r="F60" s="28" t="n">
        <f aca="false">F59/F20</f>
        <v>0.21808718673847</v>
      </c>
      <c r="G60" s="28" t="n">
        <f aca="false">G59/G20</f>
        <v>0.205649559502168</v>
      </c>
      <c r="H60" s="28" t="n">
        <f aca="false">H59/H20</f>
        <v>0.200937979057864</v>
      </c>
      <c r="I60" s="28" t="n">
        <f aca="false">I59/I20</f>
        <v>0.0681358007251495</v>
      </c>
      <c r="J60" s="28" t="n">
        <f aca="false">J59/J20</f>
        <v>0.180156498349431</v>
      </c>
      <c r="K60" s="28" t="n">
        <f aca="false">K59/K20</f>
        <v>0.246120519069341</v>
      </c>
      <c r="L60" s="28" t="n">
        <f aca="false">L59/L20</f>
        <v>0.177695077585567</v>
      </c>
      <c r="M60" s="28" t="n">
        <f aca="false">M59/M20</f>
        <v>0.177918445677561</v>
      </c>
      <c r="N60" s="28" t="n">
        <f aca="false">N59/N20</f>
        <v>0.111302290568878</v>
      </c>
      <c r="O60" s="40" t="n">
        <f aca="false">'Sources &amp; Checks'!$B$22</f>
        <v>0.1828</v>
      </c>
      <c r="P60" s="46" t="n">
        <f aca="false">P57+P64*P46*(1-P52)-P63</f>
        <v>0.179368189253362</v>
      </c>
      <c r="Q60" s="46" t="n">
        <f aca="false">Q57+Q64*Q46*(1-Q52)-Q63</f>
        <v>0.175456978981488</v>
      </c>
      <c r="R60" s="46" t="n">
        <f aca="false">R57+R64*R46*(1-R52)-R63</f>
        <v>0.170958372984083</v>
      </c>
      <c r="S60" s="46" t="n">
        <f aca="false">S57+S64*S46*(1-S52)-S63</f>
        <v>0.165729303166547</v>
      </c>
      <c r="T60" s="46" t="n">
        <f aca="false">T57+T64*T46*(1-T52)-T63</f>
        <v>0.159576134481129</v>
      </c>
      <c r="U60" s="46" t="n">
        <f aca="false">U57+U64*U46*(1-U52)-U63</f>
        <v>0.15223015859991</v>
      </c>
      <c r="V60" s="46" t="n">
        <f aca="false">V57+V64*V46*(1-V52)-V63</f>
        <v>0.143307306109135</v>
      </c>
      <c r="W60" s="46" t="n">
        <f aca="false">W57+W64*W46*(1-W52)-W63</f>
        <v>0.132238794944018</v>
      </c>
      <c r="X60" s="46" t="n">
        <f aca="false">X57+X64*X46*(1-X52)-X63</f>
        <v>0.118144910919639</v>
      </c>
    </row>
    <row r="62" customFormat="false" ht="15" hidden="false" customHeight="true" outlineLevel="0" collapsed="false">
      <c r="B62" s="25" t="s">
        <v>37</v>
      </c>
      <c r="E62" s="26" t="n">
        <f aca="false">E34</f>
        <v>-135.6</v>
      </c>
      <c r="F62" s="26" t="n">
        <f aca="false">F34</f>
        <v>-113.1</v>
      </c>
      <c r="G62" s="26" t="n">
        <f aca="false">G34</f>
        <v>-168.9</v>
      </c>
      <c r="H62" s="26" t="n">
        <f aca="false">H34</f>
        <v>-514.3</v>
      </c>
      <c r="I62" s="26" t="n">
        <f aca="false">I34</f>
        <v>388.5</v>
      </c>
      <c r="J62" s="26" t="n">
        <f aca="false">J34</f>
        <v>1703.2</v>
      </c>
      <c r="K62" s="26" t="n">
        <f aca="false">K34</f>
        <v>-1785.9</v>
      </c>
      <c r="L62" s="26" t="n">
        <f aca="false">L34</f>
        <v>-1353.9</v>
      </c>
      <c r="M62" s="26" t="n">
        <f aca="false">M34</f>
        <v>-19</v>
      </c>
      <c r="N62" s="26" t="n">
        <f aca="false">N34</f>
        <v>-480.3</v>
      </c>
      <c r="O62" s="26" t="n">
        <f aca="false">O63*O39</f>
        <v>-436.711215255</v>
      </c>
      <c r="P62" s="26" t="n">
        <f aca="false">P63*P39</f>
        <v>-456.867035529522</v>
      </c>
      <c r="Q62" s="26" t="n">
        <f aca="false">Q63*Q39</f>
        <v>-471.278787754728</v>
      </c>
      <c r="R62" s="26" t="n">
        <f aca="false">R63*R39</f>
        <v>-478.403102335641</v>
      </c>
      <c r="S62" s="26" t="n">
        <f aca="false">S63*S39</f>
        <v>-476.516138604723</v>
      </c>
      <c r="T62" s="26" t="n">
        <f aca="false">T63*T39</f>
        <v>-463.659518124379</v>
      </c>
      <c r="U62" s="26" t="n">
        <f aca="false">U63*U39</f>
        <v>-437.536348236198</v>
      </c>
      <c r="V62" s="26" t="n">
        <f aca="false">V63*V39</f>
        <v>-395.317551035036</v>
      </c>
      <c r="W62" s="26" t="n">
        <f aca="false">W63*W39</f>
        <v>-333.281952681686</v>
      </c>
      <c r="X62" s="26" t="n">
        <f aca="false">X63*X39</f>
        <v>-246.131843134379</v>
      </c>
    </row>
    <row r="63" customFormat="false" ht="15" hidden="false" customHeight="true" outlineLevel="0" collapsed="false">
      <c r="B63" s="28" t="s">
        <v>31</v>
      </c>
      <c r="C63" s="31"/>
      <c r="E63" s="28" t="n">
        <f aca="false">E62/E20</f>
        <v>-0.0207472688882769</v>
      </c>
      <c r="F63" s="28" t="n">
        <f aca="false">F62/F20</f>
        <v>-0.0170131472065947</v>
      </c>
      <c r="G63" s="28" t="n">
        <f aca="false">G62/G20</f>
        <v>-0.0236190742553489</v>
      </c>
      <c r="H63" s="28" t="n">
        <f aca="false">H62/H20</f>
        <v>-0.0668147686231715</v>
      </c>
      <c r="I63" s="28" t="n">
        <f aca="false">I62/I20</f>
        <v>0.0457338607147902</v>
      </c>
      <c r="J63" s="28" t="n">
        <f aca="false">J62/J20</f>
        <v>1.04120308106125</v>
      </c>
      <c r="K63" s="28" t="n">
        <f aca="false">K62/K20</f>
        <v>-0.37199275135912</v>
      </c>
      <c r="L63" s="28" t="n">
        <f aca="false">L62/L20</f>
        <v>-0.125649639913876</v>
      </c>
      <c r="M63" s="28" t="n">
        <f aca="false">M62/M20</f>
        <v>-0.00141329088501763</v>
      </c>
      <c r="N63" s="28" t="n">
        <f aca="false">N62/N20</f>
        <v>-0.0344338100871061</v>
      </c>
      <c r="O63" s="40" t="n">
        <f aca="false">'Sources &amp; Checks'!$B$23</f>
        <v>-0.0287</v>
      </c>
      <c r="P63" s="46" t="n">
        <f aca="false">P64*P46*(1-P52)*'Sources &amp; Checks'!$B$23/('Sources &amp; Checks'!$B$22-'Sources &amp; Checks'!$B$21+'Sources &amp; Checks'!$B$23)</f>
        <v>-0.0277372143848631</v>
      </c>
      <c r="Q63" s="46" t="n">
        <f aca="false">Q64*Q46*(1-Q52)*'Sources &amp; Checks'!$B$23/('Sources &amp; Checks'!$B$22-'Sources &amp; Checks'!$B$21+'Sources &amp; Checks'!$B$23)</f>
        <v>-0.0266399344747674</v>
      </c>
      <c r="R63" s="46" t="n">
        <f aca="false">R64*R46*(1-R52)*'Sources &amp; Checks'!$B$23/('Sources &amp; Checks'!$B$22-'Sources &amp; Checks'!$B$21+'Sources &amp; Checks'!$B$23)</f>
        <v>-0.0253778622154758</v>
      </c>
      <c r="S63" s="46" t="n">
        <f aca="false">S64*S46*(1-S52)*'Sources &amp; Checks'!$B$23/('Sources &amp; Checks'!$B$22-'Sources &amp; Checks'!$B$21+'Sources &amp; Checks'!$B$23)</f>
        <v>-0.0239108602236549</v>
      </c>
      <c r="T63" s="46" t="n">
        <f aca="false">T64*T46*(1-T52)*'Sources &amp; Checks'!$B$23/('Sources &amp; Checks'!$B$22-'Sources &amp; Checks'!$B$21+'Sources &amp; Checks'!$B$23)</f>
        <v>-0.0221846046882542</v>
      </c>
      <c r="U63" s="46" t="n">
        <f aca="false">U64*U46*(1-U52)*'Sources &amp; Checks'!$B$23/('Sources &amp; Checks'!$B$22-'Sources &amp; Checks'!$B$21+'Sources &amp; Checks'!$B$23)</f>
        <v>-0.0201237101839434</v>
      </c>
      <c r="V63" s="46" t="n">
        <f aca="false">V64*V46*(1-V52)*'Sources &amp; Checks'!$B$23/('Sources &amp; Checks'!$B$22-'Sources &amp; Checks'!$B$21+'Sources &amp; Checks'!$B$23)</f>
        <v>-0.0176204270315951</v>
      </c>
      <c r="W63" s="46" t="n">
        <f aca="false">W64*W46*(1-W52)*'Sources &amp; Checks'!$B$23/('Sources &amp; Checks'!$B$22-'Sources &amp; Checks'!$B$21+'Sources &amp; Checks'!$B$23)</f>
        <v>-0.0145151848963179</v>
      </c>
      <c r="X63" s="46" t="n">
        <f aca="false">X64*X46*(1-X52)*'Sources &amp; Checks'!$B$23/('Sources &amp; Checks'!$B$22-'Sources &amp; Checks'!$B$21+'Sources &amp; Checks'!$B$23)</f>
        <v>-0.0105611822423621</v>
      </c>
    </row>
    <row r="64" customFormat="false" ht="15" hidden="false" customHeight="true" outlineLevel="0" collapsed="false">
      <c r="B64" s="28" t="s">
        <v>45</v>
      </c>
      <c r="O64" s="46" t="n">
        <f aca="false">O40/O65</f>
        <v>0.474899987095109</v>
      </c>
      <c r="P64" s="46" t="n">
        <f aca="false">P40/P65</f>
        <v>0.458968737053162</v>
      </c>
      <c r="Q64" s="46" t="n">
        <f aca="false">Q40/Q65</f>
        <v>0.440812004818174</v>
      </c>
      <c r="R64" s="46" t="n">
        <f aca="false">R40/R65</f>
        <v>0.419928447339056</v>
      </c>
      <c r="S64" s="46" t="n">
        <f aca="false">S40/S65</f>
        <v>0.395653909813473</v>
      </c>
      <c r="T64" s="46" t="n">
        <f aca="false">T40/T65</f>
        <v>0.3670894940823</v>
      </c>
      <c r="U64" s="46" t="n">
        <f aca="false">U40/U65</f>
        <v>0.332987794657159</v>
      </c>
      <c r="V64" s="46" t="n">
        <f aca="false">V40/V65</f>
        <v>0.291565873516196</v>
      </c>
      <c r="W64" s="46" t="n">
        <f aca="false">W40/W65</f>
        <v>0.24018331428378</v>
      </c>
      <c r="X64" s="46" t="n">
        <f aca="false">X40/X65</f>
        <v>0.174756282599542</v>
      </c>
      <c r="Y64" s="46" t="n">
        <f aca="false">Y40/Y65</f>
        <v>0.174756282599543</v>
      </c>
    </row>
    <row r="65" customFormat="false" ht="15" hidden="false" customHeight="true" outlineLevel="0" collapsed="false">
      <c r="B65" s="28" t="s">
        <v>46</v>
      </c>
      <c r="O65" s="46" t="n">
        <f aca="false">O40/(('Sources &amp; Checks'!$B$22-'Sources &amp; Checks'!$B$21+'Sources &amp; Checks'!$B$23)/(O46*(1-O52)))</f>
        <v>0.191408722826087</v>
      </c>
      <c r="P65" s="46" t="n">
        <f aca="false">O65-($O$65-$D$16)/$D$18</f>
        <v>0.179678178509824</v>
      </c>
      <c r="Q65" s="46" t="n">
        <f aca="false">P65-($O$65-$D$16)/$D$18</f>
        <v>0.167947634193562</v>
      </c>
      <c r="R65" s="46" t="n">
        <f aca="false">Q65-($O$65-$D$16)/$D$18</f>
        <v>0.156217089877299</v>
      </c>
      <c r="S65" s="46" t="n">
        <f aca="false">R65-($O$65-$D$16)/$D$18</f>
        <v>0.144486545561037</v>
      </c>
      <c r="T65" s="46" t="n">
        <f aca="false">S65-($O$65-$D$16)/$D$18</f>
        <v>0.132756001244774</v>
      </c>
      <c r="U65" s="46" t="n">
        <f aca="false">T65-($O$65-$D$16)/$D$18</f>
        <v>0.121025456928512</v>
      </c>
      <c r="V65" s="46" t="n">
        <f aca="false">U65-($O$65-$D$16)/$D$18</f>
        <v>0.109294912612249</v>
      </c>
      <c r="W65" s="46" t="n">
        <f aca="false">V65-($O$65-$D$16)/$D$18</f>
        <v>0.0975643682959863</v>
      </c>
      <c r="X65" s="46" t="n">
        <f aca="false">W65-($O$65-$D$16)/$D$18</f>
        <v>0.0858338239797238</v>
      </c>
      <c r="Y65" s="46" t="n">
        <f aca="false">$D$16</f>
        <v>0.0858338239797238</v>
      </c>
    </row>
    <row r="66" customFormat="false" ht="15" hidden="false" customHeight="true" outlineLevel="0" collapsed="false">
      <c r="A66" s="41" t="s">
        <v>10</v>
      </c>
      <c r="B66" s="47" t="s">
        <v>47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9" t="n">
        <f aca="false">O54+O56-O59-O62</f>
        <v>1238.312149737</v>
      </c>
      <c r="P66" s="49" t="n">
        <f aca="false">P54+P56-P59-P62</f>
        <v>1381.09959465774</v>
      </c>
      <c r="Q66" s="49" t="n">
        <f aca="false">Q54+Q56-Q59-Q62</f>
        <v>1533.12736736644</v>
      </c>
      <c r="R66" s="49" t="n">
        <f aca="false">R54+R56-R59-R62</f>
        <v>1694.71306060055</v>
      </c>
      <c r="S66" s="49" t="n">
        <f aca="false">S54+S56-S59-S62</f>
        <v>1866.56787280307</v>
      </c>
      <c r="T66" s="49" t="n">
        <f aca="false">T54+T56-T59-T62</f>
        <v>2050.05468742351</v>
      </c>
      <c r="U66" s="49" t="n">
        <f aca="false">U54+U56-U59-U62</f>
        <v>2247.5818748559</v>
      </c>
      <c r="V66" s="49" t="n">
        <f aca="false">V54+V56-V59-V62</f>
        <v>2463.22904693141</v>
      </c>
      <c r="W66" s="49" t="n">
        <f aca="false">W54+W56-W59-W62</f>
        <v>2703.79467188215</v>
      </c>
      <c r="X66" s="49" t="n">
        <f aca="false">X54+X56-X59-X62</f>
        <v>2980.66487901412</v>
      </c>
      <c r="Y66" s="50" t="n">
        <f aca="false">Y54*(1-Y64)</f>
        <v>3025.37485219933</v>
      </c>
    </row>
    <row r="67" customFormat="false" ht="15" hidden="false" customHeight="true" outlineLevel="0" collapsed="false">
      <c r="B67" s="51" t="s">
        <v>48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52" t="n">
        <f aca="false">O66/(1+$D$16)^O71</f>
        <v>1234.77648581277</v>
      </c>
      <c r="P67" s="52" t="n">
        <f aca="false">P66/(1+$D$16)^P71</f>
        <v>1317.83108592208</v>
      </c>
      <c r="Q67" s="52" t="n">
        <f aca="false">Q66/(1+$D$16)^Q71</f>
        <v>1347.25442976329</v>
      </c>
      <c r="R67" s="52" t="n">
        <f aca="false">R66/(1+$D$16)^R71</f>
        <v>1371.52647263431</v>
      </c>
      <c r="S67" s="52" t="n">
        <f aca="false">S66/(1+$D$16)^S71</f>
        <v>1391.19637949855</v>
      </c>
      <c r="T67" s="52" t="n">
        <f aca="false">T66/(1+$D$16)^T71</f>
        <v>1407.17053518776</v>
      </c>
      <c r="U67" s="52" t="n">
        <f aca="false">U66/(1+$D$16)^U71</f>
        <v>1420.8016134064</v>
      </c>
      <c r="V67" s="52" t="n">
        <f aca="false">V66/(1+$D$16)^V71</f>
        <v>1434.03368124411</v>
      </c>
      <c r="W67" s="52" t="n">
        <f aca="false">W66/(1+$D$16)^W71</f>
        <v>1449.65579680217</v>
      </c>
      <c r="X67" s="52" t="n">
        <f aca="false">X66/(1+$D$16)^X71</f>
        <v>1471.77347997519</v>
      </c>
    </row>
    <row r="70" customFormat="false" ht="15" hidden="false" customHeight="true" outlineLevel="0" collapsed="false">
      <c r="A70" s="13" t="s">
        <v>10</v>
      </c>
      <c r="B70" s="53" t="s">
        <v>49</v>
      </c>
      <c r="O70" s="54" t="n">
        <f aca="false">YEARFRAC(D6,D7)</f>
        <v>0.0694444444444445</v>
      </c>
    </row>
    <row r="71" customFormat="false" ht="15" hidden="false" customHeight="true" outlineLevel="0" collapsed="false">
      <c r="B71" s="55" t="s">
        <v>50</v>
      </c>
      <c r="O71" s="55" t="n">
        <f aca="false">O70/2</f>
        <v>0.0347222222222222</v>
      </c>
      <c r="P71" s="55" t="n">
        <f aca="false">O70+0.5</f>
        <v>0.569444444444444</v>
      </c>
      <c r="Q71" s="55" t="n">
        <f aca="false">P71+1</f>
        <v>1.56944444444444</v>
      </c>
      <c r="R71" s="55" t="n">
        <f aca="false">Q71+1</f>
        <v>2.56944444444444</v>
      </c>
      <c r="S71" s="55" t="n">
        <f aca="false">R71+1</f>
        <v>3.56944444444444</v>
      </c>
      <c r="T71" s="55" t="n">
        <f aca="false">S71+1</f>
        <v>4.56944444444445</v>
      </c>
      <c r="U71" s="55" t="n">
        <f aca="false">T71+1</f>
        <v>5.56944444444445</v>
      </c>
      <c r="V71" s="55" t="n">
        <f aca="false">U71+1</f>
        <v>6.56944444444445</v>
      </c>
      <c r="W71" s="55" t="n">
        <f aca="false">V71+1</f>
        <v>7.56944444444445</v>
      </c>
      <c r="X71" s="55" t="n">
        <f aca="false">W71+1</f>
        <v>8.56944444444445</v>
      </c>
    </row>
    <row r="73" customFormat="false" ht="15" hidden="false" customHeight="true" outlineLevel="0" collapsed="false">
      <c r="B73" s="26" t="s">
        <v>51</v>
      </c>
      <c r="S73" s="56"/>
      <c r="T73" s="56"/>
      <c r="U73" s="56"/>
      <c r="V73" s="56"/>
      <c r="W73" s="56"/>
      <c r="X73" s="57" t="n">
        <f aca="false">Y66/(D16-D17)</f>
        <v>42710.8785354486</v>
      </c>
    </row>
    <row r="74" customFormat="false" ht="15" hidden="false" customHeight="true" outlineLevel="0" collapsed="false">
      <c r="B74" s="26" t="s">
        <v>52</v>
      </c>
      <c r="S74" s="56"/>
      <c r="T74" s="56"/>
      <c r="U74" s="56"/>
      <c r="V74" s="56"/>
      <c r="W74" s="56"/>
      <c r="X74" s="26" t="n">
        <f aca="false">X73/(1+D16)^X71</f>
        <v>21089.5021367536</v>
      </c>
    </row>
    <row r="75" customFormat="false" ht="15" hidden="false" customHeight="true" outlineLevel="0" collapsed="false">
      <c r="B75" s="26" t="s">
        <v>53</v>
      </c>
      <c r="S75" s="26" t="n">
        <f aca="false">SUM(O67:X67)+X74</f>
        <v>34935.5220970003</v>
      </c>
      <c r="T75" s="56"/>
      <c r="U75" s="56"/>
      <c r="V75" s="56"/>
      <c r="W75" s="56"/>
      <c r="X75" s="56"/>
    </row>
    <row r="76" customFormat="false" ht="15" hidden="false" customHeight="true" outlineLevel="0" collapsed="false">
      <c r="B76" s="26" t="s">
        <v>54</v>
      </c>
      <c r="S76" s="26" t="n">
        <f aca="false">'Sources &amp; Checks'!$B$6</f>
        <v>2400</v>
      </c>
      <c r="T76" s="56"/>
      <c r="U76" s="56"/>
      <c r="V76" s="56"/>
      <c r="W76" s="56"/>
      <c r="X76" s="56"/>
    </row>
    <row r="77" customFormat="false" ht="15" hidden="false" customHeight="true" outlineLevel="0" collapsed="false">
      <c r="B77" s="26" t="s">
        <v>55</v>
      </c>
      <c r="S77" s="26" t="n">
        <f aca="false">'Sources &amp; Checks'!$B$7</f>
        <v>1500</v>
      </c>
    </row>
    <row r="78" customFormat="false" ht="15" hidden="false" customHeight="true" outlineLevel="0" collapsed="false">
      <c r="A78" s="41" t="s">
        <v>10</v>
      </c>
      <c r="B78" s="58" t="s">
        <v>56</v>
      </c>
      <c r="S78" s="26" t="n">
        <f aca="false">S75+S76-S77</f>
        <v>35835.5220970003</v>
      </c>
      <c r="T78" s="56"/>
      <c r="U78" s="56"/>
      <c r="V78" s="56"/>
      <c r="W78" s="56"/>
      <c r="X78" s="56"/>
    </row>
    <row r="80" customFormat="false" ht="15" hidden="false" customHeight="true" outlineLevel="0" collapsed="false">
      <c r="B80" s="59" t="s">
        <v>57</v>
      </c>
      <c r="S80" s="59" t="n">
        <f aca="false">'Sources &amp; Checks'!$B$9</f>
        <v>1066.8</v>
      </c>
    </row>
    <row r="81" customFormat="false" ht="15" hidden="false" customHeight="true" outlineLevel="0" collapsed="false">
      <c r="A81" s="60" t="s">
        <v>10</v>
      </c>
      <c r="B81" s="61" t="s">
        <v>58</v>
      </c>
      <c r="S81" s="62" t="n">
        <f aca="false">S78/S80</f>
        <v>33.5916030155608</v>
      </c>
      <c r="T81" s="63"/>
      <c r="U81" s="63"/>
      <c r="V81" s="63"/>
      <c r="W81" s="63"/>
      <c r="X81" s="63"/>
    </row>
    <row r="85" customFormat="false" ht="15" hidden="false" customHeight="true" outlineLevel="0" collapsed="false">
      <c r="A85" s="64"/>
      <c r="B85" s="65" t="s">
        <v>59</v>
      </c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</row>
    <row r="86" customFormat="false" ht="15" hidden="false" customHeight="true" outlineLevel="0" collapsed="false">
      <c r="B86" s="67" t="s">
        <v>60</v>
      </c>
      <c r="D86" s="67" t="s">
        <v>61</v>
      </c>
      <c r="F86" s="67" t="s">
        <v>62</v>
      </c>
      <c r="H86" s="67" t="s">
        <v>21</v>
      </c>
      <c r="J86" s="67" t="s">
        <v>23</v>
      </c>
      <c r="L86" s="67" t="s">
        <v>63</v>
      </c>
      <c r="N86" s="67" t="s">
        <v>64</v>
      </c>
    </row>
    <row r="87" customFormat="false" ht="15" hidden="false" customHeight="true" outlineLevel="0" collapsed="false">
      <c r="B87" s="68" t="s">
        <v>13</v>
      </c>
      <c r="D87" s="69" t="n">
        <f aca="false">$H$11</f>
        <v>0.07</v>
      </c>
      <c r="F87" s="70" t="n">
        <f aca="false">$H$13</f>
        <v>0.16</v>
      </c>
      <c r="H87" s="71" t="n">
        <f aca="false">H16</f>
        <v>0.092</v>
      </c>
      <c r="J87" s="70" t="n">
        <f aca="false">$H$17</f>
        <v>0.01</v>
      </c>
      <c r="L87" s="72" t="n">
        <f aca="false">Calc!$C$146</f>
        <v>26.4375141922439</v>
      </c>
      <c r="N87" s="73" t="n">
        <f aca="false">L87/'Sources &amp; Checks'!$B$5-1</f>
        <v>0.00945071371683337</v>
      </c>
    </row>
    <row r="88" customFormat="false" ht="15" hidden="false" customHeight="true" outlineLevel="0" collapsed="false">
      <c r="B88" s="74" t="s">
        <v>65</v>
      </c>
      <c r="D88" s="69" t="n">
        <f aca="false">$L$11</f>
        <v>0.0909</v>
      </c>
      <c r="F88" s="70" t="n">
        <f aca="false">$L$13</f>
        <v>0.1722</v>
      </c>
      <c r="H88" s="75" t="n">
        <f aca="false">WACC!F22</f>
        <v>0.0858338239797238</v>
      </c>
      <c r="J88" s="70" t="n">
        <f aca="false">$L$17</f>
        <v>0.015</v>
      </c>
      <c r="L88" s="72" t="n">
        <f aca="false">Calc!$C$165</f>
        <v>33.5916030155608</v>
      </c>
      <c r="N88" s="76" t="n">
        <f aca="false">L88/'Sources &amp; Checks'!$B$5-1</f>
        <v>0.282611798990485</v>
      </c>
    </row>
    <row r="89" customFormat="false" ht="15" hidden="false" customHeight="true" outlineLevel="0" collapsed="false">
      <c r="B89" s="68" t="s">
        <v>15</v>
      </c>
      <c r="D89" s="69" t="n">
        <f aca="false">$P$11</f>
        <v>0.11</v>
      </c>
      <c r="F89" s="70" t="n">
        <f aca="false">$P$13</f>
        <v>0.185</v>
      </c>
      <c r="H89" s="71" t="n">
        <f aca="false">P16</f>
        <v>0.082</v>
      </c>
      <c r="J89" s="70" t="n">
        <f aca="false">$P$17</f>
        <v>0.02</v>
      </c>
      <c r="L89" s="72" t="n">
        <f aca="false">Calc!$C$184</f>
        <v>41.5855436178172</v>
      </c>
      <c r="N89" s="73" t="n">
        <f aca="false">L89/'Sources &amp; Checks'!$B$5-1</f>
        <v>0.587840535235481</v>
      </c>
    </row>
    <row r="90" customFormat="false" ht="15" hidden="false" customHeight="true" outlineLevel="0" collapsed="false">
      <c r="B90" s="77" t="s">
        <v>66</v>
      </c>
    </row>
    <row r="91" customFormat="false" ht="15" hidden="false" customHeight="true" outlineLevel="0" collapsed="false">
      <c r="A91" s="64" t="s">
        <v>10</v>
      </c>
      <c r="B91" s="78" t="s">
        <v>67</v>
      </c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 customFormat="false" ht="15" hidden="false" customHeight="true" outlineLevel="0" collapsed="false">
      <c r="B92" s="67" t="s">
        <v>68</v>
      </c>
      <c r="D92" s="79" t="n">
        <v>0.005</v>
      </c>
      <c r="F92" s="79" t="n">
        <v>0.01</v>
      </c>
      <c r="H92" s="79" t="n">
        <v>0.015</v>
      </c>
      <c r="J92" s="79" t="n">
        <v>0.02</v>
      </c>
      <c r="L92" s="79" t="n">
        <v>0.025</v>
      </c>
    </row>
    <row r="93" customFormat="false" ht="15" hidden="false" customHeight="true" outlineLevel="0" collapsed="false">
      <c r="B93" s="80" t="n">
        <v>0.075</v>
      </c>
      <c r="D93" s="81" t="n">
        <f aca="false">(SUMPRODUCT(Calc!$F$236:$O$236/(1+$B93)^$O$71:$X$71)+(Calc!$O$232*(1+D$92)*(1-D$92/$B93)/($B93-D$92))/(1+$B93)^$X$71+'Sources &amp; Checks'!$B$6-'Sources &amp; Checks'!$B$7)/'Sources &amp; Checks'!$B$9</f>
        <v>38.2784301736277</v>
      </c>
      <c r="F93" s="81" t="n">
        <f aca="false">(SUMPRODUCT(Calc!$F$255:$O$255/(1+$B93)^$O$71:$X$71)+(Calc!$O$251*(1+F$92)*(1-F$92/$B93)/($B93-F$92))/(1+$B93)^$X$71+'Sources &amp; Checks'!$B$6-'Sources &amp; Checks'!$B$7)/'Sources &amp; Checks'!$B$9</f>
        <v>38.6593380809224</v>
      </c>
      <c r="H93" s="81" t="n">
        <f aca="false">(SUMPRODUCT(Calc!$F$274:$O$274/(1+$B93)^$O$71:$X$71)+(Calc!$O$270*(1+H$92)*(1-H$92/$B93)/($B93-H$92))/(1+$B93)^$X$71+'Sources &amp; Checks'!$B$6-'Sources &amp; Checks'!$B$7)/'Sources &amp; Checks'!$B$9</f>
        <v>39.0467735974241</v>
      </c>
      <c r="J93" s="81" t="n">
        <f aca="false">(SUMPRODUCT(Calc!$F$293:$O$293/(1+$B93)^$O$71:$X$71)+(Calc!$O$289*(1+J$92)*(1-J$92/$B93)/($B93-J$92))/(1+$B93)^$X$71+'Sources &amp; Checks'!$B$6-'Sources &amp; Checks'!$B$7)/'Sources &amp; Checks'!$B$9</f>
        <v>39.4408486749355</v>
      </c>
      <c r="L93" s="81" t="n">
        <f aca="false">(SUMPRODUCT(Calc!$F$312:$O$312/(1+$B93)^$O$71:$X$71)+(Calc!$O$308*(1+L$92)*(1-L$92/$B93)/($B93-L$92))/(1+$B93)^$X$71+'Sources &amp; Checks'!$B$6-'Sources &amp; Checks'!$B$7)/'Sources &amp; Checks'!$B$9</f>
        <v>39.8416769798573</v>
      </c>
    </row>
    <row r="94" customFormat="false" ht="15" hidden="false" customHeight="true" outlineLevel="0" collapsed="false">
      <c r="B94" s="80" t="n">
        <v>0.08</v>
      </c>
      <c r="D94" s="81" t="n">
        <f aca="false">(SUMPRODUCT(Calc!$F$236:$O$236/(1+$B94)^$O$71:$X$71)+(Calc!$O$232*(1+D$92)*(1-D$92/$B94)/($B94-D$92))/(1+$B94)^$X$71+'Sources &amp; Checks'!$B$6-'Sources &amp; Checks'!$B$7)/'Sources &amp; Checks'!$B$9</f>
        <v>35.6897057940509</v>
      </c>
      <c r="F94" s="81" t="n">
        <f aca="false">(SUMPRODUCT(Calc!$F$255:$O$255/(1+$B94)^$O$71:$X$71)+(Calc!$O$251*(1+F$92)*(1-F$92/$B94)/($B94-F$92))/(1+$B94)^$X$71+'Sources &amp; Checks'!$B$6-'Sources &amp; Checks'!$B$7)/'Sources &amp; Checks'!$B$9</f>
        <v>36.0107454270699</v>
      </c>
      <c r="H94" s="81" t="n">
        <f aca="false">(SUMPRODUCT(Calc!$F$274:$O$274/(1+$B94)^$O$71:$X$71)+(Calc!$O$270*(1+H$92)*(1-H$92/$B94)/($B94-H$92))/(1+$B94)^$X$71+'Sources &amp; Checks'!$B$6-'Sources &amp; Checks'!$B$7)/'Sources &amp; Checks'!$B$9</f>
        <v>36.3369229851344</v>
      </c>
      <c r="J94" s="81" t="n">
        <f aca="false">(SUMPRODUCT(Calc!$F$293:$O$293/(1+$B94)^$O$71:$X$71)+(Calc!$O$289*(1+J$92)*(1-J$92/$B94)/($B94-J$92))/(1+$B94)^$X$71+'Sources &amp; Checks'!$B$6-'Sources &amp; Checks'!$B$7)/'Sources &amp; Checks'!$B$9</f>
        <v>36.6683215064014</v>
      </c>
      <c r="L94" s="81" t="n">
        <f aca="false">(SUMPRODUCT(Calc!$F$312:$O$312/(1+$B94)^$O$71:$X$71)+(Calc!$O$308*(1+L$92)*(1-L$92/$B94)/($B94-L$92))/(1+$B94)^$X$71+'Sources &amp; Checks'!$B$6-'Sources &amp; Checks'!$B$7)/'Sources &amp; Checks'!$B$9</f>
        <v>37.0050252282434</v>
      </c>
    </row>
    <row r="95" customFormat="false" ht="15" hidden="false" customHeight="true" outlineLevel="0" collapsed="false">
      <c r="B95" s="80" t="n">
        <v>0.085</v>
      </c>
      <c r="D95" s="81" t="n">
        <f aca="false">(SUMPRODUCT(Calc!$F$236:$O$236/(1+$B95)^$O$71:$X$71)+(Calc!$O$232*(1+D$92)*(1-D$92/$B95)/($B95-D$92))/(1+$B95)^$X$71+'Sources &amp; Checks'!$B$6-'Sources &amp; Checks'!$B$7)/'Sources &amp; Checks'!$B$9</f>
        <v>33.4159528119003</v>
      </c>
      <c r="F95" s="81" t="n">
        <f aca="false">(SUMPRODUCT(Calc!$F$255:$O$255/(1+$B95)^$O$71:$X$71)+(Calc!$O$251*(1+F$92)*(1-F$92/$B95)/($B95-F$92))/(1+$B95)^$X$71+'Sources &amp; Checks'!$B$6-'Sources &amp; Checks'!$B$7)/'Sources &amp; Checks'!$B$9</f>
        <v>33.685884770022</v>
      </c>
      <c r="H95" s="81" t="n">
        <f aca="false">(SUMPRODUCT(Calc!$F$274:$O$274/(1+$B95)^$O$71:$X$71)+(Calc!$O$270*(1+H$92)*(1-H$92/$B95)/($B95-H$92))/(1+$B95)^$X$71+'Sources &amp; Checks'!$B$6-'Sources &amp; Checks'!$B$7)/'Sources &amp; Checks'!$B$9</f>
        <v>33.9597840143999</v>
      </c>
      <c r="J95" s="81" t="n">
        <f aca="false">(SUMPRODUCT(Calc!$F$293:$O$293/(1+$B95)^$O$71:$X$71)+(Calc!$O$289*(1+J$92)*(1-J$92/$B95)/($B95-J$92))/(1+$B95)^$X$71+'Sources &amp; Checks'!$B$6-'Sources &amp; Checks'!$B$7)/'Sources &amp; Checks'!$B$9</f>
        <v>34.2377094166212</v>
      </c>
      <c r="L95" s="81" t="n">
        <f aca="false">(SUMPRODUCT(Calc!$F$312:$O$312/(1+$B95)^$O$71:$X$71)+(Calc!$O$308*(1+L$92)*(1-L$92/$B95)/($B95-L$92))/(1+$B95)^$X$71+'Sources &amp; Checks'!$B$6-'Sources &amp; Checks'!$B$7)/'Sources &amp; Checks'!$B$9</f>
        <v>34.519720618999</v>
      </c>
    </row>
    <row r="96" customFormat="false" ht="15" hidden="false" customHeight="true" outlineLevel="0" collapsed="false">
      <c r="B96" s="82" t="n">
        <f aca="false">WACC!F22</f>
        <v>0.0858338239797238</v>
      </c>
      <c r="D96" s="81" t="n">
        <f aca="false">(SUMPRODUCT(Calc!$F$236:$O$236/(1+$B96)^$O$71:$X$71)+(Calc!$O$232*(1+D$92)*(1-D$92/$B96)/($B96-D$92))/(1+$B96)^$X$71+'Sources &amp; Checks'!$B$6-'Sources &amp; Checks'!$B$7)/'Sources &amp; Checks'!$B$9</f>
        <v>33.0635175108924</v>
      </c>
      <c r="F96" s="81" t="n">
        <f aca="false">(SUMPRODUCT(Calc!$F$255:$O$255/(1+$B96)^$O$71:$X$71)+(Calc!$O$251*(1+F$92)*(1-F$92/$B96)/($B96-F$92))/(1+$B96)^$X$71+'Sources &amp; Checks'!$B$6-'Sources &amp; Checks'!$B$7)/'Sources &amp; Checks'!$B$9</f>
        <v>33.3256650299845</v>
      </c>
      <c r="H96" s="81" t="n">
        <f aca="false">(SUMPRODUCT(Calc!$F$274:$O$274/(1+$B96)^$O$71:$X$71)+(Calc!$O$270*(1+H$92)*(1-H$92/$B96)/($B96-H$92))/(1+$B96)^$X$71+'Sources &amp; Checks'!$B$6-'Sources &amp; Checks'!$B$7)/'Sources &amp; Checks'!$B$9</f>
        <v>33.5916030155608</v>
      </c>
      <c r="J96" s="81" t="n">
        <f aca="false">(SUMPRODUCT(Calc!$F$293:$O$293/(1+$B96)^$O$71:$X$71)+(Calc!$O$289*(1+J$92)*(1-J$92/$B96)/($B96-J$92))/(1+$B96)^$X$71+'Sources &amp; Checks'!$B$6-'Sources &amp; Checks'!$B$7)/'Sources &amp; Checks'!$B$9</f>
        <v>33.8613867070532</v>
      </c>
      <c r="L96" s="81" t="n">
        <f aca="false">(SUMPRODUCT(Calc!$F$312:$O$312/(1+$B96)^$O$71:$X$71)+(Calc!$O$308*(1+L$92)*(1-L$92/$B96)/($B96-L$92))/(1+$B96)^$X$71+'Sources &amp; Checks'!$B$6-'Sources &amp; Checks'!$B$7)/'Sources &amp; Checks'!$B$9</f>
        <v>34.1350720504378</v>
      </c>
    </row>
    <row r="97" customFormat="false" ht="15" hidden="false" customHeight="true" outlineLevel="0" collapsed="false">
      <c r="B97" s="80" t="n">
        <v>0.09</v>
      </c>
      <c r="D97" s="81" t="n">
        <f aca="false">(SUMPRODUCT(Calc!$F$236:$O$236/(1+$B97)^$O$71:$X$71)+(Calc!$O$232*(1+D$92)*(1-D$92/$B97)/($B97-D$92))/(1+$B97)^$X$71+'Sources &amp; Checks'!$B$6-'Sources &amp; Checks'!$B$7)/'Sources &amp; Checks'!$B$9</f>
        <v>31.4042930581694</v>
      </c>
      <c r="F97" s="81" t="n">
        <f aca="false">(SUMPRODUCT(Calc!$F$255:$O$255/(1+$B97)^$O$71:$X$71)+(Calc!$O$251*(1+F$92)*(1-F$92/$B97)/($B97-F$92))/(1+$B97)^$X$71+'Sources &amp; Checks'!$B$6-'Sources &amp; Checks'!$B$7)/'Sources &amp; Checks'!$B$9</f>
        <v>31.6303346459118</v>
      </c>
      <c r="H97" s="81" t="n">
        <f aca="false">(SUMPRODUCT(Calc!$F$274:$O$274/(1+$B97)^$O$71:$X$71)+(Calc!$O$270*(1+H$92)*(1-H$92/$B97)/($B97-H$92))/(1+$B97)^$X$71+'Sources &amp; Checks'!$B$6-'Sources &amp; Checks'!$B$7)/'Sources &amp; Checks'!$B$9</f>
        <v>31.8593524813541</v>
      </c>
      <c r="J97" s="81" t="n">
        <f aca="false">(SUMPRODUCT(Calc!$F$293:$O$293/(1+$B97)^$O$71:$X$71)+(Calc!$O$289*(1+J$92)*(1-J$92/$B97)/($B97-J$92))/(1+$B97)^$X$71+'Sources &amp; Checks'!$B$6-'Sources &amp; Checks'!$B$7)/'Sources &amp; Checks'!$B$9</f>
        <v>32.0913851508558</v>
      </c>
      <c r="L97" s="81" t="n">
        <f aca="false">(SUMPRODUCT(Calc!$F$312:$O$312/(1+$B97)^$O$71:$X$71)+(Calc!$O$308*(1+L$92)*(1-L$92/$B97)/($B97-L$92))/(1+$B97)^$X$71+'Sources &amp; Checks'!$B$6-'Sources &amp; Checks'!$B$7)/'Sources &amp; Checks'!$B$9</f>
        <v>32.3264716539273</v>
      </c>
    </row>
    <row r="98" customFormat="false" ht="15" hidden="false" customHeight="true" outlineLevel="0" collapsed="false">
      <c r="B98" s="80" t="n">
        <v>0.095</v>
      </c>
      <c r="D98" s="81" t="n">
        <f aca="false">(SUMPRODUCT(Calc!$F$236:$O$236/(1+$B98)^$O$71:$X$71)+(Calc!$O$232*(1+D$92)*(1-D$92/$B98)/($B98-D$92))/(1+$B98)^$X$71+'Sources &amp; Checks'!$B$6-'Sources &amp; Checks'!$B$7)/'Sources &amp; Checks'!$B$9</f>
        <v>29.612996793055</v>
      </c>
      <c r="F98" s="81" t="n">
        <f aca="false">(SUMPRODUCT(Calc!$F$255:$O$255/(1+$B98)^$O$71:$X$71)+(Calc!$O$251*(1+F$92)*(1-F$92/$B98)/($B98-F$92))/(1+$B98)^$X$71+'Sources &amp; Checks'!$B$6-'Sources &amp; Checks'!$B$7)/'Sources &amp; Checks'!$B$9</f>
        <v>29.8011511969281</v>
      </c>
      <c r="H98" s="81" t="n">
        <f aca="false">(SUMPRODUCT(Calc!$F$274:$O$274/(1+$B98)^$O$71:$X$71)+(Calc!$O$270*(1+H$92)*(1-H$92/$B98)/($B98-H$92))/(1+$B98)^$X$71+'Sources &amp; Checks'!$B$6-'Sources &amp; Checks'!$B$7)/'Sources &amp; Checks'!$B$9</f>
        <v>29.9914394286398</v>
      </c>
      <c r="J98" s="81" t="n">
        <f aca="false">(SUMPRODUCT(Calc!$F$293:$O$293/(1+$B98)^$O$71:$X$71)+(Calc!$O$289*(1+J$92)*(1-J$92/$B98)/($B98-J$92))/(1+$B98)^$X$71+'Sources &amp; Checks'!$B$6-'Sources &amp; Checks'!$B$7)/'Sources &amp; Checks'!$B$9</f>
        <v>30.1838829913647</v>
      </c>
      <c r="L98" s="81" t="n">
        <f aca="false">(SUMPRODUCT(Calc!$F$312:$O$312/(1+$B98)^$O$71:$X$71)+(Calc!$O$308*(1+L$92)*(1-L$92/$B98)/($B98-L$92))/(1+$B98)^$X$71+'Sources &amp; Checks'!$B$6-'Sources &amp; Checks'!$B$7)/'Sources &amp; Checks'!$B$9</f>
        <v>30.3785035022367</v>
      </c>
    </row>
    <row r="99" customFormat="false" ht="15" hidden="false" customHeight="true" outlineLevel="0" collapsed="false">
      <c r="B99" s="80" t="n">
        <v>0.1</v>
      </c>
      <c r="D99" s="81" t="n">
        <f aca="false">(SUMPRODUCT(Calc!$F$236:$O$236/(1+$B99)^$O$71:$X$71)+(Calc!$O$232*(1+D$92)*(1-D$92/$B99)/($B99-D$92))/(1+$B99)^$X$71+'Sources &amp; Checks'!$B$6-'Sources &amp; Checks'!$B$7)/'Sources &amp; Checks'!$B$9</f>
        <v>28.0086948312934</v>
      </c>
      <c r="F99" s="81" t="n">
        <f aca="false">(SUMPRODUCT(Calc!$F$255:$O$255/(1+$B99)^$O$71:$X$71)+(Calc!$O$251*(1+F$92)*(1-F$92/$B99)/($B99-F$92))/(1+$B99)^$X$71+'Sources &amp; Checks'!$B$6-'Sources &amp; Checks'!$B$7)/'Sources &amp; Checks'!$B$9</f>
        <v>28.163997767929</v>
      </c>
      <c r="H99" s="81" t="n">
        <f aca="false">(SUMPRODUCT(Calc!$F$274:$O$274/(1+$B99)^$O$71:$X$71)+(Calc!$O$270*(1+H$92)*(1-H$92/$B99)/($B99-H$92))/(1+$B99)^$X$71+'Sources &amp; Checks'!$B$6-'Sources &amp; Checks'!$B$7)/'Sources &amp; Checks'!$B$9</f>
        <v>28.3207160883171</v>
      </c>
      <c r="J99" s="81" t="n">
        <f aca="false">(SUMPRODUCT(Calc!$F$293:$O$293/(1+$B99)^$O$71:$X$71)+(Calc!$O$289*(1+J$92)*(1-J$92/$B99)/($B99-J$92))/(1+$B99)^$X$71+'Sources &amp; Checks'!$B$6-'Sources &amp; Checks'!$B$7)/'Sources &amp; Checks'!$B$9</f>
        <v>28.4788568747706</v>
      </c>
      <c r="L99" s="81" t="n">
        <f aca="false">(SUMPRODUCT(Calc!$F$312:$O$312/(1+$B99)^$O$71:$X$71)+(Calc!$O$308*(1+L$92)*(1-L$92/$B99)/($B99-L$92))/(1+$B99)^$X$71+'Sources &amp; Checks'!$B$6-'Sources &amp; Checks'!$B$7)/'Sources &amp; Checks'!$B$9</f>
        <v>28.6384270728063</v>
      </c>
    </row>
    <row r="101" customFormat="false" ht="15" hidden="false" customHeight="true" outlineLevel="0" collapsed="false">
      <c r="B101" s="83" t="str">
        <f aca="false">"⬛ = base case (WACC "&amp;TEXT(WACC!$F$22,"0.00%")&amp;", TGR "&amp;TEXT(DCF!$L$17,"0.0%")&amp;"). Each TGR column uses its own growth path, fading to that rate by FY35. The WACC rows change discounting and terminal value only. Current price: €"&amp;TEXT('Sources &amp; Checks'!$B$5,"0.00")&amp;"."</f>
        <v>⬛ = base case (WACC 8.58%, TGR 1.5%). Each TGR column uses its own growth path, fading to that rate by FY35. The WACC rows change discounting and terminal value only. Current price: €26.19.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7"/>
    <col collapsed="false" customWidth="true" hidden="false" outlineLevel="0" max="5" min="4" style="1" width="15"/>
    <col collapsed="false" customWidth="true" hidden="false" outlineLevel="0" max="6" min="6" style="1" width="14"/>
    <col collapsed="false" customWidth="true" hidden="false" outlineLevel="0" max="7" min="7" style="1" width="3"/>
  </cols>
  <sheetData>
    <row r="1" customFormat="false" ht="15" hidden="false" customHeight="true" outlineLevel="0" collapsed="false">
      <c r="B1" s="84" t="s">
        <v>69</v>
      </c>
    </row>
    <row r="2" customFormat="false" ht="15" hidden="false" customHeight="true" outlineLevel="0" collapsed="false">
      <c r="B2" s="85" t="s">
        <v>70</v>
      </c>
    </row>
    <row r="4" customFormat="false" ht="15" hidden="false" customHeight="true" outlineLevel="0" collapsed="false">
      <c r="B4" s="86" t="s">
        <v>71</v>
      </c>
      <c r="C4" s="86"/>
      <c r="D4" s="86"/>
      <c r="E4" s="86"/>
      <c r="F4" s="86"/>
    </row>
    <row r="5" customFormat="false" ht="15" hidden="false" customHeight="true" outlineLevel="0" collapsed="false">
      <c r="B5" s="87" t="s">
        <v>72</v>
      </c>
      <c r="C5" s="88" t="s">
        <v>73</v>
      </c>
      <c r="D5" s="89" t="s">
        <v>74</v>
      </c>
      <c r="E5" s="89"/>
      <c r="F5" s="89"/>
    </row>
    <row r="6" customFormat="false" ht="15" hidden="false" customHeight="true" outlineLevel="0" collapsed="false">
      <c r="B6" s="90" t="s">
        <v>75</v>
      </c>
      <c r="C6" s="91" t="s">
        <v>76</v>
      </c>
      <c r="D6" s="91" t="s">
        <v>77</v>
      </c>
    </row>
    <row r="7" customFormat="false" ht="15" hidden="false" customHeight="true" outlineLevel="0" collapsed="false">
      <c r="B7" s="90" t="s">
        <v>78</v>
      </c>
      <c r="C7" s="91" t="s">
        <v>79</v>
      </c>
      <c r="D7" s="91" t="s">
        <v>80</v>
      </c>
    </row>
    <row r="8" customFormat="false" ht="15" hidden="false" customHeight="true" outlineLevel="0" collapsed="false">
      <c r="B8" s="90" t="s">
        <v>81</v>
      </c>
      <c r="C8" s="91" t="s">
        <v>82</v>
      </c>
      <c r="D8" s="91" t="s">
        <v>83</v>
      </c>
    </row>
    <row r="9" customFormat="false" ht="15" hidden="false" customHeight="true" outlineLevel="0" collapsed="false">
      <c r="B9" s="90" t="s">
        <v>84</v>
      </c>
      <c r="C9" s="91" t="s">
        <v>85</v>
      </c>
      <c r="D9" s="91" t="s">
        <v>86</v>
      </c>
    </row>
    <row r="11" customFormat="false" ht="15" hidden="false" customHeight="true" outlineLevel="0" collapsed="false">
      <c r="B11" s="86" t="s">
        <v>87</v>
      </c>
      <c r="C11" s="86"/>
      <c r="D11" s="86"/>
      <c r="E11" s="86"/>
      <c r="F11" s="86"/>
    </row>
    <row r="12" customFormat="false" ht="15" hidden="false" customHeight="true" outlineLevel="0" collapsed="false">
      <c r="B12" s="87"/>
      <c r="C12" s="88" t="s">
        <v>88</v>
      </c>
      <c r="D12" s="88" t="s">
        <v>89</v>
      </c>
      <c r="E12" s="88" t="s">
        <v>72</v>
      </c>
      <c r="F12" s="88"/>
    </row>
    <row r="13" customFormat="false" ht="15" hidden="false" customHeight="true" outlineLevel="0" collapsed="false">
      <c r="B13" s="91" t="s">
        <v>90</v>
      </c>
      <c r="C13" s="92" t="n">
        <f aca="false">WACC!$F$12</f>
        <v>1.01</v>
      </c>
      <c r="D13" s="92" t="n">
        <f aca="false">WACC!$F$14</f>
        <v>1.00666666666667</v>
      </c>
      <c r="E13" s="92" t="n">
        <f aca="false">D13-C13</f>
        <v>-0.00333333333333341</v>
      </c>
    </row>
    <row r="14" customFormat="false" ht="15" hidden="false" customHeight="true" outlineLevel="0" collapsed="false">
      <c r="B14" s="91" t="s">
        <v>91</v>
      </c>
      <c r="C14" s="93" t="n">
        <f aca="false">Calc!$C$13</f>
        <v>0.089243</v>
      </c>
      <c r="D14" s="93" t="n">
        <f aca="false">WACC!$F$10</f>
        <v>0.089043</v>
      </c>
      <c r="E14" s="94" t="n">
        <f aca="false">D14-C14</f>
        <v>-0.000200000000000006</v>
      </c>
    </row>
    <row r="15" customFormat="false" ht="15" hidden="false" customHeight="true" outlineLevel="0" collapsed="false">
      <c r="B15" s="91" t="s">
        <v>21</v>
      </c>
      <c r="C15" s="93" t="n">
        <f aca="false">Calc!$C$14</f>
        <v>0.0860234789737754</v>
      </c>
      <c r="D15" s="93" t="n">
        <f aca="false">WACC!$F$22</f>
        <v>0.0858338239797238</v>
      </c>
      <c r="E15" s="94" t="n">
        <f aca="false">D15-C15</f>
        <v>-0.00018965499405163</v>
      </c>
    </row>
    <row r="16" customFormat="false" ht="15" hidden="false" customHeight="true" outlineLevel="0" collapsed="false">
      <c r="B16" s="91" t="s">
        <v>92</v>
      </c>
      <c r="C16" s="95" t="n">
        <f aca="false">Calc!$F$19</f>
        <v>0.0909</v>
      </c>
      <c r="D16" s="95" t="n">
        <f aca="false">DCF!$O$40</f>
        <v>0.0909</v>
      </c>
      <c r="E16" s="94" t="n">
        <f aca="false">D16-C16</f>
        <v>0</v>
      </c>
    </row>
    <row r="17" customFormat="false" ht="15" hidden="false" customHeight="true" outlineLevel="0" collapsed="false">
      <c r="B17" s="91" t="s">
        <v>93</v>
      </c>
      <c r="C17" s="95" t="n">
        <f aca="false">Calc!$O$19</f>
        <v>0.0909</v>
      </c>
      <c r="D17" s="95" t="n">
        <f aca="false">DCF!$X$40</f>
        <v>0.015</v>
      </c>
      <c r="E17" s="94" t="n">
        <f aca="false">D17-C17</f>
        <v>-0.0759</v>
      </c>
    </row>
    <row r="18" customFormat="false" ht="15" hidden="false" customHeight="true" outlineLevel="0" collapsed="false">
      <c r="B18" s="91" t="s">
        <v>94</v>
      </c>
      <c r="C18" s="96" t="n">
        <f aca="false">Calc!$O$21</f>
        <v>5160.03420926302</v>
      </c>
      <c r="D18" s="96" t="n">
        <f aca="false">DCF!$X$54</f>
        <v>3611.86012830646</v>
      </c>
      <c r="E18" s="96" t="n">
        <f aca="false">D18-C18</f>
        <v>-1548.17408095656</v>
      </c>
    </row>
    <row r="19" customFormat="false" ht="15" hidden="false" customHeight="true" outlineLevel="0" collapsed="false">
      <c r="B19" s="91" t="s">
        <v>95</v>
      </c>
      <c r="C19" s="97" t="n">
        <f aca="false">Calc!$O$23</f>
        <v>0.474899987095109</v>
      </c>
      <c r="D19" s="97" t="n">
        <f aca="false">DCF!$X$64</f>
        <v>0.174756282599542</v>
      </c>
      <c r="E19" s="94" t="n">
        <f aca="false">D19-C19</f>
        <v>-0.300143704495567</v>
      </c>
    </row>
    <row r="20" customFormat="false" ht="15" hidden="false" customHeight="true" outlineLevel="0" collapsed="false">
      <c r="B20" s="91" t="s">
        <v>96</v>
      </c>
      <c r="C20" s="96" t="n">
        <f aca="false">Calc!$O$25</f>
        <v>2709.53402987369</v>
      </c>
      <c r="D20" s="96" t="n">
        <f aca="false">DCF!$X$66</f>
        <v>2980.66487901412</v>
      </c>
      <c r="E20" s="96" t="n">
        <f aca="false">D20-C20</f>
        <v>271.130849140427</v>
      </c>
    </row>
    <row r="21" customFormat="false" ht="15" hidden="false" customHeight="true" outlineLevel="0" collapsed="false">
      <c r="B21" s="91" t="s">
        <v>97</v>
      </c>
      <c r="C21" s="96" t="n">
        <f aca="false">Calc!$P$25</f>
        <v>2750.1770403218</v>
      </c>
      <c r="D21" s="96" t="n">
        <f aca="false">DCF!$Y$66</f>
        <v>3025.37485219933</v>
      </c>
      <c r="E21" s="96" t="n">
        <f aca="false">D21-C21</f>
        <v>275.197811877532</v>
      </c>
    </row>
    <row r="22" customFormat="false" ht="15" hidden="false" customHeight="true" outlineLevel="0" collapsed="false">
      <c r="B22" s="91" t="s">
        <v>98</v>
      </c>
      <c r="C22" s="97" t="n">
        <f aca="false">Calc!$C$32</f>
        <v>0.474899987095109</v>
      </c>
      <c r="D22" s="97" t="n">
        <f aca="false">DCF!$Y$64</f>
        <v>0.174756282599543</v>
      </c>
      <c r="E22" s="94" t="n">
        <f aca="false">D22-C22</f>
        <v>-0.300143704495566</v>
      </c>
    </row>
    <row r="23" customFormat="false" ht="15" hidden="false" customHeight="true" outlineLevel="0" collapsed="false">
      <c r="B23" s="91" t="s">
        <v>99</v>
      </c>
      <c r="C23" s="96" t="n">
        <f aca="false">Calc!$C$27</f>
        <v>38722.0828951123</v>
      </c>
      <c r="D23" s="96" t="n">
        <f aca="false">DCF!$X$73</f>
        <v>42710.8785354486</v>
      </c>
      <c r="E23" s="96" t="n">
        <f aca="false">D23-C23</f>
        <v>3988.79564033631</v>
      </c>
    </row>
    <row r="24" customFormat="false" ht="15" hidden="false" customHeight="true" outlineLevel="0" collapsed="false">
      <c r="B24" s="91" t="s">
        <v>100</v>
      </c>
      <c r="C24" s="96" t="n">
        <f aca="false">Calc!$C$28</f>
        <v>19091.346197994</v>
      </c>
      <c r="D24" s="96" t="n">
        <f aca="false">DCF!$X$74</f>
        <v>21089.5021367536</v>
      </c>
      <c r="E24" s="96" t="n">
        <f aca="false">D24-C24</f>
        <v>1998.15593875969</v>
      </c>
    </row>
    <row r="25" customFormat="false" ht="15" hidden="false" customHeight="true" outlineLevel="0" collapsed="false">
      <c r="B25" s="91" t="s">
        <v>101</v>
      </c>
      <c r="C25" s="96" t="n">
        <f aca="false">Calc!$C$26</f>
        <v>13045.07390491</v>
      </c>
      <c r="D25" s="96" t="n">
        <f aca="false">SUM(DCF!$O$67:$X$67)</f>
        <v>13846.0199602466</v>
      </c>
      <c r="E25" s="96" t="n">
        <f aca="false">D25-C25</f>
        <v>800.946055336621</v>
      </c>
    </row>
    <row r="26" customFormat="false" ht="15" hidden="false" customHeight="true" outlineLevel="0" collapsed="false">
      <c r="B26" s="91" t="s">
        <v>102</v>
      </c>
      <c r="C26" s="96" t="n">
        <f aca="false">Calc!$C$29</f>
        <v>32136.420102904</v>
      </c>
      <c r="D26" s="96" t="n">
        <f aca="false">DCF!$S$75</f>
        <v>34935.5220970003</v>
      </c>
      <c r="E26" s="96" t="n">
        <f aca="false">D26-C26</f>
        <v>2799.10199409631</v>
      </c>
    </row>
    <row r="27" customFormat="false" ht="15" hidden="false" customHeight="true" outlineLevel="0" collapsed="false">
      <c r="B27" s="91" t="s">
        <v>103</v>
      </c>
      <c r="C27" s="96" t="n">
        <f aca="false">Calc!$C$30</f>
        <v>33036.420102904</v>
      </c>
      <c r="D27" s="96" t="n">
        <f aca="false">DCF!$S$78</f>
        <v>35835.5220970003</v>
      </c>
      <c r="E27" s="96" t="n">
        <f aca="false">D27-C27</f>
        <v>2799.10199409631</v>
      </c>
    </row>
    <row r="28" customFormat="false" ht="15" hidden="false" customHeight="true" outlineLevel="0" collapsed="false">
      <c r="B28" s="90" t="s">
        <v>104</v>
      </c>
      <c r="C28" s="98" t="n">
        <f aca="false">Calc!$C$31</f>
        <v>30.9677728748631</v>
      </c>
      <c r="D28" s="98" t="n">
        <f aca="false">DCF!$S$81</f>
        <v>33.5916030155608</v>
      </c>
      <c r="E28" s="98" t="n">
        <f aca="false">D28-C28</f>
        <v>2.6238301406977</v>
      </c>
    </row>
    <row r="29" customFormat="false" ht="15" hidden="false" customHeight="true" outlineLevel="0" collapsed="false">
      <c r="B29" s="91" t="s">
        <v>105</v>
      </c>
      <c r="C29" s="97" t="n">
        <f aca="false">C28/'Sources &amp; Checks'!$B$5-1</f>
        <v>0.182427372083356</v>
      </c>
      <c r="D29" s="97" t="n">
        <f aca="false">DCF!$I$7</f>
        <v>0.282611798990485</v>
      </c>
      <c r="E29" s="94" t="n">
        <f aca="false">D29-C29</f>
        <v>0.100184426907129</v>
      </c>
    </row>
    <row r="30" customFormat="false" ht="15" hidden="false" customHeight="true" outlineLevel="0" collapsed="false">
      <c r="B30" s="91" t="s">
        <v>106</v>
      </c>
      <c r="C30" s="98" t="n">
        <f aca="false">Calc!$C$203</f>
        <v>20.6438563144044</v>
      </c>
      <c r="D30" s="98" t="n">
        <f aca="false">DCF!$L$87</f>
        <v>26.4375141922439</v>
      </c>
      <c r="E30" s="98" t="n">
        <f aca="false">D30-C30</f>
        <v>5.79365787783949</v>
      </c>
    </row>
    <row r="31" customFormat="false" ht="15" hidden="false" customHeight="true" outlineLevel="0" collapsed="false">
      <c r="B31" s="91" t="s">
        <v>107</v>
      </c>
      <c r="C31" s="98" t="n">
        <f aca="false">Calc!$C$222</f>
        <v>45.3628089830702</v>
      </c>
      <c r="D31" s="98" t="n">
        <f aca="false">DCF!$L$89</f>
        <v>41.5855436178172</v>
      </c>
      <c r="E31" s="98" t="n">
        <f aca="false">D31-C31</f>
        <v>-3.77726536525299</v>
      </c>
    </row>
    <row r="33" customFormat="false" ht="15" hidden="false" customHeight="true" outlineLevel="0" collapsed="false">
      <c r="B33" s="86" t="s">
        <v>108</v>
      </c>
      <c r="C33" s="86"/>
      <c r="D33" s="86"/>
      <c r="E33" s="86"/>
      <c r="F33" s="86"/>
    </row>
    <row r="34" customFormat="false" ht="15" hidden="false" customHeight="true" outlineLevel="0" collapsed="false">
      <c r="B34" s="87" t="s">
        <v>109</v>
      </c>
      <c r="C34" s="88" t="s">
        <v>110</v>
      </c>
      <c r="D34" s="88" t="s">
        <v>111</v>
      </c>
      <c r="E34" s="88" t="s">
        <v>112</v>
      </c>
      <c r="F34" s="88" t="s">
        <v>113</v>
      </c>
    </row>
    <row r="35" customFormat="false" ht="15" hidden="false" customHeight="true" outlineLevel="0" collapsed="false">
      <c r="B35" s="91" t="s">
        <v>114</v>
      </c>
      <c r="C35" s="98" t="n">
        <f aca="false">Calc!$C$31</f>
        <v>30.9677728748631</v>
      </c>
      <c r="D35" s="99" t="n">
        <v>30.97</v>
      </c>
      <c r="E35" s="100" t="n">
        <f aca="false">C35-D35</f>
        <v>-0.00222712513689061</v>
      </c>
      <c r="F35" s="101" t="str">
        <f aca="false">IF(ABS(E35)&lt;=$C$41,"OK","CHECK")</f>
        <v>OK</v>
      </c>
    </row>
    <row r="36" customFormat="false" ht="15" hidden="false" customHeight="true" outlineLevel="0" collapsed="false">
      <c r="B36" s="91" t="s">
        <v>115</v>
      </c>
      <c r="C36" s="98" t="n">
        <f aca="false">Calc!$C$50</f>
        <v>31.0514683562557</v>
      </c>
      <c r="D36" s="99" t="n">
        <v>31.1</v>
      </c>
      <c r="E36" s="100" t="n">
        <f aca="false">C36-D36</f>
        <v>-0.0485316437443153</v>
      </c>
      <c r="F36" s="101" t="str">
        <f aca="false">IF(ABS(E36)&lt;=$C$41,"OK","CHECK")</f>
        <v>OK</v>
      </c>
    </row>
    <row r="37" customFormat="false" ht="15" hidden="false" customHeight="true" outlineLevel="0" collapsed="false">
      <c r="B37" s="91" t="s">
        <v>116</v>
      </c>
      <c r="C37" s="98" t="n">
        <f aca="false">Calc!$C$69</f>
        <v>41.2100821508055</v>
      </c>
      <c r="D37" s="99" t="n">
        <v>41.2</v>
      </c>
      <c r="E37" s="100" t="n">
        <f aca="false">C37-D37</f>
        <v>0.0100821508055304</v>
      </c>
      <c r="F37" s="101" t="str">
        <f aca="false">IF(ABS(E37)&lt;=$C$41,"OK","CHECK")</f>
        <v>OK</v>
      </c>
    </row>
    <row r="38" customFormat="false" ht="15" hidden="false" customHeight="true" outlineLevel="0" collapsed="false">
      <c r="B38" s="91" t="s">
        <v>117</v>
      </c>
      <c r="C38" s="98" t="n">
        <f aca="false">Calc!$C$88</f>
        <v>41.3233968950614</v>
      </c>
      <c r="D38" s="99" t="n">
        <v>41.4</v>
      </c>
      <c r="E38" s="100" t="n">
        <f aca="false">C38-D38</f>
        <v>-0.0766031049386484</v>
      </c>
      <c r="F38" s="101" t="str">
        <f aca="false">IF(ABS(E38)&lt;=$C$41,"OK","CHECK")</f>
        <v>OK</v>
      </c>
    </row>
    <row r="39" customFormat="false" ht="15" hidden="false" customHeight="true" outlineLevel="0" collapsed="false">
      <c r="B39" s="91" t="s">
        <v>118</v>
      </c>
      <c r="C39" s="98" t="n">
        <f aca="false">Calc!$C$107</f>
        <v>31.4079389359073</v>
      </c>
      <c r="D39" s="99" t="n">
        <v>31.4</v>
      </c>
      <c r="E39" s="100" t="n">
        <f aca="false">C39-D39</f>
        <v>0.00793893590733319</v>
      </c>
      <c r="F39" s="101" t="str">
        <f aca="false">IF(ABS(E39)&lt;=$C$41,"OK","CHECK")</f>
        <v>OK</v>
      </c>
    </row>
    <row r="40" customFormat="false" ht="15" hidden="false" customHeight="true" outlineLevel="0" collapsed="false">
      <c r="B40" s="90" t="s">
        <v>119</v>
      </c>
      <c r="C40" s="102" t="n">
        <f aca="false">Calc!$C$126</f>
        <v>33.5916030155608</v>
      </c>
      <c r="F40" s="101" t="str">
        <f aca="false">IF(ABS(C40-DCF!$S$81)&lt;0.000001,"= DCF","CHECK")</f>
        <v>= DCF</v>
      </c>
    </row>
    <row r="41" customFormat="false" ht="15" hidden="false" customHeight="true" outlineLevel="0" collapsed="false">
      <c r="B41" s="91" t="s">
        <v>120</v>
      </c>
      <c r="C41" s="103" t="n">
        <v>0.3</v>
      </c>
    </row>
  </sheetData>
  <mergeCells count="1">
    <mergeCell ref="D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Z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9.83"/>
    <col collapsed="false" customWidth="true" hidden="false" outlineLevel="0" max="3" min="3" style="1" width="28.83"/>
    <col collapsed="false" customWidth="true" hidden="false" outlineLevel="0" max="4" min="4" style="1" width="26"/>
    <col collapsed="false" customWidth="true" hidden="false" outlineLevel="0" max="5" min="5" style="1" width="23.33"/>
    <col collapsed="false" customWidth="true" hidden="false" outlineLevel="0" max="7" min="6" style="1" width="14"/>
    <col collapsed="false" customWidth="true" hidden="false" outlineLevel="0" max="8" min="8" style="1" width="23.16"/>
    <col collapsed="false" customWidth="true" hidden="false" outlineLevel="0" max="24" min="9" style="1" width="14"/>
    <col collapsed="false" customWidth="true" hidden="false" outlineLevel="0" max="25" min="25" style="1" width="20.33"/>
    <col collapsed="false" customWidth="true" hidden="false" outlineLevel="0" max="26" min="26" style="1" width="14"/>
  </cols>
  <sheetData>
    <row r="2" s="2" customFormat="true" ht="21" hidden="false" customHeight="true" outlineLevel="0" collapsed="false">
      <c r="B2" s="104" t="s">
        <v>121</v>
      </c>
    </row>
    <row r="4" customFormat="false" ht="15.75" hidden="false" customHeight="true" outlineLevel="0" collapsed="false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05" t="s">
        <v>122</v>
      </c>
      <c r="O4" s="105"/>
      <c r="P4" s="105"/>
      <c r="Q4" s="105"/>
      <c r="R4" s="105"/>
      <c r="S4" s="15"/>
      <c r="T4" s="105" t="s">
        <v>123</v>
      </c>
      <c r="U4" s="105"/>
      <c r="V4" s="105"/>
      <c r="W4" s="105"/>
      <c r="X4" s="105"/>
      <c r="Y4" s="106" t="s">
        <v>124</v>
      </c>
      <c r="Z4" s="106"/>
    </row>
    <row r="5" customFormat="false" ht="15.75" hidden="false" customHeight="true" outlineLevel="0" collapsed="false">
      <c r="B5" s="34"/>
      <c r="C5" s="34"/>
      <c r="D5" s="34"/>
      <c r="E5" s="34"/>
      <c r="F5" s="34"/>
      <c r="G5" s="34"/>
      <c r="H5" s="107" t="s">
        <v>125</v>
      </c>
      <c r="I5" s="108"/>
      <c r="J5" s="107" t="s">
        <v>126</v>
      </c>
      <c r="K5" s="108"/>
      <c r="L5" s="107" t="s">
        <v>127</v>
      </c>
      <c r="M5" s="109"/>
      <c r="N5" s="107" t="s">
        <v>128</v>
      </c>
      <c r="O5" s="107" t="s">
        <v>129</v>
      </c>
      <c r="P5" s="108"/>
      <c r="Q5" s="107" t="s">
        <v>130</v>
      </c>
      <c r="R5" s="107" t="s">
        <v>131</v>
      </c>
      <c r="S5" s="108"/>
      <c r="T5" s="107" t="s">
        <v>132</v>
      </c>
      <c r="U5" s="107" t="s">
        <v>133</v>
      </c>
      <c r="V5" s="108"/>
      <c r="W5" s="107" t="s">
        <v>134</v>
      </c>
      <c r="X5" s="107" t="s">
        <v>135</v>
      </c>
      <c r="Y5" s="107" t="s">
        <v>136</v>
      </c>
      <c r="Z5" s="107" t="s">
        <v>137</v>
      </c>
    </row>
    <row r="6" customFormat="false" ht="15" hidden="false" customHeight="true" outlineLevel="0" collapsed="false">
      <c r="B6" s="110" t="s">
        <v>1</v>
      </c>
      <c r="C6" s="108"/>
      <c r="D6" s="111" t="s">
        <v>138</v>
      </c>
      <c r="E6" s="111"/>
      <c r="F6" s="111"/>
      <c r="G6" s="108"/>
      <c r="H6" s="110" t="s">
        <v>139</v>
      </c>
      <c r="I6" s="108"/>
      <c r="J6" s="110" t="s">
        <v>140</v>
      </c>
      <c r="K6" s="108"/>
      <c r="L6" s="110" t="s">
        <v>140</v>
      </c>
      <c r="M6" s="15"/>
      <c r="N6" s="110" t="s">
        <v>141</v>
      </c>
      <c r="O6" s="110" t="s">
        <v>141</v>
      </c>
      <c r="P6" s="108"/>
      <c r="Q6" s="110" t="s">
        <v>141</v>
      </c>
      <c r="R6" s="110" t="s">
        <v>141</v>
      </c>
      <c r="S6" s="15"/>
      <c r="T6" s="110" t="s">
        <v>142</v>
      </c>
      <c r="U6" s="110" t="s">
        <v>142</v>
      </c>
      <c r="V6" s="110" t="s">
        <v>142</v>
      </c>
      <c r="W6" s="110" t="s">
        <v>142</v>
      </c>
      <c r="X6" s="110" t="s">
        <v>142</v>
      </c>
      <c r="Y6" s="110" t="s">
        <v>142</v>
      </c>
      <c r="Z6" s="110" t="s">
        <v>142</v>
      </c>
    </row>
    <row r="7" customFormat="false" ht="15" hidden="false" customHeight="true" outlineLevel="0" collapsed="false">
      <c r="H7" s="112" t="s">
        <v>143</v>
      </c>
      <c r="J7" s="112" t="s">
        <v>144</v>
      </c>
      <c r="L7" s="112" t="s">
        <v>144</v>
      </c>
    </row>
    <row r="8" customFormat="false" ht="15" hidden="false" customHeight="true" outlineLevel="0" collapsed="false">
      <c r="B8" s="113" t="s">
        <v>2</v>
      </c>
      <c r="C8" s="114"/>
      <c r="D8" s="115" t="s">
        <v>145</v>
      </c>
      <c r="E8" s="115"/>
      <c r="F8" s="115"/>
      <c r="G8" s="114"/>
      <c r="H8" s="116" t="n">
        <f aca="false">'Sources &amp; Checks'!$B$5</f>
        <v>26.19</v>
      </c>
      <c r="I8" s="114"/>
      <c r="J8" s="117" t="n">
        <f aca="false">'Sources &amp; Checks'!$B$8*H8</f>
        <v>27499.5</v>
      </c>
      <c r="K8" s="114"/>
      <c r="L8" s="117" t="n">
        <f aca="false">J8-'Sources &amp; Checks'!$B$6+'Sources &amp; Checks'!$B$7</f>
        <v>26599.5</v>
      </c>
      <c r="M8" s="114"/>
      <c r="N8" s="118" t="n">
        <f aca="false">DCF!M21</f>
        <v>0.247661296310045</v>
      </c>
      <c r="O8" s="118" t="n">
        <f aca="false">DCF!N21</f>
        <v>0.0375414689299156</v>
      </c>
      <c r="P8" s="114"/>
      <c r="Q8" s="118" t="n">
        <f aca="false">DCF!M24</f>
        <v>0.15328255403978</v>
      </c>
      <c r="R8" s="118" t="n">
        <f aca="false">DCF!N24</f>
        <v>0.111696598200523</v>
      </c>
      <c r="S8" s="114"/>
      <c r="T8" s="119" t="n">
        <f aca="false">L8/DCF!M22</f>
        <v>8.52493429908339</v>
      </c>
      <c r="U8" s="119" t="n">
        <f aca="false">L8/DCF!N22</f>
        <v>9.59439474823258</v>
      </c>
      <c r="V8" s="114"/>
      <c r="W8" s="120" t="n">
        <f aca="false">L8/DCF!M20</f>
        <v>1.97857004715929</v>
      </c>
      <c r="X8" s="120" t="n">
        <f aca="false">L8/DCF!N20</f>
        <v>1.90697924508012</v>
      </c>
      <c r="Y8" s="121" t="n">
        <f aca="false">L8/DCF!M23</f>
        <v>12.9079924297569</v>
      </c>
      <c r="Z8" s="121" t="n">
        <f aca="false">L8/DCF!N23</f>
        <v>17.0728498074454</v>
      </c>
    </row>
    <row r="9" customFormat="false" ht="15" hidden="false" customHeight="true" outlineLevel="0" collapsed="false">
      <c r="B9" s="122"/>
      <c r="C9" s="122"/>
      <c r="D9" s="122"/>
      <c r="E9" s="122"/>
      <c r="F9" s="122"/>
      <c r="G9" s="122"/>
      <c r="H9" s="123"/>
      <c r="I9" s="122"/>
      <c r="J9" s="124"/>
      <c r="K9" s="122"/>
      <c r="L9" s="124"/>
      <c r="M9" s="122"/>
      <c r="N9" s="125"/>
      <c r="O9" s="125"/>
      <c r="P9" s="122"/>
      <c r="Q9" s="125"/>
      <c r="R9" s="125"/>
      <c r="S9" s="122"/>
      <c r="T9" s="126"/>
      <c r="U9" s="126"/>
      <c r="V9" s="122"/>
      <c r="W9" s="125"/>
      <c r="X9" s="125"/>
    </row>
    <row r="10" customFormat="false" ht="15" hidden="false" customHeight="true" outlineLevel="0" collapsed="false">
      <c r="B10" s="127" t="s">
        <v>146</v>
      </c>
      <c r="C10" s="122"/>
      <c r="D10" s="128" t="s">
        <v>147</v>
      </c>
      <c r="E10" s="128"/>
      <c r="F10" s="128"/>
      <c r="G10" s="122"/>
      <c r="H10" s="129" t="n">
        <v>4.089</v>
      </c>
      <c r="I10" s="122"/>
      <c r="J10" s="130" t="n">
        <v>3287.49</v>
      </c>
      <c r="K10" s="122"/>
      <c r="L10" s="130" t="n">
        <v>2450</v>
      </c>
      <c r="M10" s="122"/>
      <c r="N10" s="131" t="n">
        <v>0.1393</v>
      </c>
      <c r="O10" s="131" t="n">
        <v>0.0856</v>
      </c>
      <c r="P10" s="122"/>
      <c r="Q10" s="131" t="n">
        <v>0.0641314856590396</v>
      </c>
      <c r="R10" s="131" t="n">
        <v>0.0695626360577875</v>
      </c>
      <c r="S10" s="122"/>
      <c r="T10" s="132" t="n">
        <v>1.79224579370885</v>
      </c>
      <c r="U10" s="132" t="n">
        <v>1.69432918395574</v>
      </c>
      <c r="V10" s="122"/>
      <c r="W10" s="133" t="n">
        <v>0.263186163927382</v>
      </c>
      <c r="X10" s="133" t="n">
        <v>0.242430239461706</v>
      </c>
      <c r="Y10" s="134" t="n">
        <v>4.1039</v>
      </c>
      <c r="Z10" s="134" t="n">
        <v>3.485</v>
      </c>
    </row>
    <row r="11" customFormat="false" ht="15" hidden="false" customHeight="true" outlineLevel="0" collapsed="false">
      <c r="B11" s="127" t="s">
        <v>148</v>
      </c>
      <c r="C11" s="122"/>
      <c r="D11" s="128" t="s">
        <v>149</v>
      </c>
      <c r="E11" s="128"/>
      <c r="F11" s="128"/>
      <c r="G11" s="122"/>
      <c r="H11" s="129" t="n">
        <v>9.275</v>
      </c>
      <c r="I11" s="122"/>
      <c r="J11" s="130" t="n">
        <v>1166.6</v>
      </c>
      <c r="K11" s="122"/>
      <c r="L11" s="130" t="n">
        <v>5950.1</v>
      </c>
      <c r="M11" s="122"/>
      <c r="N11" s="131" t="n">
        <v>0.3</v>
      </c>
      <c r="O11" s="131" t="n">
        <v>0.0454</v>
      </c>
      <c r="P11" s="122"/>
      <c r="Q11" s="131" t="n">
        <v>0.086370808678501</v>
      </c>
      <c r="R11" s="131" t="n">
        <v>0.0316037735849057</v>
      </c>
      <c r="S11" s="122"/>
      <c r="T11" s="132" t="n">
        <v>4.9866744887697</v>
      </c>
      <c r="U11" s="132" t="n">
        <v>5.24561403508772</v>
      </c>
      <c r="V11" s="122"/>
      <c r="W11" s="133" t="n">
        <v>1.17358974358974</v>
      </c>
      <c r="X11" s="133" t="n">
        <v>1.12266037735849</v>
      </c>
      <c r="Y11" s="134" t="n">
        <v>13.5878</v>
      </c>
      <c r="Z11" s="134" t="n">
        <v>35.5227</v>
      </c>
    </row>
    <row r="12" customFormat="false" ht="15" hidden="false" customHeight="true" outlineLevel="0" collapsed="false">
      <c r="B12" s="127" t="s">
        <v>150</v>
      </c>
      <c r="C12" s="122"/>
      <c r="D12" s="128" t="s">
        <v>151</v>
      </c>
      <c r="E12" s="128"/>
      <c r="F12" s="128"/>
      <c r="G12" s="122"/>
      <c r="H12" s="129" t="n">
        <v>4.464</v>
      </c>
      <c r="I12" s="122"/>
      <c r="J12" s="130" t="n">
        <v>19080</v>
      </c>
      <c r="K12" s="122"/>
      <c r="L12" s="130" t="n">
        <v>25060</v>
      </c>
      <c r="M12" s="122"/>
      <c r="N12" s="131" t="n">
        <v>0.0898719994567616</v>
      </c>
      <c r="O12" s="131" t="n">
        <v>0.0346728971962618</v>
      </c>
      <c r="P12" s="122"/>
      <c r="Q12" s="131" t="n">
        <v>0.138411214953271</v>
      </c>
      <c r="R12" s="131" t="n">
        <v>0.151266070514558</v>
      </c>
      <c r="S12" s="122"/>
      <c r="T12" s="132" t="n">
        <v>3.68150433377406</v>
      </c>
      <c r="U12" s="132" t="n">
        <v>3.29780234241348</v>
      </c>
      <c r="V12" s="122"/>
      <c r="W12" s="133" t="n">
        <v>0.780685358255452</v>
      </c>
      <c r="X12" s="133" t="n">
        <v>0.754523831030018</v>
      </c>
      <c r="Y12" s="134" t="n">
        <v>5.6403</v>
      </c>
      <c r="Z12" s="134" t="n">
        <v>4.9881</v>
      </c>
    </row>
    <row r="13" customFormat="false" ht="15" hidden="false" customHeight="true" outlineLevel="0" collapsed="false">
      <c r="B13" s="127" t="s">
        <v>152</v>
      </c>
      <c r="C13" s="122"/>
      <c r="D13" s="128" t="s">
        <v>153</v>
      </c>
      <c r="E13" s="128"/>
      <c r="F13" s="128"/>
      <c r="G13" s="122"/>
      <c r="H13" s="129" t="n">
        <v>8.12</v>
      </c>
      <c r="I13" s="122"/>
      <c r="J13" s="130" t="n">
        <v>9740</v>
      </c>
      <c r="K13" s="122"/>
      <c r="L13" s="130" t="n">
        <v>17780</v>
      </c>
      <c r="M13" s="122"/>
      <c r="N13" s="131" t="n">
        <v>0.0603521245979346</v>
      </c>
      <c r="O13" s="131" t="n">
        <v>0.0536441286820468</v>
      </c>
      <c r="P13" s="122"/>
      <c r="Q13" s="131" t="n">
        <v>0.0437721188898646</v>
      </c>
      <c r="R13" s="131" t="n">
        <v>0.0494986993964189</v>
      </c>
      <c r="S13" s="122"/>
      <c r="T13" s="132" t="n">
        <v>4.46509291813159</v>
      </c>
      <c r="U13" s="132" t="n">
        <v>4.10718410718411</v>
      </c>
      <c r="V13" s="122"/>
      <c r="W13" s="133" t="n">
        <v>0.47311141268194</v>
      </c>
      <c r="X13" s="133" t="n">
        <v>0.449023915953229</v>
      </c>
      <c r="Y13" s="134" t="n">
        <v>10.8085</v>
      </c>
      <c r="Z13" s="134" t="n">
        <v>9.0714</v>
      </c>
    </row>
    <row r="14" customFormat="false" ht="15" hidden="false" customHeight="true" outlineLevel="0" collapsed="false">
      <c r="B14" s="127" t="s">
        <v>154</v>
      </c>
      <c r="C14" s="122"/>
      <c r="D14" s="128" t="s">
        <v>155</v>
      </c>
      <c r="E14" s="128"/>
      <c r="F14" s="128"/>
      <c r="G14" s="122"/>
      <c r="H14" s="129" t="n">
        <v>10.09</v>
      </c>
      <c r="I14" s="122"/>
      <c r="J14" s="130" t="n">
        <v>2650</v>
      </c>
      <c r="K14" s="122"/>
      <c r="L14" s="130" t="n">
        <v>3020</v>
      </c>
      <c r="M14" s="122"/>
      <c r="N14" s="131" t="n">
        <v>0.0479696192411472</v>
      </c>
      <c r="O14" s="131" t="n">
        <v>0.0492069042245462</v>
      </c>
      <c r="P14" s="122"/>
      <c r="Q14" s="131" t="n">
        <v>0.051</v>
      </c>
      <c r="R14" s="131" t="n">
        <v>0.061</v>
      </c>
      <c r="S14" s="122"/>
      <c r="T14" s="132" t="n">
        <v>0.711592836946277</v>
      </c>
      <c r="U14" s="132" t="n">
        <v>0.597073942269672</v>
      </c>
      <c r="V14" s="122"/>
      <c r="W14" s="133" t="n">
        <v>0.0959979656060269</v>
      </c>
      <c r="X14" s="133" t="n">
        <v>0.091495743327173</v>
      </c>
      <c r="Y14" s="134" t="n">
        <v>1.8822</v>
      </c>
      <c r="Z14" s="134" t="n">
        <v>1.5</v>
      </c>
    </row>
    <row r="15" customFormat="false" ht="15" hidden="false" customHeight="true" outlineLevel="0" collapsed="false">
      <c r="B15" s="122"/>
      <c r="C15" s="122"/>
      <c r="D15" s="122"/>
      <c r="E15" s="122"/>
      <c r="F15" s="122"/>
      <c r="G15" s="122"/>
      <c r="H15" s="122"/>
      <c r="I15" s="122"/>
      <c r="J15" s="135"/>
      <c r="K15" s="122"/>
      <c r="L15" s="135"/>
      <c r="M15" s="122"/>
      <c r="N15" s="136"/>
      <c r="O15" s="136"/>
      <c r="P15" s="122"/>
      <c r="Q15" s="136"/>
      <c r="R15" s="136"/>
      <c r="S15" s="122"/>
      <c r="T15" s="122"/>
      <c r="U15" s="122"/>
      <c r="V15" s="122"/>
      <c r="W15" s="122"/>
      <c r="X15" s="122"/>
    </row>
    <row r="16" customFormat="false" ht="15" hidden="false" customHeight="true" outlineLevel="0" collapsed="false">
      <c r="B16" s="122"/>
      <c r="C16" s="122"/>
      <c r="D16" s="122"/>
      <c r="E16" s="122"/>
      <c r="F16" s="122"/>
      <c r="G16" s="122"/>
      <c r="H16" s="122"/>
      <c r="I16" s="122"/>
      <c r="J16" s="135"/>
      <c r="K16" s="122"/>
      <c r="L16" s="135"/>
      <c r="M16" s="122"/>
      <c r="N16" s="136"/>
      <c r="O16" s="136"/>
      <c r="P16" s="122"/>
      <c r="Q16" s="136"/>
      <c r="R16" s="136"/>
      <c r="S16" s="122"/>
      <c r="T16" s="122"/>
      <c r="U16" s="122"/>
      <c r="V16" s="122"/>
      <c r="W16" s="122"/>
      <c r="X16" s="122"/>
    </row>
    <row r="17" customFormat="false" ht="15" hidden="false" customHeight="true" outlineLevel="0" collapsed="false">
      <c r="B17" s="122"/>
      <c r="C17" s="122"/>
      <c r="D17" s="122"/>
      <c r="E17" s="122"/>
      <c r="F17" s="122"/>
      <c r="G17" s="122"/>
      <c r="H17" s="122"/>
      <c r="I17" s="122"/>
      <c r="J17" s="135"/>
      <c r="K17" s="122"/>
      <c r="L17" s="135"/>
      <c r="M17" s="122"/>
      <c r="N17" s="136"/>
      <c r="O17" s="136"/>
      <c r="P17" s="122"/>
      <c r="Q17" s="136"/>
      <c r="R17" s="136"/>
      <c r="S17" s="122"/>
      <c r="T17" s="122"/>
      <c r="U17" s="122"/>
      <c r="V17" s="122"/>
      <c r="W17" s="122"/>
      <c r="X17" s="122"/>
    </row>
    <row r="18" customFormat="false" ht="15" hidden="false" customHeight="true" outlineLevel="0" collapsed="false">
      <c r="B18" s="122"/>
      <c r="C18" s="122"/>
      <c r="D18" s="122"/>
      <c r="E18" s="122"/>
      <c r="F18" s="122"/>
      <c r="G18" s="122"/>
      <c r="H18" s="122"/>
      <c r="I18" s="122"/>
      <c r="J18" s="135"/>
      <c r="K18" s="122"/>
      <c r="L18" s="135"/>
      <c r="M18" s="122"/>
      <c r="N18" s="136"/>
      <c r="O18" s="136"/>
      <c r="P18" s="122"/>
      <c r="Q18" s="136"/>
      <c r="R18" s="136"/>
      <c r="S18" s="122"/>
      <c r="T18" s="122"/>
      <c r="U18" s="122"/>
      <c r="V18" s="122"/>
      <c r="W18" s="122"/>
      <c r="X18" s="122"/>
    </row>
    <row r="19" customFormat="false" ht="15" hidden="false" customHeight="true" outlineLevel="0" collapsed="false">
      <c r="N19" s="122"/>
      <c r="O19" s="122"/>
      <c r="Q19" s="122"/>
      <c r="R19" s="122"/>
    </row>
    <row r="20" customFormat="false" ht="15" hidden="false" customHeight="true" outlineLevel="0" collapsed="false">
      <c r="B20" s="137" t="s">
        <v>156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9" t="n">
        <f aca="false">IF(COUNT(N10:N17)=0,"",AVERAGE(N10:N17))</f>
        <v>0.127498748659169</v>
      </c>
      <c r="O20" s="139" t="n">
        <f aca="false">IF(COUNT(O10:O17)=0,"",AVERAGE(O10:O17))</f>
        <v>0.053704786020571</v>
      </c>
      <c r="P20" s="137" t="str">
        <f aca="false">IF(COUNT(P8:P17)=0,"",AVERAGE(P8:P17))</f>
        <v/>
      </c>
      <c r="Q20" s="139" t="n">
        <f aca="false">IF(COUNT(Q10:Q17)=0,"",AVERAGE(Q10:Q17))</f>
        <v>0.0767371256361352</v>
      </c>
      <c r="R20" s="139" t="n">
        <f aca="false">IF(COUNT(R10:R17)=0,"",AVERAGE(R10:R17))</f>
        <v>0.072586235910734</v>
      </c>
      <c r="S20" s="137" t="str">
        <f aca="false">IF(COUNT(S8:S17)=0,"",AVERAGE(S8:S17))</f>
        <v/>
      </c>
      <c r="T20" s="140" t="n">
        <f aca="false">IF(COUNT(T10:T17)=0,"",AVERAGE(T10:T17))</f>
        <v>3.1274220742661</v>
      </c>
      <c r="U20" s="140" t="n">
        <f aca="false">IF(COUNT(U10:U17)=0,"",AVERAGE(U10:U17))</f>
        <v>2.98840072218214</v>
      </c>
      <c r="V20" s="137" t="str">
        <f aca="false">IF(COUNT(V8:V17)=0,"",AVERAGE(V8:V17))</f>
        <v/>
      </c>
      <c r="W20" s="141" t="n">
        <f aca="false">IF(COUNT(W10:W17)=0,"",AVERAGE(W10:W17))</f>
        <v>0.557314128812108</v>
      </c>
      <c r="X20" s="141" t="n">
        <f aca="false">IF(COUNT(X10:X17)=0,"",AVERAGE(X10:X17))</f>
        <v>0.532026821426123</v>
      </c>
      <c r="Y20" s="142" t="n">
        <f aca="false">IF(COUNT(Y10:Y17)=0,"",AVERAGE(Y10:Y17))</f>
        <v>7.20454</v>
      </c>
      <c r="Z20" s="142" t="n">
        <f aca="false">IF(COUNT(Z10:Z17)=0,"",AVERAGE(Z10:Z17))</f>
        <v>10.91344</v>
      </c>
    </row>
    <row r="21" customFormat="false" ht="15" hidden="false" customHeight="true" outlineLevel="0" collapsed="false">
      <c r="B21" s="137" t="s">
        <v>157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9" t="n">
        <f aca="false">IF(COUNT(N10:N17)=0,"",MEDIAN(N10:N17))</f>
        <v>0.0898719994567616</v>
      </c>
      <c r="O21" s="139" t="n">
        <f aca="false">IF(COUNT(O10:O17)=0,"",MEDIAN(O10:O17))</f>
        <v>0.0492069042245462</v>
      </c>
      <c r="P21" s="137" t="str">
        <f aca="false">IF(COUNT(P8:P17)=0,"",MEDIAN(P8:P17))</f>
        <v/>
      </c>
      <c r="Q21" s="139" t="n">
        <f aca="false">IF(COUNT(Q10:Q17)=0,"",MEDIAN(Q10:Q17))</f>
        <v>0.0641314856590396</v>
      </c>
      <c r="R21" s="139" t="n">
        <f aca="false">IF(COUNT(R10:R17)=0,"",MEDIAN(R10:R17))</f>
        <v>0.061</v>
      </c>
      <c r="S21" s="137" t="str">
        <f aca="false">IF(COUNT(S8:S17)=0,"",MEDIAN(S8:S17))</f>
        <v/>
      </c>
      <c r="T21" s="140" t="n">
        <f aca="false">IF(COUNT(T10:T17)=0,"",MEDIAN(T10:T17))</f>
        <v>3.68150433377406</v>
      </c>
      <c r="U21" s="140" t="n">
        <f aca="false">IF(COUNT(U10:U17)=0,"",MEDIAN(U10:U17))</f>
        <v>3.29780234241348</v>
      </c>
      <c r="V21" s="137" t="str">
        <f aca="false">IF(COUNT(V8:V17)=0,"",MEDIAN(V8:V17))</f>
        <v/>
      </c>
      <c r="W21" s="141" t="n">
        <f aca="false">IF(COUNT(W10:W17)=0,"",MEDIAN(W10:W17))</f>
        <v>0.47311141268194</v>
      </c>
      <c r="X21" s="141" t="n">
        <f aca="false">IF(COUNT(X10:X17)=0,"",MEDIAN(X10:X17))</f>
        <v>0.449023915953229</v>
      </c>
      <c r="Y21" s="142" t="n">
        <f aca="false">IF(COUNT(Y10:Y17)=0,"",MEDIAN(Y10:Y17))</f>
        <v>5.6403</v>
      </c>
      <c r="Z21" s="142" t="n">
        <f aca="false">IF(COUNT(Z10:Z17)=0,"",MEDIAN(Z10:Z17))</f>
        <v>4.9881</v>
      </c>
    </row>
    <row r="24" customFormat="false" ht="15" hidden="false" customHeight="true" outlineLevel="0" collapsed="false">
      <c r="B24" s="143" t="s">
        <v>158</v>
      </c>
      <c r="C24" s="66"/>
      <c r="D24" s="66"/>
      <c r="E24" s="66"/>
      <c r="F24" s="66"/>
      <c r="G24" s="66"/>
      <c r="H24" s="66"/>
      <c r="I24" s="66"/>
      <c r="J24" s="66"/>
    </row>
    <row r="25" customFormat="false" ht="15" hidden="false" customHeight="true" outlineLevel="0" collapsed="false">
      <c r="B25" s="107" t="s">
        <v>159</v>
      </c>
      <c r="C25" s="107" t="s">
        <v>160</v>
      </c>
      <c r="D25" s="107" t="s">
        <v>161</v>
      </c>
      <c r="E25" s="107" t="s">
        <v>162</v>
      </c>
      <c r="F25" s="107" t="s">
        <v>54</v>
      </c>
      <c r="G25" s="107" t="s">
        <v>55</v>
      </c>
      <c r="H25" s="107" t="s">
        <v>163</v>
      </c>
      <c r="I25" s="107" t="s">
        <v>164</v>
      </c>
      <c r="J25" s="107" t="s">
        <v>165</v>
      </c>
    </row>
    <row r="26" customFormat="false" ht="15" hidden="false" customHeight="true" outlineLevel="0" collapsed="false">
      <c r="B26" s="144" t="s">
        <v>166</v>
      </c>
      <c r="C26" s="145" t="n">
        <f aca="false">U21</f>
        <v>3.29780234241348</v>
      </c>
      <c r="D26" s="146" t="n">
        <f aca="false">DCF!N22</f>
        <v>2772.4</v>
      </c>
      <c r="E26" s="146" t="n">
        <f aca="false">C26*D26</f>
        <v>9142.82721410713</v>
      </c>
      <c r="F26" s="146" t="n">
        <f aca="false">'Sources &amp; Checks'!$B$6</f>
        <v>2400</v>
      </c>
      <c r="G26" s="146" t="n">
        <f aca="false">'Sources &amp; Checks'!$B$7</f>
        <v>1500</v>
      </c>
      <c r="H26" s="146" t="n">
        <f aca="false">E26+F26-G26</f>
        <v>10042.8272141071</v>
      </c>
      <c r="I26" s="147" t="n">
        <f aca="false">H26/'Sources &amp; Checks'!$B$9</f>
        <v>9.41397376650462</v>
      </c>
      <c r="J26" s="148" t="n">
        <f aca="false">I26/'Sources &amp; Checks'!$B$5-1</f>
        <v>-0.640550829839457</v>
      </c>
    </row>
    <row r="27" customFormat="false" ht="15" hidden="false" customHeight="true" outlineLevel="0" collapsed="false">
      <c r="B27" s="149" t="s">
        <v>167</v>
      </c>
      <c r="C27" s="150" t="n">
        <f aca="false">X21</f>
        <v>0.449023915953229</v>
      </c>
      <c r="D27" s="151" t="n">
        <f aca="false">DCF!N20</f>
        <v>13948.5</v>
      </c>
      <c r="E27" s="151" t="n">
        <f aca="false">C27*D27</f>
        <v>6263.21009167361</v>
      </c>
      <c r="F27" s="151" t="n">
        <f aca="false">'Sources &amp; Checks'!$B$6</f>
        <v>2400</v>
      </c>
      <c r="G27" s="151" t="n">
        <f aca="false">'Sources &amp; Checks'!$B$7</f>
        <v>1500</v>
      </c>
      <c r="H27" s="151" t="n">
        <f aca="false">E27+F27-G27</f>
        <v>7163.21009167361</v>
      </c>
      <c r="I27" s="152" t="n">
        <f aca="false">H27/'Sources &amp; Checks'!$B$9</f>
        <v>6.71467012717812</v>
      </c>
      <c r="J27" s="153" t="n">
        <f aca="false">I27/'Sources &amp; Checks'!$B$5-1</f>
        <v>-0.743617024544555</v>
      </c>
    </row>
    <row r="28" customFormat="false" ht="15" hidden="false" customHeight="true" outlineLevel="0" collapsed="false">
      <c r="B28" s="144" t="s">
        <v>168</v>
      </c>
      <c r="C28" s="145" t="n">
        <f aca="false">Z21</f>
        <v>4.9881</v>
      </c>
      <c r="D28" s="146" t="n">
        <f aca="false">DCF!N23</f>
        <v>1558</v>
      </c>
      <c r="E28" s="146" t="n">
        <f aca="false">C28*D28</f>
        <v>7771.4598</v>
      </c>
      <c r="F28" s="146" t="n">
        <f aca="false">'Sources &amp; Checks'!$B$6</f>
        <v>2400</v>
      </c>
      <c r="G28" s="146" t="n">
        <f aca="false">'Sources &amp; Checks'!$B$7</f>
        <v>1500</v>
      </c>
      <c r="H28" s="146" t="n">
        <f aca="false">E28+F28-G28</f>
        <v>8671.4598</v>
      </c>
      <c r="I28" s="147" t="n">
        <f aca="false">H28/'Sources &amp; Checks'!$B$9</f>
        <v>8.12847750281215</v>
      </c>
      <c r="J28" s="148" t="n">
        <f aca="false">I28/'Sources &amp; Checks'!$B$5-1</f>
        <v>-0.689634306880025</v>
      </c>
    </row>
    <row r="30" customFormat="false" ht="15" hidden="false" customHeight="true" outlineLevel="0" collapsed="false">
      <c r="B30" s="154" t="s">
        <v>169</v>
      </c>
    </row>
  </sheetData>
  <mergeCells count="10">
    <mergeCell ref="N4:R4"/>
    <mergeCell ref="T4:X4"/>
    <mergeCell ref="Y4:Z4"/>
    <mergeCell ref="D6:F6"/>
    <mergeCell ref="D8:F8"/>
    <mergeCell ref="D10:F10"/>
    <mergeCell ref="D11:F11"/>
    <mergeCell ref="D12:F12"/>
    <mergeCell ref="D13:F13"/>
    <mergeCell ref="D14:F1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52"/>
    <col collapsed="false" customWidth="true" hidden="false" outlineLevel="0" max="6" min="6" style="1" width="16"/>
  </cols>
  <sheetData>
    <row r="2" s="2" customFormat="true" ht="21" hidden="false" customHeight="true" outlineLevel="0" collapsed="false">
      <c r="B2" s="3" t="s">
        <v>21</v>
      </c>
    </row>
    <row r="4" customFormat="false" ht="15" hidden="false" customHeight="true" outlineLevel="0" collapsed="false">
      <c r="B4" s="8" t="s">
        <v>170</v>
      </c>
    </row>
    <row r="5" customFormat="false" ht="15" hidden="false" customHeight="true" outlineLevel="0" collapsed="false">
      <c r="B5" s="8" t="s">
        <v>171</v>
      </c>
    </row>
    <row r="6" customFormat="false" ht="15" hidden="false" customHeight="true" outlineLevel="0" collapsed="false">
      <c r="J6" s="155"/>
    </row>
    <row r="7" customFormat="false" ht="15" hidden="false" customHeight="true" outlineLevel="0" collapsed="false">
      <c r="A7" s="143" t="s">
        <v>10</v>
      </c>
      <c r="B7" s="78" t="s">
        <v>21</v>
      </c>
      <c r="C7" s="34"/>
      <c r="D7" s="34"/>
      <c r="E7" s="34"/>
      <c r="F7" s="34"/>
    </row>
    <row r="8" customFormat="false" ht="15" hidden="false" customHeight="true" outlineLevel="0" collapsed="false">
      <c r="B8" s="8" t="s">
        <v>126</v>
      </c>
      <c r="F8" s="59" t="n">
        <f aca="false">'Sources &amp; Checks'!$B$8*'Sources &amp; Checks'!$B$5</f>
        <v>27499.5</v>
      </c>
    </row>
    <row r="9" customFormat="false" ht="15" hidden="false" customHeight="true" outlineLevel="0" collapsed="false">
      <c r="B9" s="8" t="s">
        <v>172</v>
      </c>
      <c r="F9" s="28" t="n">
        <f aca="false">F8/(F8+F15)</f>
        <v>0.948274970258108</v>
      </c>
    </row>
    <row r="10" customFormat="false" ht="15" hidden="false" customHeight="true" outlineLevel="0" collapsed="false">
      <c r="B10" s="8" t="s">
        <v>173</v>
      </c>
      <c r="F10" s="156" t="n">
        <f aca="false">F11+F14*F13</f>
        <v>0.089043</v>
      </c>
    </row>
    <row r="11" customFormat="false" ht="15" hidden="false" customHeight="true" outlineLevel="0" collapsed="false">
      <c r="B11" s="8" t="s">
        <v>174</v>
      </c>
      <c r="F11" s="39" t="n">
        <f aca="false">'Sources &amp; Checks'!$B$10</f>
        <v>0.028643</v>
      </c>
    </row>
    <row r="12" customFormat="false" ht="15" hidden="false" customHeight="true" outlineLevel="0" collapsed="false">
      <c r="B12" s="8" t="s">
        <v>175</v>
      </c>
      <c r="F12" s="157" t="n">
        <f aca="false">'Sources &amp; Checks'!$B$11</f>
        <v>1.01</v>
      </c>
    </row>
    <row r="13" customFormat="false" ht="15" hidden="false" customHeight="true" outlineLevel="0" collapsed="false">
      <c r="B13" s="8" t="s">
        <v>176</v>
      </c>
      <c r="F13" s="39" t="n">
        <f aca="false">'Sources &amp; Checks'!$B$12</f>
        <v>0.06</v>
      </c>
    </row>
    <row r="14" customFormat="false" ht="15" hidden="false" customHeight="true" outlineLevel="0" collapsed="false">
      <c r="B14" s="8" t="s">
        <v>177</v>
      </c>
      <c r="F14" s="158" t="n">
        <f aca="false">1/3*1+2/3*F12</f>
        <v>1.00666666666667</v>
      </c>
    </row>
    <row r="15" customFormat="false" ht="15" hidden="false" customHeight="true" outlineLevel="0" collapsed="false">
      <c r="A15" s="143" t="s">
        <v>10</v>
      </c>
      <c r="B15" s="78" t="s">
        <v>178</v>
      </c>
      <c r="F15" s="159" t="n">
        <f aca="false">'Sources &amp; Checks'!$B$7</f>
        <v>1500</v>
      </c>
    </row>
    <row r="16" customFormat="false" ht="15" hidden="false" customHeight="true" outlineLevel="0" collapsed="false">
      <c r="B16" s="8" t="s">
        <v>179</v>
      </c>
      <c r="F16" s="40" t="n">
        <f aca="false">F15/(F15+F8)</f>
        <v>0.0517250297418921</v>
      </c>
    </row>
    <row r="17" customFormat="false" ht="15" hidden="false" customHeight="true" outlineLevel="0" collapsed="false">
      <c r="B17" s="8" t="s">
        <v>180</v>
      </c>
      <c r="F17" s="40" t="n">
        <f aca="false">'Sources &amp; Checks'!$B$13</f>
        <v>0.03</v>
      </c>
    </row>
    <row r="18" customFormat="false" ht="15" hidden="false" customHeight="true" outlineLevel="0" collapsed="false">
      <c r="B18" s="8" t="s">
        <v>181</v>
      </c>
      <c r="F18" s="40" t="n">
        <f aca="false">'Sources &amp; Checks'!$B$14</f>
        <v>0.1</v>
      </c>
    </row>
    <row r="20" customFormat="false" ht="15" hidden="false" customHeight="true" outlineLevel="0" collapsed="false">
      <c r="A20" s="143" t="s">
        <v>10</v>
      </c>
      <c r="B20" s="78" t="s">
        <v>182</v>
      </c>
      <c r="F20" s="59" t="n">
        <f aca="false">F15+F8</f>
        <v>28999.5</v>
      </c>
    </row>
    <row r="22" customFormat="false" ht="15" hidden="false" customHeight="true" outlineLevel="0" collapsed="false">
      <c r="A22" s="143" t="s">
        <v>10</v>
      </c>
      <c r="B22" s="78" t="s">
        <v>21</v>
      </c>
      <c r="F22" s="160" t="n">
        <f aca="false">F9*F10+(F16*F17*(1-F18))</f>
        <v>0.0858338239797238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3.5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61" t="s">
        <v>183</v>
      </c>
      <c r="B1" s="161"/>
      <c r="C1" s="161"/>
      <c r="D1" s="161"/>
    </row>
    <row r="3" customFormat="false" ht="15.75" hidden="false" customHeight="true" outlineLevel="0" collapsed="false">
      <c r="A3" s="107" t="s">
        <v>159</v>
      </c>
      <c r="B3" s="107" t="s">
        <v>184</v>
      </c>
      <c r="C3" s="107" t="s">
        <v>185</v>
      </c>
      <c r="D3" s="107" t="s">
        <v>186</v>
      </c>
    </row>
    <row r="4" customFormat="false" ht="15" hidden="false" customHeight="true" outlineLevel="0" collapsed="false">
      <c r="A4" s="162" t="s">
        <v>187</v>
      </c>
      <c r="B4" s="163" t="n">
        <v>46087</v>
      </c>
      <c r="C4" s="162" t="s">
        <v>188</v>
      </c>
      <c r="D4" s="162" t="s">
        <v>189</v>
      </c>
    </row>
    <row r="5" customFormat="false" ht="15" hidden="false" customHeight="true" outlineLevel="0" collapsed="false">
      <c r="A5" s="162" t="s">
        <v>190</v>
      </c>
      <c r="B5" s="164" t="n">
        <v>26.19</v>
      </c>
      <c r="C5" s="162" t="s">
        <v>191</v>
      </c>
      <c r="D5" s="162" t="s">
        <v>192</v>
      </c>
    </row>
    <row r="6" customFormat="false" ht="15" hidden="false" customHeight="true" outlineLevel="0" collapsed="false">
      <c r="A6" s="162" t="s">
        <v>193</v>
      </c>
      <c r="B6" s="165" t="n">
        <v>2400</v>
      </c>
      <c r="C6" s="162" t="s">
        <v>194</v>
      </c>
      <c r="D6" s="162" t="s">
        <v>195</v>
      </c>
    </row>
    <row r="7" customFormat="false" ht="15" hidden="false" customHeight="true" outlineLevel="0" collapsed="false">
      <c r="A7" s="162" t="s">
        <v>196</v>
      </c>
      <c r="B7" s="165" t="n">
        <v>1500</v>
      </c>
      <c r="C7" s="162" t="s">
        <v>194</v>
      </c>
      <c r="D7" s="162" t="s">
        <v>197</v>
      </c>
    </row>
    <row r="8" customFormat="false" ht="15" hidden="false" customHeight="true" outlineLevel="0" collapsed="false">
      <c r="A8" s="162" t="s">
        <v>198</v>
      </c>
      <c r="B8" s="165" t="n">
        <v>1050</v>
      </c>
      <c r="C8" s="162" t="s">
        <v>199</v>
      </c>
      <c r="D8" s="162" t="s">
        <v>200</v>
      </c>
    </row>
    <row r="9" customFormat="false" ht="15" hidden="false" customHeight="true" outlineLevel="0" collapsed="false">
      <c r="A9" s="162" t="s">
        <v>201</v>
      </c>
      <c r="B9" s="165" t="n">
        <v>1066.8</v>
      </c>
      <c r="C9" s="162" t="s">
        <v>199</v>
      </c>
      <c r="D9" s="162" t="s">
        <v>202</v>
      </c>
    </row>
    <row r="10" customFormat="false" ht="15" hidden="false" customHeight="true" outlineLevel="0" collapsed="false">
      <c r="A10" s="162" t="s">
        <v>203</v>
      </c>
      <c r="B10" s="166" t="n">
        <v>0.028643</v>
      </c>
      <c r="C10" s="162" t="s">
        <v>204</v>
      </c>
      <c r="D10" s="162" t="s">
        <v>205</v>
      </c>
    </row>
    <row r="11" customFormat="false" ht="15" hidden="false" customHeight="true" outlineLevel="0" collapsed="false">
      <c r="A11" s="162" t="s">
        <v>206</v>
      </c>
      <c r="B11" s="167" t="n">
        <v>1.01</v>
      </c>
      <c r="C11" s="162" t="s">
        <v>207</v>
      </c>
      <c r="D11" s="162" t="s">
        <v>208</v>
      </c>
    </row>
    <row r="12" customFormat="false" ht="15" hidden="false" customHeight="true" outlineLevel="0" collapsed="false">
      <c r="A12" s="162" t="s">
        <v>209</v>
      </c>
      <c r="B12" s="166" t="n">
        <v>0.06</v>
      </c>
      <c r="C12" s="162" t="s">
        <v>204</v>
      </c>
      <c r="D12" s="162" t="s">
        <v>208</v>
      </c>
    </row>
    <row r="13" customFormat="false" ht="15" hidden="false" customHeight="true" outlineLevel="0" collapsed="false">
      <c r="A13" s="162" t="s">
        <v>210</v>
      </c>
      <c r="B13" s="166" t="n">
        <v>0.03</v>
      </c>
      <c r="C13" s="162" t="s">
        <v>204</v>
      </c>
      <c r="D13" s="162" t="s">
        <v>208</v>
      </c>
    </row>
    <row r="14" customFormat="false" ht="15" hidden="false" customHeight="true" outlineLevel="0" collapsed="false">
      <c r="A14" s="162" t="s">
        <v>33</v>
      </c>
      <c r="B14" s="166" t="n">
        <v>0.1</v>
      </c>
      <c r="C14" s="162" t="s">
        <v>204</v>
      </c>
      <c r="D14" s="162" t="s">
        <v>211</v>
      </c>
    </row>
    <row r="16" customFormat="false" ht="15" hidden="false" customHeight="true" outlineLevel="0" collapsed="false">
      <c r="A16" s="168" t="s">
        <v>212</v>
      </c>
      <c r="B16" s="168" t="s">
        <v>213</v>
      </c>
    </row>
    <row r="18" customFormat="false" ht="15" hidden="false" customHeight="true" outlineLevel="0" collapsed="false">
      <c r="A18" s="168" t="s">
        <v>214</v>
      </c>
      <c r="B18" s="168" t="s">
        <v>215</v>
      </c>
      <c r="C18" s="168" t="s">
        <v>216</v>
      </c>
      <c r="D18" s="168" t="s">
        <v>217</v>
      </c>
    </row>
    <row r="19" customFormat="false" ht="15" hidden="false" customHeight="true" outlineLevel="0" collapsed="false">
      <c r="A19" s="168" t="s">
        <v>218</v>
      </c>
      <c r="B19" s="169" t="n">
        <v>0.0909</v>
      </c>
      <c r="C19" s="168" t="s">
        <v>204</v>
      </c>
      <c r="D19" s="168" t="s">
        <v>219</v>
      </c>
    </row>
    <row r="20" customFormat="false" ht="15" hidden="false" customHeight="true" outlineLevel="0" collapsed="false">
      <c r="A20" s="168" t="s">
        <v>220</v>
      </c>
      <c r="B20" s="169" t="n">
        <v>0.1722</v>
      </c>
      <c r="C20" s="168" t="s">
        <v>204</v>
      </c>
      <c r="D20" s="168" t="s">
        <v>221</v>
      </c>
    </row>
    <row r="21" customFormat="false" ht="15" hidden="false" customHeight="true" outlineLevel="0" collapsed="false">
      <c r="A21" s="168" t="s">
        <v>222</v>
      </c>
      <c r="B21" s="169" t="n">
        <v>0.0805</v>
      </c>
      <c r="C21" s="168" t="s">
        <v>204</v>
      </c>
      <c r="D21" s="168" t="s">
        <v>223</v>
      </c>
    </row>
    <row r="22" customFormat="false" ht="15" hidden="false" customHeight="true" outlineLevel="0" collapsed="false">
      <c r="A22" s="168" t="s">
        <v>224</v>
      </c>
      <c r="B22" s="169" t="n">
        <v>0.1828</v>
      </c>
      <c r="C22" s="168" t="s">
        <v>204</v>
      </c>
      <c r="D22" s="168" t="s">
        <v>225</v>
      </c>
    </row>
    <row r="23" customFormat="false" ht="15" hidden="false" customHeight="true" outlineLevel="0" collapsed="false">
      <c r="A23" s="168" t="s">
        <v>226</v>
      </c>
      <c r="B23" s="169" t="n">
        <v>-0.0287</v>
      </c>
      <c r="C23" s="168" t="s">
        <v>204</v>
      </c>
      <c r="D23" s="168" t="s">
        <v>227</v>
      </c>
    </row>
    <row r="25" customFormat="false" ht="15" hidden="false" customHeight="true" outlineLevel="0" collapsed="false">
      <c r="A25" s="170" t="s">
        <v>228</v>
      </c>
      <c r="B25" s="171" t="s">
        <v>229</v>
      </c>
    </row>
  </sheetData>
  <mergeCells count="1">
    <mergeCell ref="A1:D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3203125" defaultRowHeight="15.75" customHeight="false" zeroHeight="false" outlineLevelRow="0" outlineLevelCol="0"/>
  <cols>
    <col collapsed="false" customWidth="false" hidden="false" outlineLevel="0" max="1" min="1" style="172" width="10.83"/>
    <col collapsed="false" customWidth="true" hidden="false" outlineLevel="0" max="2" min="2" style="172" width="30.67"/>
    <col collapsed="false" customWidth="true" hidden="false" outlineLevel="0" max="5" min="3" style="172" width="8.83"/>
    <col collapsed="false" customWidth="false" hidden="false" outlineLevel="0" max="16384" min="6" style="172" width="10.83"/>
  </cols>
  <sheetData>
    <row r="2" customFormat="false" ht="18.75" hidden="false" customHeight="true" outlineLevel="0" collapsed="false">
      <c r="B2" s="173"/>
      <c r="C2" s="173"/>
    </row>
    <row r="3" customFormat="false" ht="15.75" hidden="false" customHeight="true" outlineLevel="0" collapsed="false">
      <c r="B3" s="174" t="s">
        <v>230</v>
      </c>
      <c r="C3" s="175" t="s">
        <v>231</v>
      </c>
      <c r="D3" s="176" t="s">
        <v>232</v>
      </c>
      <c r="E3" s="177" t="s">
        <v>233</v>
      </c>
    </row>
    <row r="4" customFormat="false" ht="18.75" hidden="false" customHeight="true" outlineLevel="0" collapsed="false">
      <c r="B4" s="178" t="s">
        <v>234</v>
      </c>
      <c r="C4" s="179" t="n">
        <v>10775</v>
      </c>
      <c r="D4" s="180" t="n">
        <v>13444</v>
      </c>
      <c r="E4" s="181" t="n">
        <v>13949</v>
      </c>
    </row>
    <row r="5" customFormat="false" ht="18.75" hidden="false" customHeight="true" outlineLevel="0" collapsed="false">
      <c r="B5" s="182" t="s">
        <v>235</v>
      </c>
      <c r="C5" s="183" t="n">
        <v>9332</v>
      </c>
      <c r="D5" s="184" t="n">
        <v>11383</v>
      </c>
      <c r="E5" s="185" t="n">
        <v>12391</v>
      </c>
    </row>
    <row r="6" customFormat="false" ht="18.75" hidden="false" customHeight="true" outlineLevel="0" collapsed="false">
      <c r="B6" s="182" t="s">
        <v>236</v>
      </c>
      <c r="C6" s="183" t="n">
        <v>1443</v>
      </c>
      <c r="D6" s="184" t="n">
        <v>2128</v>
      </c>
      <c r="E6" s="185" t="n">
        <v>1785</v>
      </c>
    </row>
    <row r="7" customFormat="false" ht="18.75" hidden="false" customHeight="true" outlineLevel="0" collapsed="false">
      <c r="B7" s="186" t="s">
        <v>237</v>
      </c>
      <c r="C7" s="187" t="n">
        <v>1314</v>
      </c>
      <c r="D7" s="188" t="n">
        <v>1917</v>
      </c>
      <c r="E7" s="189" t="n">
        <v>1612</v>
      </c>
    </row>
    <row r="10" customFormat="false" ht="15.75" hidden="false" customHeight="true" outlineLevel="0" collapsed="false">
      <c r="B10" s="174" t="s">
        <v>238</v>
      </c>
      <c r="C10" s="175" t="s">
        <v>231</v>
      </c>
      <c r="D10" s="176" t="s">
        <v>232</v>
      </c>
      <c r="E10" s="177" t="s">
        <v>233</v>
      </c>
    </row>
    <row r="11" customFormat="false" ht="18.75" hidden="false" customHeight="true" outlineLevel="0" collapsed="false">
      <c r="B11" s="178" t="s">
        <v>239</v>
      </c>
      <c r="C11" s="179" t="n">
        <v>16406</v>
      </c>
      <c r="D11" s="180" t="n">
        <v>17176</v>
      </c>
      <c r="E11" s="181" t="n">
        <v>17507</v>
      </c>
    </row>
    <row r="12" customFormat="false" ht="18.75" hidden="false" customHeight="true" outlineLevel="0" collapsed="false">
      <c r="B12" s="182" t="s">
        <v>240</v>
      </c>
      <c r="C12" s="183" t="n">
        <v>5643</v>
      </c>
      <c r="D12" s="184" t="n">
        <v>7614</v>
      </c>
      <c r="E12" s="185" t="n">
        <v>7037</v>
      </c>
    </row>
    <row r="13" customFormat="false" ht="18.75" hidden="false" customHeight="true" outlineLevel="0" collapsed="false">
      <c r="B13" s="186" t="s">
        <v>241</v>
      </c>
      <c r="C13" s="187" t="n">
        <v>4675</v>
      </c>
      <c r="D13" s="188" t="n">
        <v>4120</v>
      </c>
      <c r="E13" s="189" t="n">
        <v>3987</v>
      </c>
    </row>
    <row r="16" customFormat="false" ht="15.75" hidden="false" customHeight="true" outlineLevel="0" collapsed="false">
      <c r="B16" s="174" t="s">
        <v>178</v>
      </c>
      <c r="C16" s="175" t="s">
        <v>231</v>
      </c>
      <c r="D16" s="176" t="s">
        <v>232</v>
      </c>
      <c r="E16" s="177" t="s">
        <v>233</v>
      </c>
    </row>
    <row r="17" customFormat="false" ht="18.75" hidden="false" customHeight="true" outlineLevel="0" collapsed="false">
      <c r="B17" s="178" t="s">
        <v>242</v>
      </c>
      <c r="C17" s="179" t="n">
        <v>7422</v>
      </c>
      <c r="D17" s="180" t="n">
        <v>6401</v>
      </c>
      <c r="E17" s="181" t="n">
        <v>8153</v>
      </c>
    </row>
    <row r="18" customFormat="false" ht="18.75" hidden="false" customHeight="true" outlineLevel="0" collapsed="false">
      <c r="B18" s="182" t="s">
        <v>243</v>
      </c>
      <c r="C18" s="183" t="n">
        <v>3341</v>
      </c>
      <c r="D18" s="184" t="n">
        <v>3161</v>
      </c>
      <c r="E18" s="185" t="n">
        <v>2317</v>
      </c>
    </row>
    <row r="19" customFormat="false" ht="15.75" hidden="false" customHeight="true" outlineLevel="0" collapsed="false">
      <c r="B19" s="190" t="s">
        <v>244</v>
      </c>
      <c r="C19" s="191" t="n">
        <f aca="false">C17+C18</f>
        <v>10763</v>
      </c>
      <c r="D19" s="192" t="n">
        <f aca="false">D17+D18</f>
        <v>9562</v>
      </c>
      <c r="E19" s="193" t="n">
        <f aca="false">E17+E18</f>
        <v>10470</v>
      </c>
    </row>
    <row r="22" customFormat="false" ht="15.75" hidden="false" customHeight="true" outlineLevel="0" collapsed="false">
      <c r="B22" s="174" t="s">
        <v>245</v>
      </c>
      <c r="C22" s="175" t="s">
        <v>231</v>
      </c>
      <c r="D22" s="176" t="s">
        <v>232</v>
      </c>
      <c r="E22" s="177" t="s">
        <v>233</v>
      </c>
    </row>
    <row r="23" customFormat="false" ht="15.75" hidden="false" customHeight="true" outlineLevel="0" collapsed="false">
      <c r="B23" s="178" t="s">
        <v>246</v>
      </c>
      <c r="C23" s="194" t="n">
        <f aca="false">(C4-4800.9)/4800.9</f>
        <v>1.24437084713283</v>
      </c>
      <c r="D23" s="194" t="n">
        <f aca="false">(D4-C4)/C4</f>
        <v>0.247703016241299</v>
      </c>
      <c r="E23" s="195" t="n">
        <f aca="false">(E4-D4)/D4</f>
        <v>0.0375632252305861</v>
      </c>
    </row>
    <row r="24" customFormat="false" ht="15.75" hidden="false" customHeight="true" outlineLevel="0" collapsed="false">
      <c r="B24" s="182" t="s">
        <v>247</v>
      </c>
      <c r="C24" s="196" t="s">
        <v>248</v>
      </c>
      <c r="D24" s="197" t="n">
        <f aca="false">(D7-C7)/C7</f>
        <v>0.458904109589041</v>
      </c>
      <c r="E24" s="198" t="n">
        <f aca="false">(E7-D7)/D7</f>
        <v>-0.159102764736568</v>
      </c>
    </row>
    <row r="25" customFormat="false" ht="15.75" hidden="false" customHeight="true" outlineLevel="0" collapsed="false">
      <c r="B25" s="182" t="s">
        <v>249</v>
      </c>
      <c r="C25" s="199" t="n">
        <f aca="false">C7/C4</f>
        <v>0.121948955916473</v>
      </c>
      <c r="D25" s="197" t="n">
        <f aca="false">D7/D4</f>
        <v>0.142591490627789</v>
      </c>
      <c r="E25" s="198" t="n">
        <f aca="false">E7/E4</f>
        <v>0.115563839701771</v>
      </c>
    </row>
    <row r="26" customFormat="false" ht="15.75" hidden="false" customHeight="true" outlineLevel="0" collapsed="false">
      <c r="B26" s="182" t="s">
        <v>250</v>
      </c>
      <c r="C26" s="199" t="n">
        <f aca="false">(C4-C5)/C4</f>
        <v>0.133921113689095</v>
      </c>
      <c r="D26" s="197" t="n">
        <f aca="false">(D4-D5)/D4</f>
        <v>0.153302588515323</v>
      </c>
      <c r="E26" s="198" t="n">
        <f aca="false">(E4-E5)/E4</f>
        <v>0.111692594451215</v>
      </c>
    </row>
    <row r="27" customFormat="false" ht="15.75" hidden="false" customHeight="true" outlineLevel="0" collapsed="false">
      <c r="B27" s="182" t="s">
        <v>251</v>
      </c>
      <c r="C27" s="199" t="n">
        <f aca="false">C5/C4</f>
        <v>0.866078886310905</v>
      </c>
      <c r="D27" s="197" t="n">
        <f aca="false">D5/D4</f>
        <v>0.846697411484677</v>
      </c>
      <c r="E27" s="198" t="n">
        <f aca="false">E5/E4</f>
        <v>0.888307405548785</v>
      </c>
    </row>
    <row r="28" customFormat="false" ht="15.75" hidden="false" customHeight="true" outlineLevel="0" collapsed="false">
      <c r="B28" s="182" t="s">
        <v>252</v>
      </c>
      <c r="C28" s="199" t="n">
        <f aca="false">C7/C11</f>
        <v>0.0800926490308424</v>
      </c>
      <c r="D28" s="197" t="n">
        <f aca="false">D7/D11</f>
        <v>0.11160922217047</v>
      </c>
      <c r="E28" s="198" t="n">
        <f aca="false">E7/E11</f>
        <v>0.0920774547323928</v>
      </c>
    </row>
    <row r="29" customFormat="false" ht="15.75" hidden="false" customHeight="true" outlineLevel="0" collapsed="false">
      <c r="B29" s="182" t="s">
        <v>253</v>
      </c>
      <c r="C29" s="199" t="n">
        <f aca="false">C7/C12</f>
        <v>0.232854864433812</v>
      </c>
      <c r="D29" s="197" t="n">
        <f aca="false">D7/D12</f>
        <v>0.25177304964539</v>
      </c>
      <c r="E29" s="198" t="n">
        <f aca="false">E7/E12</f>
        <v>0.229074889867841</v>
      </c>
    </row>
    <row r="30" customFormat="false" ht="15.75" hidden="false" customHeight="true" outlineLevel="0" collapsed="false">
      <c r="B30" s="182" t="s">
        <v>254</v>
      </c>
      <c r="C30" s="199" t="n">
        <f aca="false">C19/C11</f>
        <v>0.656040472997684</v>
      </c>
      <c r="D30" s="197" t="n">
        <f aca="false">D19/D11</f>
        <v>0.556707033069399</v>
      </c>
      <c r="E30" s="198" t="n">
        <f aca="false">E19/E11</f>
        <v>0.598046495687439</v>
      </c>
    </row>
    <row r="31" customFormat="false" ht="15.75" hidden="false" customHeight="true" outlineLevel="0" collapsed="false">
      <c r="B31" s="186" t="s">
        <v>255</v>
      </c>
      <c r="C31" s="200" t="n">
        <f aca="false">C12/C11</f>
        <v>0.343959527002316</v>
      </c>
      <c r="D31" s="201" t="n">
        <f aca="false">D12/D11</f>
        <v>0.443292966930601</v>
      </c>
      <c r="E31" s="202" t="n">
        <f aca="false">E12/E11</f>
        <v>0.401953504312561</v>
      </c>
    </row>
    <row r="33" customFormat="false" ht="15.75" hidden="false" customHeight="true" outlineLevel="0" collapsed="false">
      <c r="B33" s="172" t="s">
        <v>256</v>
      </c>
    </row>
    <row r="35" customFormat="false" ht="15.75" hidden="false" customHeight="true" outlineLevel="0" collapsed="false">
      <c r="B35" s="172" t="s">
        <v>257</v>
      </c>
    </row>
    <row r="36" customFormat="false" ht="15.75" hidden="false" customHeight="true" outlineLevel="0" collapsed="false">
      <c r="B36" s="172" t="s">
        <v>258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3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3"/>
    <col collapsed="false" customWidth="true" hidden="false" outlineLevel="0" max="4" min="4" style="1" width="3"/>
    <col collapsed="false" customWidth="true" hidden="false" outlineLevel="0" max="5" min="5" style="1" width="30"/>
    <col collapsed="false" customWidth="true" hidden="false" outlineLevel="0" max="16" min="6" style="1" width="11"/>
  </cols>
  <sheetData>
    <row r="1" customFormat="false" ht="15" hidden="false" customHeight="true" outlineLevel="0" collapsed="false">
      <c r="B1" s="84" t="s">
        <v>259</v>
      </c>
    </row>
    <row r="3" customFormat="false" ht="15" hidden="false" customHeight="true" outlineLevel="0" collapsed="false">
      <c r="B3" s="86" t="s">
        <v>260</v>
      </c>
      <c r="C3" s="86"/>
    </row>
    <row r="4" customFormat="false" ht="15" hidden="false" customHeight="true" outlineLevel="0" collapsed="false">
      <c r="B4" s="91" t="s">
        <v>33</v>
      </c>
      <c r="C4" s="97" t="n">
        <f aca="false">'Sources &amp; Checks'!$B$14</f>
        <v>0.1</v>
      </c>
    </row>
    <row r="5" customFormat="false" ht="15" hidden="false" customHeight="true" outlineLevel="0" collapsed="false">
      <c r="B5" s="91" t="s">
        <v>261</v>
      </c>
      <c r="C5" s="95" t="n">
        <f aca="false">'Sources &amp; Checks'!$B$21</f>
        <v>0.0805</v>
      </c>
    </row>
    <row r="6" customFormat="false" ht="15" hidden="false" customHeight="true" outlineLevel="0" collapsed="false">
      <c r="B6" s="91" t="s">
        <v>262</v>
      </c>
      <c r="C6" s="95" t="n">
        <f aca="false">'Sources &amp; Checks'!$B$22</f>
        <v>0.1828</v>
      </c>
    </row>
    <row r="7" customFormat="false" ht="15" hidden="false" customHeight="true" outlineLevel="0" collapsed="false">
      <c r="B7" s="91" t="s">
        <v>263</v>
      </c>
      <c r="C7" s="95" t="n">
        <f aca="false">'Sources &amp; Checks'!$B$23</f>
        <v>-0.0287</v>
      </c>
    </row>
    <row r="8" customFormat="false" ht="15" hidden="false" customHeight="true" outlineLevel="0" collapsed="false">
      <c r="B8" s="91" t="s">
        <v>264</v>
      </c>
      <c r="C8" s="96" t="n">
        <f aca="false">DCF!$N$20</f>
        <v>13948.5</v>
      </c>
    </row>
    <row r="9" customFormat="false" ht="15" hidden="false" customHeight="true" outlineLevel="0" collapsed="false">
      <c r="B9" s="91" t="s">
        <v>265</v>
      </c>
      <c r="C9" s="96" t="n">
        <f aca="false">'Sources &amp; Checks'!$B$6</f>
        <v>2400</v>
      </c>
    </row>
    <row r="10" customFormat="false" ht="15" hidden="false" customHeight="true" outlineLevel="0" collapsed="false">
      <c r="B10" s="91" t="s">
        <v>266</v>
      </c>
      <c r="C10" s="96" t="n">
        <f aca="false">'Sources &amp; Checks'!$B$7</f>
        <v>1500</v>
      </c>
    </row>
    <row r="11" customFormat="false" ht="15" hidden="false" customHeight="true" outlineLevel="0" collapsed="false">
      <c r="B11" s="91" t="s">
        <v>267</v>
      </c>
      <c r="C11" s="96" t="n">
        <f aca="false">'Sources &amp; Checks'!$B$9</f>
        <v>1066.8</v>
      </c>
    </row>
    <row r="12" customFormat="false" ht="15" hidden="false" customHeight="true" outlineLevel="0" collapsed="false">
      <c r="B12" s="91" t="s">
        <v>26</v>
      </c>
      <c r="C12" s="203" t="n">
        <f aca="false">DCF!$D$18</f>
        <v>9</v>
      </c>
    </row>
    <row r="13" customFormat="false" ht="15" hidden="false" customHeight="true" outlineLevel="0" collapsed="false">
      <c r="B13" s="91" t="s">
        <v>268</v>
      </c>
      <c r="C13" s="93" t="n">
        <f aca="false">WACC!$F$11+WACC!$F$12*WACC!$F$13</f>
        <v>0.089243</v>
      </c>
    </row>
    <row r="14" customFormat="false" ht="15" hidden="false" customHeight="true" outlineLevel="0" collapsed="false">
      <c r="B14" s="91" t="s">
        <v>269</v>
      </c>
      <c r="C14" s="93" t="n">
        <f aca="false">WACC!$F$9*C13+WACC!$F$16*WACC!$F$17*(1-WACC!$F$18)</f>
        <v>0.0860234789737754</v>
      </c>
    </row>
    <row r="16" customFormat="false" ht="15" hidden="false" customHeight="true" outlineLevel="0" collapsed="false">
      <c r="B16" s="204" t="s">
        <v>270</v>
      </c>
    </row>
    <row r="17" customFormat="false" ht="15" hidden="false" customHeight="true" outlineLevel="0" collapsed="false">
      <c r="B17" s="86" t="s">
        <v>271</v>
      </c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</row>
    <row r="18" customFormat="false" ht="15" hidden="false" customHeight="true" outlineLevel="0" collapsed="false">
      <c r="B18" s="205" t="s">
        <v>272</v>
      </c>
      <c r="C18" s="205" t="s">
        <v>184</v>
      </c>
      <c r="E18" s="205" t="s">
        <v>273</v>
      </c>
      <c r="F18" s="206" t="str">
        <f aca="false">"FY"&amp;RIGHT(DCF!O$38,2)</f>
        <v>FY26</v>
      </c>
      <c r="G18" s="206" t="str">
        <f aca="false">"FY"&amp;RIGHT(DCF!P$38,2)</f>
        <v>FY27</v>
      </c>
      <c r="H18" s="206" t="str">
        <f aca="false">"FY"&amp;RIGHT(DCF!Q$38,2)</f>
        <v>FY28</v>
      </c>
      <c r="I18" s="206" t="str">
        <f aca="false">"FY"&amp;RIGHT(DCF!R$38,2)</f>
        <v>FY29</v>
      </c>
      <c r="J18" s="206" t="str">
        <f aca="false">"FY"&amp;RIGHT(DCF!S$38,2)</f>
        <v>FY30</v>
      </c>
      <c r="K18" s="206" t="str">
        <f aca="false">"FY"&amp;RIGHT(DCF!T$38,2)</f>
        <v>FY31</v>
      </c>
      <c r="L18" s="206" t="str">
        <f aca="false">"FY"&amp;RIGHT(DCF!U$38,2)</f>
        <v>FY32</v>
      </c>
      <c r="M18" s="206" t="str">
        <f aca="false">"FY"&amp;RIGHT(DCF!V$38,2)</f>
        <v>FY33</v>
      </c>
      <c r="N18" s="206" t="str">
        <f aca="false">"FY"&amp;RIGHT(DCF!W$38,2)</f>
        <v>FY34</v>
      </c>
      <c r="O18" s="206" t="str">
        <f aca="false">"FY"&amp;RIGHT(DCF!X$38,2)</f>
        <v>FY35</v>
      </c>
      <c r="P18" s="206" t="s">
        <v>40</v>
      </c>
    </row>
    <row r="19" customFormat="false" ht="15" hidden="false" customHeight="true" outlineLevel="0" collapsed="false">
      <c r="B19" s="91" t="s">
        <v>274</v>
      </c>
      <c r="C19" s="95" t="n">
        <f aca="false">DCF!$L$11</f>
        <v>0.0909</v>
      </c>
      <c r="E19" s="91" t="s">
        <v>275</v>
      </c>
      <c r="F19" s="207" t="n">
        <f aca="false">$C$19</f>
        <v>0.0909</v>
      </c>
      <c r="G19" s="207" t="n">
        <f aca="false">IF($C$23=1,F19-($C$19-$C$22)/$C$12,$C$19)</f>
        <v>0.0909</v>
      </c>
      <c r="H19" s="207" t="n">
        <f aca="false">IF($C$23=1,G19-($C$19-$C$22)/$C$12,$C$19)</f>
        <v>0.0909</v>
      </c>
      <c r="I19" s="207" t="n">
        <f aca="false">IF($C$23=1,H19-($C$19-$C$22)/$C$12,$C$19)</f>
        <v>0.0909</v>
      </c>
      <c r="J19" s="207" t="n">
        <f aca="false">IF($C$23=1,I19-($C$19-$C$22)/$C$12,$C$19)</f>
        <v>0.0909</v>
      </c>
      <c r="K19" s="207" t="n">
        <f aca="false">IF($C$23=1,J19-($C$19-$C$22)/$C$12,$C$19)</f>
        <v>0.0909</v>
      </c>
      <c r="L19" s="207" t="n">
        <f aca="false">IF($C$23=1,K19-($C$19-$C$22)/$C$12,$C$19)</f>
        <v>0.0909</v>
      </c>
      <c r="M19" s="207" t="n">
        <f aca="false">IF($C$23=1,L19-($C$19-$C$22)/$C$12,$C$19)</f>
        <v>0.0909</v>
      </c>
      <c r="N19" s="207" t="n">
        <f aca="false">IF($C$23=1,M19-($C$19-$C$22)/$C$12,$C$19)</f>
        <v>0.0909</v>
      </c>
      <c r="O19" s="207" t="n">
        <f aca="false">IF($C$23=1,N19-($C$19-$C$22)/$C$12,$C$19)</f>
        <v>0.0909</v>
      </c>
    </row>
    <row r="20" customFormat="false" ht="15" hidden="false" customHeight="true" outlineLevel="0" collapsed="false">
      <c r="B20" s="91" t="s">
        <v>276</v>
      </c>
      <c r="C20" s="95" t="n">
        <f aca="false">DCF!$L$13</f>
        <v>0.1722</v>
      </c>
      <c r="E20" s="91" t="s">
        <v>16</v>
      </c>
      <c r="F20" s="208" t="n">
        <f aca="false">$C$8*(1+F19)</f>
        <v>15216.41865</v>
      </c>
      <c r="G20" s="208" t="n">
        <f aca="false">F20*(1+G19)</f>
        <v>16599.591105285</v>
      </c>
      <c r="H20" s="208" t="n">
        <f aca="false">G20*(1+H19)</f>
        <v>18108.4939367554</v>
      </c>
      <c r="I20" s="208" t="n">
        <f aca="false">H20*(1+I19)</f>
        <v>19754.5560356065</v>
      </c>
      <c r="J20" s="208" t="n">
        <f aca="false">I20*(1+J19)</f>
        <v>21550.2451792431</v>
      </c>
      <c r="K20" s="208" t="n">
        <f aca="false">J20*(1+K19)</f>
        <v>23509.1624660363</v>
      </c>
      <c r="L20" s="208" t="n">
        <f aca="false">K20*(1+L19)</f>
        <v>25646.145334199</v>
      </c>
      <c r="M20" s="208" t="n">
        <f aca="false">L20*(1+M19)</f>
        <v>27977.3799450777</v>
      </c>
      <c r="N20" s="208" t="n">
        <f aca="false">M20*(1+N19)</f>
        <v>30520.5237820852</v>
      </c>
      <c r="O20" s="208" t="n">
        <f aca="false">N20*(1+O19)</f>
        <v>33294.8393938768</v>
      </c>
    </row>
    <row r="21" customFormat="false" ht="15" hidden="false" customHeight="true" outlineLevel="0" collapsed="false">
      <c r="B21" s="91" t="s">
        <v>21</v>
      </c>
      <c r="C21" s="93" t="n">
        <f aca="false">$C$14</f>
        <v>0.0860234789737754</v>
      </c>
      <c r="E21" s="91" t="s">
        <v>277</v>
      </c>
      <c r="F21" s="208" t="n">
        <f aca="false">F20*$C$20*(1-$C$4)</f>
        <v>2358.240562377</v>
      </c>
      <c r="G21" s="208" t="n">
        <f aca="false">G20*$C$20*(1-$C$4)</f>
        <v>2572.60462949707</v>
      </c>
      <c r="H21" s="208" t="n">
        <f aca="false">H20*$C$20*(1-$C$4)</f>
        <v>2806.45439031835</v>
      </c>
      <c r="I21" s="208" t="n">
        <f aca="false">I20*$C$20*(1-$C$4)</f>
        <v>3061.56109439829</v>
      </c>
      <c r="J21" s="208" t="n">
        <f aca="false">J20*$C$20*(1-$C$4)</f>
        <v>3339.8569978791</v>
      </c>
      <c r="K21" s="208" t="n">
        <f aca="false">K20*$C$20*(1-$C$4)</f>
        <v>3643.4499989863</v>
      </c>
      <c r="L21" s="208" t="n">
        <f aca="false">L20*$C$20*(1-$C$4)</f>
        <v>3974.63960389416</v>
      </c>
      <c r="M21" s="208" t="n">
        <f aca="false">M20*$C$20*(1-$C$4)</f>
        <v>4335.93434388814</v>
      </c>
      <c r="N21" s="208" t="n">
        <f aca="false">N20*$C$20*(1-$C$4)</f>
        <v>4730.07077574757</v>
      </c>
      <c r="O21" s="208" t="n">
        <f aca="false">O20*$C$20*(1-$C$4)</f>
        <v>5160.03420926302</v>
      </c>
      <c r="P21" s="208" t="n">
        <f aca="false">O21*(1+$C$22)</f>
        <v>5237.43472240197</v>
      </c>
    </row>
    <row r="22" customFormat="false" ht="15" hidden="false" customHeight="true" outlineLevel="0" collapsed="false">
      <c r="B22" s="91" t="s">
        <v>278</v>
      </c>
      <c r="C22" s="95" t="n">
        <f aca="false">DCF!$L$17</f>
        <v>0.015</v>
      </c>
      <c r="E22" s="91" t="s">
        <v>46</v>
      </c>
      <c r="F22" s="207" t="n">
        <f aca="false">$C$19/(($C$6-$C$5+$C$7)/($C$20*(1-$C$4)))</f>
        <v>0.191408722826087</v>
      </c>
      <c r="G22" s="207" t="n">
        <f aca="false">IF($C$25=1,F22-($F22-$C$21)/$C$12,G19/(($C$6-$C$5+$C$7)/($C$20*(1-$C$4))))</f>
        <v>0.191408722826087</v>
      </c>
      <c r="H22" s="207" t="n">
        <f aca="false">IF($C$25=1,G22-($F22-$C$21)/$C$12,H19/(($C$6-$C$5+$C$7)/($C$20*(1-$C$4))))</f>
        <v>0.191408722826087</v>
      </c>
      <c r="I22" s="207" t="n">
        <f aca="false">IF($C$25=1,H22-($F22-$C$21)/$C$12,I19/(($C$6-$C$5+$C$7)/($C$20*(1-$C$4))))</f>
        <v>0.191408722826087</v>
      </c>
      <c r="J22" s="207" t="n">
        <f aca="false">IF($C$25=1,I22-($F22-$C$21)/$C$12,J19/(($C$6-$C$5+$C$7)/($C$20*(1-$C$4))))</f>
        <v>0.191408722826087</v>
      </c>
      <c r="K22" s="207" t="n">
        <f aca="false">IF($C$25=1,J22-($F22-$C$21)/$C$12,K19/(($C$6-$C$5+$C$7)/($C$20*(1-$C$4))))</f>
        <v>0.191408722826087</v>
      </c>
      <c r="L22" s="207" t="n">
        <f aca="false">IF($C$25=1,K22-($F22-$C$21)/$C$12,L19/(($C$6-$C$5+$C$7)/($C$20*(1-$C$4))))</f>
        <v>0.191408722826087</v>
      </c>
      <c r="M22" s="207" t="n">
        <f aca="false">IF($C$25=1,L22-($F22-$C$21)/$C$12,M19/(($C$6-$C$5+$C$7)/($C$20*(1-$C$4))))</f>
        <v>0.191408722826087</v>
      </c>
      <c r="N22" s="207" t="n">
        <f aca="false">IF($C$25=1,M22-($F22-$C$21)/$C$12,N19/(($C$6-$C$5+$C$7)/($C$20*(1-$C$4))))</f>
        <v>0.191408722826087</v>
      </c>
      <c r="O22" s="207" t="n">
        <f aca="false">IF($C$25=1,N22-($F22-$C$21)/$C$12,O19/(($C$6-$C$5+$C$7)/($C$20*(1-$C$4))))</f>
        <v>0.191408722826087</v>
      </c>
      <c r="P22" s="207" t="n">
        <f aca="false">$C$21</f>
        <v>0.0860234789737754</v>
      </c>
    </row>
    <row r="23" customFormat="false" ht="15" hidden="false" customHeight="true" outlineLevel="0" collapsed="false">
      <c r="B23" s="91" t="s">
        <v>279</v>
      </c>
      <c r="C23" s="209" t="n">
        <v>0</v>
      </c>
      <c r="E23" s="91" t="s">
        <v>45</v>
      </c>
      <c r="F23" s="210" t="n">
        <f aca="false">IF($C$25=1,F19/F22,(($C$6-$C$5+$C$7)/($C$20*(1-$C$4))))</f>
        <v>0.474899987095109</v>
      </c>
      <c r="G23" s="210" t="n">
        <f aca="false">IF($C$25=1,G19/G22,(($C$6-$C$5+$C$7)/($C$20*(1-$C$4))))</f>
        <v>0.474899987095109</v>
      </c>
      <c r="H23" s="210" t="n">
        <f aca="false">IF($C$25=1,H19/H22,(($C$6-$C$5+$C$7)/($C$20*(1-$C$4))))</f>
        <v>0.474899987095109</v>
      </c>
      <c r="I23" s="210" t="n">
        <f aca="false">IF($C$25=1,I19/I22,(($C$6-$C$5+$C$7)/($C$20*(1-$C$4))))</f>
        <v>0.474899987095109</v>
      </c>
      <c r="J23" s="210" t="n">
        <f aca="false">IF($C$25=1,J19/J22,(($C$6-$C$5+$C$7)/($C$20*(1-$C$4))))</f>
        <v>0.474899987095109</v>
      </c>
      <c r="K23" s="210" t="n">
        <f aca="false">IF($C$25=1,K19/K22,(($C$6-$C$5+$C$7)/($C$20*(1-$C$4))))</f>
        <v>0.474899987095109</v>
      </c>
      <c r="L23" s="210" t="n">
        <f aca="false">IF($C$25=1,L19/L22,(($C$6-$C$5+$C$7)/($C$20*(1-$C$4))))</f>
        <v>0.474899987095109</v>
      </c>
      <c r="M23" s="210" t="n">
        <f aca="false">IF($C$25=1,M19/M22,(($C$6-$C$5+$C$7)/($C$20*(1-$C$4))))</f>
        <v>0.474899987095109</v>
      </c>
      <c r="N23" s="210" t="n">
        <f aca="false">IF($C$25=1,N19/N22,(($C$6-$C$5+$C$7)/($C$20*(1-$C$4))))</f>
        <v>0.474899987095109</v>
      </c>
      <c r="O23" s="210" t="n">
        <f aca="false">IF($C$25=1,O19/O22,(($C$6-$C$5+$C$7)/($C$20*(1-$C$4))))</f>
        <v>0.474899987095109</v>
      </c>
      <c r="P23" s="210" t="n">
        <f aca="false">$C$22/P22</f>
        <v>0.174370999393931</v>
      </c>
    </row>
    <row r="24" customFormat="false" ht="15" hidden="false" customHeight="true" outlineLevel="0" collapsed="false">
      <c r="B24" s="91" t="s">
        <v>280</v>
      </c>
      <c r="C24" s="209" t="n">
        <v>0</v>
      </c>
      <c r="E24" s="91" t="s">
        <v>281</v>
      </c>
      <c r="F24" s="208" t="n">
        <f aca="false">F21*F23</f>
        <v>1119.92841264</v>
      </c>
      <c r="G24" s="208" t="n">
        <f aca="false">G21*G23</f>
        <v>1221.72990534898</v>
      </c>
      <c r="H24" s="208" t="n">
        <f aca="false">H21*H23</f>
        <v>1332.7851537452</v>
      </c>
      <c r="I24" s="208" t="n">
        <f aca="false">I21*I23</f>
        <v>1453.93532422064</v>
      </c>
      <c r="J24" s="208" t="n">
        <f aca="false">J21*J23</f>
        <v>1586.09804519229</v>
      </c>
      <c r="K24" s="208" t="n">
        <f aca="false">K21*K23</f>
        <v>1730.27435750027</v>
      </c>
      <c r="L24" s="208" t="n">
        <f aca="false">L21*L23</f>
        <v>1887.55629659705</v>
      </c>
      <c r="M24" s="208" t="n">
        <f aca="false">M21*M23</f>
        <v>2059.13516395772</v>
      </c>
      <c r="N24" s="208" t="n">
        <f aca="false">N21*N23</f>
        <v>2246.31055036147</v>
      </c>
      <c r="O24" s="208" t="n">
        <f aca="false">O21*O23</f>
        <v>2450.50017938933</v>
      </c>
    </row>
    <row r="25" customFormat="false" ht="15" hidden="false" customHeight="true" outlineLevel="0" collapsed="false">
      <c r="B25" s="91" t="s">
        <v>282</v>
      </c>
      <c r="C25" s="209" t="n">
        <v>0</v>
      </c>
      <c r="E25" s="90" t="s">
        <v>47</v>
      </c>
      <c r="F25" s="211" t="n">
        <f aca="false">F21-F24</f>
        <v>1238.312149737</v>
      </c>
      <c r="G25" s="211" t="n">
        <f aca="false">G21-G24</f>
        <v>1350.87472414809</v>
      </c>
      <c r="H25" s="211" t="n">
        <f aca="false">H21-H24</f>
        <v>1473.66923657316</v>
      </c>
      <c r="I25" s="211" t="n">
        <f aca="false">I21-I24</f>
        <v>1607.62577017766</v>
      </c>
      <c r="J25" s="211" t="n">
        <f aca="false">J21-J24</f>
        <v>1753.7589526868</v>
      </c>
      <c r="K25" s="211" t="n">
        <f aca="false">K21-K24</f>
        <v>1913.17564148603</v>
      </c>
      <c r="L25" s="211" t="n">
        <f aca="false">L21-L24</f>
        <v>2087.08330729711</v>
      </c>
      <c r="M25" s="211" t="n">
        <f aca="false">M21-M24</f>
        <v>2276.79917993042</v>
      </c>
      <c r="N25" s="211" t="n">
        <f aca="false">N21-N24</f>
        <v>2483.7602253861</v>
      </c>
      <c r="O25" s="211" t="n">
        <f aca="false">O21-O24</f>
        <v>2709.53402987369</v>
      </c>
      <c r="P25" s="211" t="n">
        <f aca="false">IF($C$24=1,P21*(1-P23),O25*(1+$C$22))</f>
        <v>2750.1770403218</v>
      </c>
    </row>
    <row r="26" customFormat="false" ht="15" hidden="false" customHeight="true" outlineLevel="0" collapsed="false">
      <c r="B26" s="91" t="s">
        <v>101</v>
      </c>
      <c r="C26" s="96" t="n">
        <f aca="false">SUM(F27:O27)</f>
        <v>13045.07390491</v>
      </c>
      <c r="E26" s="91" t="s">
        <v>283</v>
      </c>
      <c r="F26" s="212" t="n">
        <f aca="false">DCF!O$71</f>
        <v>0.0347222222222222</v>
      </c>
      <c r="G26" s="212" t="n">
        <f aca="false">DCF!P$71</f>
        <v>0.569444444444444</v>
      </c>
      <c r="H26" s="212" t="n">
        <f aca="false">DCF!Q$71</f>
        <v>1.56944444444444</v>
      </c>
      <c r="I26" s="212" t="n">
        <f aca="false">DCF!R$71</f>
        <v>2.56944444444444</v>
      </c>
      <c r="J26" s="212" t="n">
        <f aca="false">DCF!S$71</f>
        <v>3.56944444444444</v>
      </c>
      <c r="K26" s="212" t="n">
        <f aca="false">DCF!T$71</f>
        <v>4.56944444444445</v>
      </c>
      <c r="L26" s="212" t="n">
        <f aca="false">DCF!U$71</f>
        <v>5.56944444444445</v>
      </c>
      <c r="M26" s="212" t="n">
        <f aca="false">DCF!V$71</f>
        <v>6.56944444444445</v>
      </c>
      <c r="N26" s="212" t="n">
        <f aca="false">DCF!W$71</f>
        <v>7.56944444444445</v>
      </c>
      <c r="O26" s="212" t="n">
        <f aca="false">DCF!X$71</f>
        <v>8.56944444444445</v>
      </c>
    </row>
    <row r="27" customFormat="false" ht="15" hidden="false" customHeight="true" outlineLevel="0" collapsed="false">
      <c r="B27" s="91" t="s">
        <v>99</v>
      </c>
      <c r="C27" s="96" t="n">
        <f aca="false">P25/($C$21-$C$22)</f>
        <v>38722.0828951123</v>
      </c>
      <c r="E27" s="91" t="s">
        <v>284</v>
      </c>
      <c r="F27" s="208" t="n">
        <f aca="false">F25/(1+$C$21)^F26</f>
        <v>1234.76899795583</v>
      </c>
      <c r="G27" s="208" t="n">
        <f aca="false">G25/(1+$C$21)^G26</f>
        <v>1288.86263750385</v>
      </c>
      <c r="H27" s="208" t="n">
        <f aca="false">H25/(1+$C$21)^H26</f>
        <v>1294.64995782739</v>
      </c>
      <c r="I27" s="208" t="n">
        <f aca="false">I25/(1+$C$21)^I26</f>
        <v>1300.46326468785</v>
      </c>
      <c r="J27" s="208" t="n">
        <f aca="false">J25/(1+$C$21)^J26</f>
        <v>1306.3026747714</v>
      </c>
      <c r="K27" s="208" t="n">
        <f aca="false">K25/(1+$C$21)^K26</f>
        <v>1312.16830528811</v>
      </c>
      <c r="L27" s="208" t="n">
        <f aca="false">L25/(1+$C$21)^L26</f>
        <v>1318.06027397439</v>
      </c>
      <c r="M27" s="208" t="n">
        <f aca="false">M25/(1+$C$21)^M26</f>
        <v>1323.97869909531</v>
      </c>
      <c r="N27" s="208" t="n">
        <f aca="false">N25/(1+$C$21)^N26</f>
        <v>1329.92369944697</v>
      </c>
      <c r="O27" s="208" t="n">
        <f aca="false">O25/(1+$C$21)^O26</f>
        <v>1335.89539435891</v>
      </c>
    </row>
    <row r="28" customFormat="false" ht="15" hidden="false" customHeight="true" outlineLevel="0" collapsed="false">
      <c r="B28" s="91" t="s">
        <v>100</v>
      </c>
      <c r="C28" s="96" t="n">
        <f aca="false">C27/(1+$C$21)^O26</f>
        <v>19091.346197994</v>
      </c>
    </row>
    <row r="29" customFormat="false" ht="15" hidden="false" customHeight="true" outlineLevel="0" collapsed="false">
      <c r="B29" s="91" t="s">
        <v>102</v>
      </c>
      <c r="C29" s="96" t="n">
        <f aca="false">C26+C28</f>
        <v>32136.420102904</v>
      </c>
    </row>
    <row r="30" customFormat="false" ht="15" hidden="false" customHeight="true" outlineLevel="0" collapsed="false">
      <c r="B30" s="91" t="s">
        <v>285</v>
      </c>
      <c r="C30" s="96" t="n">
        <f aca="false">C29+$C$9-$C$10</f>
        <v>33036.420102904</v>
      </c>
    </row>
    <row r="31" customFormat="false" ht="15" hidden="false" customHeight="true" outlineLevel="0" collapsed="false">
      <c r="B31" s="205" t="s">
        <v>104</v>
      </c>
      <c r="C31" s="213" t="n">
        <f aca="false">C30/$C$11</f>
        <v>30.9677728748631</v>
      </c>
    </row>
    <row r="32" customFormat="false" ht="15" hidden="false" customHeight="true" outlineLevel="0" collapsed="false">
      <c r="B32" s="91" t="s">
        <v>98</v>
      </c>
      <c r="C32" s="97" t="n">
        <f aca="false">1-P25/P21</f>
        <v>0.474899987095109</v>
      </c>
    </row>
    <row r="33" customFormat="false" ht="15" hidden="false" customHeight="true" outlineLevel="0" collapsed="false">
      <c r="B33" s="91" t="s">
        <v>286</v>
      </c>
      <c r="C33" s="97" t="n">
        <f aca="false">C28/C29</f>
        <v>0.594071963736521</v>
      </c>
    </row>
    <row r="36" customFormat="false" ht="15" hidden="false" customHeight="true" outlineLevel="0" collapsed="false">
      <c r="B36" s="86" t="s">
        <v>287</v>
      </c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</row>
    <row r="37" customFormat="false" ht="15" hidden="false" customHeight="true" outlineLevel="0" collapsed="false">
      <c r="B37" s="205" t="s">
        <v>272</v>
      </c>
      <c r="C37" s="205" t="s">
        <v>184</v>
      </c>
      <c r="E37" s="205" t="s">
        <v>273</v>
      </c>
      <c r="F37" s="206" t="str">
        <f aca="false">"FY"&amp;RIGHT(DCF!O$38,2)</f>
        <v>FY26</v>
      </c>
      <c r="G37" s="206" t="str">
        <f aca="false">"FY"&amp;RIGHT(DCF!P$38,2)</f>
        <v>FY27</v>
      </c>
      <c r="H37" s="206" t="str">
        <f aca="false">"FY"&amp;RIGHT(DCF!Q$38,2)</f>
        <v>FY28</v>
      </c>
      <c r="I37" s="206" t="str">
        <f aca="false">"FY"&amp;RIGHT(DCF!R$38,2)</f>
        <v>FY29</v>
      </c>
      <c r="J37" s="206" t="str">
        <f aca="false">"FY"&amp;RIGHT(DCF!S$38,2)</f>
        <v>FY30</v>
      </c>
      <c r="K37" s="206" t="str">
        <f aca="false">"FY"&amp;RIGHT(DCF!T$38,2)</f>
        <v>FY31</v>
      </c>
      <c r="L37" s="206" t="str">
        <f aca="false">"FY"&amp;RIGHT(DCF!U$38,2)</f>
        <v>FY32</v>
      </c>
      <c r="M37" s="206" t="str">
        <f aca="false">"FY"&amp;RIGHT(DCF!V$38,2)</f>
        <v>FY33</v>
      </c>
      <c r="N37" s="206" t="str">
        <f aca="false">"FY"&amp;RIGHT(DCF!W$38,2)</f>
        <v>FY34</v>
      </c>
      <c r="O37" s="206" t="str">
        <f aca="false">"FY"&amp;RIGHT(DCF!X$38,2)</f>
        <v>FY35</v>
      </c>
      <c r="P37" s="206" t="s">
        <v>40</v>
      </c>
    </row>
    <row r="38" customFormat="false" ht="15" hidden="false" customHeight="true" outlineLevel="0" collapsed="false">
      <c r="B38" s="91" t="s">
        <v>274</v>
      </c>
      <c r="C38" s="95" t="n">
        <f aca="false">DCF!$L$11</f>
        <v>0.0909</v>
      </c>
      <c r="E38" s="91" t="s">
        <v>275</v>
      </c>
      <c r="F38" s="207" t="n">
        <f aca="false">$C$38</f>
        <v>0.0909</v>
      </c>
      <c r="G38" s="207" t="n">
        <f aca="false">IF($C$42=1,F38-($C$38-$C$41)/$C$12,$C$38)</f>
        <v>0.0909</v>
      </c>
      <c r="H38" s="207" t="n">
        <f aca="false">IF($C$42=1,G38-($C$38-$C$41)/$C$12,$C$38)</f>
        <v>0.0909</v>
      </c>
      <c r="I38" s="207" t="n">
        <f aca="false">IF($C$42=1,H38-($C$38-$C$41)/$C$12,$C$38)</f>
        <v>0.0909</v>
      </c>
      <c r="J38" s="207" t="n">
        <f aca="false">IF($C$42=1,I38-($C$38-$C$41)/$C$12,$C$38)</f>
        <v>0.0909</v>
      </c>
      <c r="K38" s="207" t="n">
        <f aca="false">IF($C$42=1,J38-($C$38-$C$41)/$C$12,$C$38)</f>
        <v>0.0909</v>
      </c>
      <c r="L38" s="207" t="n">
        <f aca="false">IF($C$42=1,K38-($C$38-$C$41)/$C$12,$C$38)</f>
        <v>0.0909</v>
      </c>
      <c r="M38" s="207" t="n">
        <f aca="false">IF($C$42=1,L38-($C$38-$C$41)/$C$12,$C$38)</f>
        <v>0.0909</v>
      </c>
      <c r="N38" s="207" t="n">
        <f aca="false">IF($C$42=1,M38-($C$38-$C$41)/$C$12,$C$38)</f>
        <v>0.0909</v>
      </c>
      <c r="O38" s="207" t="n">
        <f aca="false">IF($C$42=1,N38-($C$38-$C$41)/$C$12,$C$38)</f>
        <v>0.0909</v>
      </c>
    </row>
    <row r="39" customFormat="false" ht="15" hidden="false" customHeight="true" outlineLevel="0" collapsed="false">
      <c r="B39" s="91" t="s">
        <v>276</v>
      </c>
      <c r="C39" s="95" t="n">
        <f aca="false">DCF!$L$13</f>
        <v>0.1722</v>
      </c>
      <c r="E39" s="91" t="s">
        <v>16</v>
      </c>
      <c r="F39" s="208" t="n">
        <f aca="false">$C$8*(1+F38)</f>
        <v>15216.41865</v>
      </c>
      <c r="G39" s="208" t="n">
        <f aca="false">F39*(1+G38)</f>
        <v>16599.591105285</v>
      </c>
      <c r="H39" s="208" t="n">
        <f aca="false">G39*(1+H38)</f>
        <v>18108.4939367554</v>
      </c>
      <c r="I39" s="208" t="n">
        <f aca="false">H39*(1+I38)</f>
        <v>19754.5560356065</v>
      </c>
      <c r="J39" s="208" t="n">
        <f aca="false">I39*(1+J38)</f>
        <v>21550.2451792431</v>
      </c>
      <c r="K39" s="208" t="n">
        <f aca="false">J39*(1+K38)</f>
        <v>23509.1624660363</v>
      </c>
      <c r="L39" s="208" t="n">
        <f aca="false">K39*(1+L38)</f>
        <v>25646.145334199</v>
      </c>
      <c r="M39" s="208" t="n">
        <f aca="false">L39*(1+M38)</f>
        <v>27977.3799450777</v>
      </c>
      <c r="N39" s="208" t="n">
        <f aca="false">M39*(1+N38)</f>
        <v>30520.5237820852</v>
      </c>
      <c r="O39" s="208" t="n">
        <f aca="false">N39*(1+O38)</f>
        <v>33294.8393938768</v>
      </c>
    </row>
    <row r="40" customFormat="false" ht="15" hidden="false" customHeight="true" outlineLevel="0" collapsed="false">
      <c r="B40" s="91" t="s">
        <v>21</v>
      </c>
      <c r="C40" s="93" t="n">
        <f aca="false">WACC!$F$22</f>
        <v>0.0858338239797238</v>
      </c>
      <c r="E40" s="91" t="s">
        <v>277</v>
      </c>
      <c r="F40" s="208" t="n">
        <f aca="false">F39*$C$39*(1-$C$4)</f>
        <v>2358.240562377</v>
      </c>
      <c r="G40" s="208" t="n">
        <f aca="false">G39*$C$39*(1-$C$4)</f>
        <v>2572.60462949707</v>
      </c>
      <c r="H40" s="208" t="n">
        <f aca="false">H39*$C$39*(1-$C$4)</f>
        <v>2806.45439031835</v>
      </c>
      <c r="I40" s="208" t="n">
        <f aca="false">I39*$C$39*(1-$C$4)</f>
        <v>3061.56109439829</v>
      </c>
      <c r="J40" s="208" t="n">
        <f aca="false">J39*$C$39*(1-$C$4)</f>
        <v>3339.8569978791</v>
      </c>
      <c r="K40" s="208" t="n">
        <f aca="false">K39*$C$39*(1-$C$4)</f>
        <v>3643.4499989863</v>
      </c>
      <c r="L40" s="208" t="n">
        <f aca="false">L39*$C$39*(1-$C$4)</f>
        <v>3974.63960389416</v>
      </c>
      <c r="M40" s="208" t="n">
        <f aca="false">M39*$C$39*(1-$C$4)</f>
        <v>4335.93434388814</v>
      </c>
      <c r="N40" s="208" t="n">
        <f aca="false">N39*$C$39*(1-$C$4)</f>
        <v>4730.07077574757</v>
      </c>
      <c r="O40" s="208" t="n">
        <f aca="false">O39*$C$39*(1-$C$4)</f>
        <v>5160.03420926302</v>
      </c>
      <c r="P40" s="208" t="n">
        <f aca="false">O40*(1+$C$41)</f>
        <v>5237.43472240197</v>
      </c>
    </row>
    <row r="41" customFormat="false" ht="15" hidden="false" customHeight="true" outlineLevel="0" collapsed="false">
      <c r="B41" s="91" t="s">
        <v>278</v>
      </c>
      <c r="C41" s="95" t="n">
        <f aca="false">DCF!$L$17</f>
        <v>0.015</v>
      </c>
      <c r="E41" s="91" t="s">
        <v>46</v>
      </c>
      <c r="F41" s="207" t="n">
        <f aca="false">$C$38/(($C$6-$C$5+$C$7)/($C$39*(1-$C$4)))</f>
        <v>0.191408722826087</v>
      </c>
      <c r="G41" s="207" t="n">
        <f aca="false">IF($C$44=1,F41-($F41-$C$40)/$C$12,G38/(($C$6-$C$5+$C$7)/($C$39*(1-$C$4))))</f>
        <v>0.191408722826087</v>
      </c>
      <c r="H41" s="207" t="n">
        <f aca="false">IF($C$44=1,G41-($F41-$C$40)/$C$12,H38/(($C$6-$C$5+$C$7)/($C$39*(1-$C$4))))</f>
        <v>0.191408722826087</v>
      </c>
      <c r="I41" s="207" t="n">
        <f aca="false">IF($C$44=1,H41-($F41-$C$40)/$C$12,I38/(($C$6-$C$5+$C$7)/($C$39*(1-$C$4))))</f>
        <v>0.191408722826087</v>
      </c>
      <c r="J41" s="207" t="n">
        <f aca="false">IF($C$44=1,I41-($F41-$C$40)/$C$12,J38/(($C$6-$C$5+$C$7)/($C$39*(1-$C$4))))</f>
        <v>0.191408722826087</v>
      </c>
      <c r="K41" s="207" t="n">
        <f aca="false">IF($C$44=1,J41-($F41-$C$40)/$C$12,K38/(($C$6-$C$5+$C$7)/($C$39*(1-$C$4))))</f>
        <v>0.191408722826087</v>
      </c>
      <c r="L41" s="207" t="n">
        <f aca="false">IF($C$44=1,K41-($F41-$C$40)/$C$12,L38/(($C$6-$C$5+$C$7)/($C$39*(1-$C$4))))</f>
        <v>0.191408722826087</v>
      </c>
      <c r="M41" s="207" t="n">
        <f aca="false">IF($C$44=1,L41-($F41-$C$40)/$C$12,M38/(($C$6-$C$5+$C$7)/($C$39*(1-$C$4))))</f>
        <v>0.191408722826087</v>
      </c>
      <c r="N41" s="207" t="n">
        <f aca="false">IF($C$44=1,M41-($F41-$C$40)/$C$12,N38/(($C$6-$C$5+$C$7)/($C$39*(1-$C$4))))</f>
        <v>0.191408722826087</v>
      </c>
      <c r="O41" s="207" t="n">
        <f aca="false">IF($C$44=1,N41-($F41-$C$40)/$C$12,O38/(($C$6-$C$5+$C$7)/($C$39*(1-$C$4))))</f>
        <v>0.191408722826087</v>
      </c>
      <c r="P41" s="207" t="n">
        <f aca="false">$C$40</f>
        <v>0.0858338239797238</v>
      </c>
    </row>
    <row r="42" customFormat="false" ht="15" hidden="false" customHeight="true" outlineLevel="0" collapsed="false">
      <c r="B42" s="91" t="s">
        <v>279</v>
      </c>
      <c r="C42" s="209" t="n">
        <v>0</v>
      </c>
      <c r="E42" s="91" t="s">
        <v>45</v>
      </c>
      <c r="F42" s="210" t="n">
        <f aca="false">IF($C$44=1,F38/F41,(($C$6-$C$5+$C$7)/($C$39*(1-$C$4))))</f>
        <v>0.474899987095109</v>
      </c>
      <c r="G42" s="210" t="n">
        <f aca="false">IF($C$44=1,G38/G41,(($C$6-$C$5+$C$7)/($C$39*(1-$C$4))))</f>
        <v>0.474899987095109</v>
      </c>
      <c r="H42" s="210" t="n">
        <f aca="false">IF($C$44=1,H38/H41,(($C$6-$C$5+$C$7)/($C$39*(1-$C$4))))</f>
        <v>0.474899987095109</v>
      </c>
      <c r="I42" s="210" t="n">
        <f aca="false">IF($C$44=1,I38/I41,(($C$6-$C$5+$C$7)/($C$39*(1-$C$4))))</f>
        <v>0.474899987095109</v>
      </c>
      <c r="J42" s="210" t="n">
        <f aca="false">IF($C$44=1,J38/J41,(($C$6-$C$5+$C$7)/($C$39*(1-$C$4))))</f>
        <v>0.474899987095109</v>
      </c>
      <c r="K42" s="210" t="n">
        <f aca="false">IF($C$44=1,K38/K41,(($C$6-$C$5+$C$7)/($C$39*(1-$C$4))))</f>
        <v>0.474899987095109</v>
      </c>
      <c r="L42" s="210" t="n">
        <f aca="false">IF($C$44=1,L38/L41,(($C$6-$C$5+$C$7)/($C$39*(1-$C$4))))</f>
        <v>0.474899987095109</v>
      </c>
      <c r="M42" s="210" t="n">
        <f aca="false">IF($C$44=1,M38/M41,(($C$6-$C$5+$C$7)/($C$39*(1-$C$4))))</f>
        <v>0.474899987095109</v>
      </c>
      <c r="N42" s="210" t="n">
        <f aca="false">IF($C$44=1,N38/N41,(($C$6-$C$5+$C$7)/($C$39*(1-$C$4))))</f>
        <v>0.474899987095109</v>
      </c>
      <c r="O42" s="210" t="n">
        <f aca="false">IF($C$44=1,O38/O41,(($C$6-$C$5+$C$7)/($C$39*(1-$C$4))))</f>
        <v>0.474899987095109</v>
      </c>
      <c r="P42" s="210" t="n">
        <f aca="false">$C$41/P41</f>
        <v>0.174756282599543</v>
      </c>
    </row>
    <row r="43" customFormat="false" ht="15" hidden="false" customHeight="true" outlineLevel="0" collapsed="false">
      <c r="B43" s="91" t="s">
        <v>280</v>
      </c>
      <c r="C43" s="209" t="n">
        <v>0</v>
      </c>
      <c r="E43" s="91" t="s">
        <v>281</v>
      </c>
      <c r="F43" s="208" t="n">
        <f aca="false">F40*F42</f>
        <v>1119.92841264</v>
      </c>
      <c r="G43" s="208" t="n">
        <f aca="false">G40*G42</f>
        <v>1221.72990534898</v>
      </c>
      <c r="H43" s="208" t="n">
        <f aca="false">H40*H42</f>
        <v>1332.7851537452</v>
      </c>
      <c r="I43" s="208" t="n">
        <f aca="false">I40*I42</f>
        <v>1453.93532422064</v>
      </c>
      <c r="J43" s="208" t="n">
        <f aca="false">J40*J42</f>
        <v>1586.09804519229</v>
      </c>
      <c r="K43" s="208" t="n">
        <f aca="false">K40*K42</f>
        <v>1730.27435750027</v>
      </c>
      <c r="L43" s="208" t="n">
        <f aca="false">L40*L42</f>
        <v>1887.55629659705</v>
      </c>
      <c r="M43" s="208" t="n">
        <f aca="false">M40*M42</f>
        <v>2059.13516395772</v>
      </c>
      <c r="N43" s="208" t="n">
        <f aca="false">N40*N42</f>
        <v>2246.31055036147</v>
      </c>
      <c r="O43" s="208" t="n">
        <f aca="false">O40*O42</f>
        <v>2450.50017938933</v>
      </c>
    </row>
    <row r="44" customFormat="false" ht="15" hidden="false" customHeight="true" outlineLevel="0" collapsed="false">
      <c r="B44" s="91" t="s">
        <v>282</v>
      </c>
      <c r="C44" s="209" t="n">
        <v>0</v>
      </c>
      <c r="E44" s="90" t="s">
        <v>47</v>
      </c>
      <c r="F44" s="211" t="n">
        <f aca="false">F40-F43</f>
        <v>1238.312149737</v>
      </c>
      <c r="G44" s="211" t="n">
        <f aca="false">G40-G43</f>
        <v>1350.87472414809</v>
      </c>
      <c r="H44" s="211" t="n">
        <f aca="false">H40-H43</f>
        <v>1473.66923657316</v>
      </c>
      <c r="I44" s="211" t="n">
        <f aca="false">I40-I43</f>
        <v>1607.62577017766</v>
      </c>
      <c r="J44" s="211" t="n">
        <f aca="false">J40-J43</f>
        <v>1753.7589526868</v>
      </c>
      <c r="K44" s="211" t="n">
        <f aca="false">K40-K43</f>
        <v>1913.17564148603</v>
      </c>
      <c r="L44" s="211" t="n">
        <f aca="false">L40-L43</f>
        <v>2087.08330729711</v>
      </c>
      <c r="M44" s="211" t="n">
        <f aca="false">M40-M43</f>
        <v>2276.79917993042</v>
      </c>
      <c r="N44" s="211" t="n">
        <f aca="false">N40-N43</f>
        <v>2483.7602253861</v>
      </c>
      <c r="O44" s="211" t="n">
        <f aca="false">O40-O43</f>
        <v>2709.53402987369</v>
      </c>
      <c r="P44" s="211" t="n">
        <f aca="false">IF($C$43=1,P40*(1-P42),O44*(1+$C$41))</f>
        <v>2750.1770403218</v>
      </c>
    </row>
    <row r="45" customFormat="false" ht="15" hidden="false" customHeight="true" outlineLevel="0" collapsed="false">
      <c r="B45" s="91" t="s">
        <v>101</v>
      </c>
      <c r="C45" s="96" t="n">
        <f aca="false">SUM(F46:O46)</f>
        <v>13054.5731443257</v>
      </c>
      <c r="E45" s="91" t="s">
        <v>283</v>
      </c>
      <c r="F45" s="212" t="n">
        <f aca="false">DCF!O$71</f>
        <v>0.0347222222222222</v>
      </c>
      <c r="G45" s="212" t="n">
        <f aca="false">DCF!P$71</f>
        <v>0.569444444444444</v>
      </c>
      <c r="H45" s="212" t="n">
        <f aca="false">DCF!Q$71</f>
        <v>1.56944444444444</v>
      </c>
      <c r="I45" s="212" t="n">
        <f aca="false">DCF!R$71</f>
        <v>2.56944444444444</v>
      </c>
      <c r="J45" s="212" t="n">
        <f aca="false">DCF!S$71</f>
        <v>3.56944444444444</v>
      </c>
      <c r="K45" s="212" t="n">
        <f aca="false">DCF!T$71</f>
        <v>4.56944444444445</v>
      </c>
      <c r="L45" s="212" t="n">
        <f aca="false">DCF!U$71</f>
        <v>5.56944444444445</v>
      </c>
      <c r="M45" s="212" t="n">
        <f aca="false">DCF!V$71</f>
        <v>6.56944444444445</v>
      </c>
      <c r="N45" s="212" t="n">
        <f aca="false">DCF!W$71</f>
        <v>7.56944444444445</v>
      </c>
      <c r="O45" s="212" t="n">
        <f aca="false">DCF!X$71</f>
        <v>8.56944444444445</v>
      </c>
    </row>
    <row r="46" customFormat="false" ht="15" hidden="false" customHeight="true" outlineLevel="0" collapsed="false">
      <c r="B46" s="91" t="s">
        <v>99</v>
      </c>
      <c r="C46" s="96" t="n">
        <f aca="false">P44/($C$40-$C$41)</f>
        <v>38825.7598673345</v>
      </c>
      <c r="E46" s="91" t="s">
        <v>284</v>
      </c>
      <c r="F46" s="208" t="n">
        <f aca="false">F44/(1+$C$40)^F45</f>
        <v>1234.77648581277</v>
      </c>
      <c r="G46" s="208" t="n">
        <f aca="false">G44/(1+$C$40)^G45</f>
        <v>1288.99082409038</v>
      </c>
      <c r="H46" s="208" t="n">
        <f aca="false">H44/(1+$C$40)^H45</f>
        <v>1295.00486994081</v>
      </c>
      <c r="I46" s="208" t="n">
        <f aca="false">I44/(1+$C$40)^I45</f>
        <v>1301.04697553132</v>
      </c>
      <c r="J46" s="208" t="n">
        <f aca="false">J44/(1+$C$40)^J45</f>
        <v>1307.11727178027</v>
      </c>
      <c r="K46" s="208" t="n">
        <f aca="false">K44/(1+$C$40)^K45</f>
        <v>1313.21589021685</v>
      </c>
      <c r="L46" s="208" t="n">
        <f aca="false">L44/(1+$C$40)^L45</f>
        <v>1319.34296298391</v>
      </c>
      <c r="M46" s="208" t="n">
        <f aca="false">M44/(1+$C$40)^M45</f>
        <v>1325.49862284086</v>
      </c>
      <c r="N46" s="208" t="n">
        <f aca="false">N44/(1+$C$40)^N45</f>
        <v>1331.68300316651</v>
      </c>
      <c r="O46" s="208" t="n">
        <f aca="false">O44/(1+$C$40)^O45</f>
        <v>1337.89623796198</v>
      </c>
    </row>
    <row r="47" customFormat="false" ht="15" hidden="false" customHeight="true" outlineLevel="0" collapsed="false">
      <c r="B47" s="91" t="s">
        <v>100</v>
      </c>
      <c r="C47" s="96" t="n">
        <f aca="false">C46/(1+$C$40)^O45</f>
        <v>19171.1332981279</v>
      </c>
    </row>
    <row r="48" customFormat="false" ht="15" hidden="false" customHeight="true" outlineLevel="0" collapsed="false">
      <c r="B48" s="91" t="s">
        <v>102</v>
      </c>
      <c r="C48" s="96" t="n">
        <f aca="false">C45+C47</f>
        <v>32225.7064424536</v>
      </c>
    </row>
    <row r="49" customFormat="false" ht="15" hidden="false" customHeight="true" outlineLevel="0" collapsed="false">
      <c r="B49" s="91" t="s">
        <v>285</v>
      </c>
      <c r="C49" s="96" t="n">
        <f aca="false">C48+$C$9-$C$10</f>
        <v>33125.7064424536</v>
      </c>
    </row>
    <row r="50" customFormat="false" ht="15" hidden="false" customHeight="true" outlineLevel="0" collapsed="false">
      <c r="B50" s="205" t="s">
        <v>104</v>
      </c>
      <c r="C50" s="213" t="n">
        <f aca="false">C49/$C$11</f>
        <v>31.0514683562557</v>
      </c>
    </row>
    <row r="51" customFormat="false" ht="15" hidden="false" customHeight="true" outlineLevel="0" collapsed="false">
      <c r="B51" s="91" t="s">
        <v>98</v>
      </c>
      <c r="C51" s="97" t="n">
        <f aca="false">1-P44/P40</f>
        <v>0.474899987095109</v>
      </c>
    </row>
    <row r="52" customFormat="false" ht="15" hidden="false" customHeight="true" outlineLevel="0" collapsed="false">
      <c r="B52" s="91" t="s">
        <v>286</v>
      </c>
      <c r="C52" s="97" t="n">
        <f aca="false">C47/C48</f>
        <v>0.59490187848519</v>
      </c>
    </row>
    <row r="55" customFormat="false" ht="15" hidden="false" customHeight="true" outlineLevel="0" collapsed="false">
      <c r="B55" s="86" t="s">
        <v>288</v>
      </c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</row>
    <row r="56" customFormat="false" ht="15" hidden="false" customHeight="true" outlineLevel="0" collapsed="false">
      <c r="B56" s="205" t="s">
        <v>272</v>
      </c>
      <c r="C56" s="205" t="s">
        <v>184</v>
      </c>
      <c r="E56" s="205" t="s">
        <v>273</v>
      </c>
      <c r="F56" s="206" t="str">
        <f aca="false">"FY"&amp;RIGHT(DCF!O$38,2)</f>
        <v>FY26</v>
      </c>
      <c r="G56" s="206" t="str">
        <f aca="false">"FY"&amp;RIGHT(DCF!P$38,2)</f>
        <v>FY27</v>
      </c>
      <c r="H56" s="206" t="str">
        <f aca="false">"FY"&amp;RIGHT(DCF!Q$38,2)</f>
        <v>FY28</v>
      </c>
      <c r="I56" s="206" t="str">
        <f aca="false">"FY"&amp;RIGHT(DCF!R$38,2)</f>
        <v>FY29</v>
      </c>
      <c r="J56" s="206" t="str">
        <f aca="false">"FY"&amp;RIGHT(DCF!S$38,2)</f>
        <v>FY30</v>
      </c>
      <c r="K56" s="206" t="str">
        <f aca="false">"FY"&amp;RIGHT(DCF!T$38,2)</f>
        <v>FY31</v>
      </c>
      <c r="L56" s="206" t="str">
        <f aca="false">"FY"&amp;RIGHT(DCF!U$38,2)</f>
        <v>FY32</v>
      </c>
      <c r="M56" s="206" t="str">
        <f aca="false">"FY"&amp;RIGHT(DCF!V$38,2)</f>
        <v>FY33</v>
      </c>
      <c r="N56" s="206" t="str">
        <f aca="false">"FY"&amp;RIGHT(DCF!W$38,2)</f>
        <v>FY34</v>
      </c>
      <c r="O56" s="206" t="str">
        <f aca="false">"FY"&amp;RIGHT(DCF!X$38,2)</f>
        <v>FY35</v>
      </c>
      <c r="P56" s="206" t="s">
        <v>40</v>
      </c>
    </row>
    <row r="57" customFormat="false" ht="15" hidden="false" customHeight="true" outlineLevel="0" collapsed="false">
      <c r="B57" s="91" t="s">
        <v>274</v>
      </c>
      <c r="C57" s="95" t="n">
        <f aca="false">DCF!$L$11</f>
        <v>0.0909</v>
      </c>
      <c r="E57" s="91" t="s">
        <v>275</v>
      </c>
      <c r="F57" s="207" t="n">
        <f aca="false">$C$57</f>
        <v>0.0909</v>
      </c>
      <c r="G57" s="207" t="n">
        <f aca="false">IF($C$61=1,F57-($C$57-$C$60)/$C$12,$C$57)</f>
        <v>0.0909</v>
      </c>
      <c r="H57" s="207" t="n">
        <f aca="false">IF($C$61=1,G57-($C$57-$C$60)/$C$12,$C$57)</f>
        <v>0.0909</v>
      </c>
      <c r="I57" s="207" t="n">
        <f aca="false">IF($C$61=1,H57-($C$57-$C$60)/$C$12,$C$57)</f>
        <v>0.0909</v>
      </c>
      <c r="J57" s="207" t="n">
        <f aca="false">IF($C$61=1,I57-($C$57-$C$60)/$C$12,$C$57)</f>
        <v>0.0909</v>
      </c>
      <c r="K57" s="207" t="n">
        <f aca="false">IF($C$61=1,J57-($C$57-$C$60)/$C$12,$C$57)</f>
        <v>0.0909</v>
      </c>
      <c r="L57" s="207" t="n">
        <f aca="false">IF($C$61=1,K57-($C$57-$C$60)/$C$12,$C$57)</f>
        <v>0.0909</v>
      </c>
      <c r="M57" s="207" t="n">
        <f aca="false">IF($C$61=1,L57-($C$57-$C$60)/$C$12,$C$57)</f>
        <v>0.0909</v>
      </c>
      <c r="N57" s="207" t="n">
        <f aca="false">IF($C$61=1,M57-($C$57-$C$60)/$C$12,$C$57)</f>
        <v>0.0909</v>
      </c>
      <c r="O57" s="207" t="n">
        <f aca="false">IF($C$61=1,N57-($C$57-$C$60)/$C$12,$C$57)</f>
        <v>0.0909</v>
      </c>
    </row>
    <row r="58" customFormat="false" ht="15" hidden="false" customHeight="true" outlineLevel="0" collapsed="false">
      <c r="B58" s="91" t="s">
        <v>276</v>
      </c>
      <c r="C58" s="95" t="n">
        <f aca="false">DCF!$L$13</f>
        <v>0.1722</v>
      </c>
      <c r="E58" s="91" t="s">
        <v>16</v>
      </c>
      <c r="F58" s="208" t="n">
        <f aca="false">$C$8*(1+F57)</f>
        <v>15216.41865</v>
      </c>
      <c r="G58" s="208" t="n">
        <f aca="false">F58*(1+G57)</f>
        <v>16599.591105285</v>
      </c>
      <c r="H58" s="208" t="n">
        <f aca="false">G58*(1+H57)</f>
        <v>18108.4939367554</v>
      </c>
      <c r="I58" s="208" t="n">
        <f aca="false">H58*(1+I57)</f>
        <v>19754.5560356065</v>
      </c>
      <c r="J58" s="208" t="n">
        <f aca="false">I58*(1+J57)</f>
        <v>21550.2451792431</v>
      </c>
      <c r="K58" s="208" t="n">
        <f aca="false">J58*(1+K57)</f>
        <v>23509.1624660363</v>
      </c>
      <c r="L58" s="208" t="n">
        <f aca="false">K58*(1+L57)</f>
        <v>25646.145334199</v>
      </c>
      <c r="M58" s="208" t="n">
        <f aca="false">L58*(1+M57)</f>
        <v>27977.3799450777</v>
      </c>
      <c r="N58" s="208" t="n">
        <f aca="false">M58*(1+N57)</f>
        <v>30520.5237820852</v>
      </c>
      <c r="O58" s="208" t="n">
        <f aca="false">N58*(1+O57)</f>
        <v>33294.8393938768</v>
      </c>
    </row>
    <row r="59" customFormat="false" ht="15" hidden="false" customHeight="true" outlineLevel="0" collapsed="false">
      <c r="B59" s="91" t="s">
        <v>21</v>
      </c>
      <c r="C59" s="93" t="n">
        <f aca="false">$C$14</f>
        <v>0.0860234789737754</v>
      </c>
      <c r="E59" s="91" t="s">
        <v>277</v>
      </c>
      <c r="F59" s="208" t="n">
        <f aca="false">F58*$C$58*(1-$C$4)</f>
        <v>2358.240562377</v>
      </c>
      <c r="G59" s="208" t="n">
        <f aca="false">G58*$C$58*(1-$C$4)</f>
        <v>2572.60462949707</v>
      </c>
      <c r="H59" s="208" t="n">
        <f aca="false">H58*$C$58*(1-$C$4)</f>
        <v>2806.45439031835</v>
      </c>
      <c r="I59" s="208" t="n">
        <f aca="false">I58*$C$58*(1-$C$4)</f>
        <v>3061.56109439829</v>
      </c>
      <c r="J59" s="208" t="n">
        <f aca="false">J58*$C$58*(1-$C$4)</f>
        <v>3339.8569978791</v>
      </c>
      <c r="K59" s="208" t="n">
        <f aca="false">K58*$C$58*(1-$C$4)</f>
        <v>3643.4499989863</v>
      </c>
      <c r="L59" s="208" t="n">
        <f aca="false">L58*$C$58*(1-$C$4)</f>
        <v>3974.63960389416</v>
      </c>
      <c r="M59" s="208" t="n">
        <f aca="false">M58*$C$58*(1-$C$4)</f>
        <v>4335.93434388814</v>
      </c>
      <c r="N59" s="208" t="n">
        <f aca="false">N58*$C$58*(1-$C$4)</f>
        <v>4730.07077574757</v>
      </c>
      <c r="O59" s="208" t="n">
        <f aca="false">O58*$C$58*(1-$C$4)</f>
        <v>5160.03420926302</v>
      </c>
      <c r="P59" s="208" t="n">
        <f aca="false">O59*(1+$C$60)</f>
        <v>5237.43472240197</v>
      </c>
    </row>
    <row r="60" customFormat="false" ht="15" hidden="false" customHeight="true" outlineLevel="0" collapsed="false">
      <c r="B60" s="91" t="s">
        <v>278</v>
      </c>
      <c r="C60" s="95" t="n">
        <f aca="false">DCF!$L$17</f>
        <v>0.015</v>
      </c>
      <c r="E60" s="91" t="s">
        <v>46</v>
      </c>
      <c r="F60" s="207" t="n">
        <f aca="false">$C$57/(($C$6-$C$5+$C$7)/($C$58*(1-$C$4)))</f>
        <v>0.191408722826087</v>
      </c>
      <c r="G60" s="207" t="n">
        <f aca="false">IF($C$63=1,F60-($F60-$C$59)/$C$12,G57/(($C$6-$C$5+$C$7)/($C$58*(1-$C$4))))</f>
        <v>0.191408722826087</v>
      </c>
      <c r="H60" s="207" t="n">
        <f aca="false">IF($C$63=1,G60-($F60-$C$59)/$C$12,H57/(($C$6-$C$5+$C$7)/($C$58*(1-$C$4))))</f>
        <v>0.191408722826087</v>
      </c>
      <c r="I60" s="207" t="n">
        <f aca="false">IF($C$63=1,H60-($F60-$C$59)/$C$12,I57/(($C$6-$C$5+$C$7)/($C$58*(1-$C$4))))</f>
        <v>0.191408722826087</v>
      </c>
      <c r="J60" s="207" t="n">
        <f aca="false">IF($C$63=1,I60-($F60-$C$59)/$C$12,J57/(($C$6-$C$5+$C$7)/($C$58*(1-$C$4))))</f>
        <v>0.191408722826087</v>
      </c>
      <c r="K60" s="207" t="n">
        <f aca="false">IF($C$63=1,J60-($F60-$C$59)/$C$12,K57/(($C$6-$C$5+$C$7)/($C$58*(1-$C$4))))</f>
        <v>0.191408722826087</v>
      </c>
      <c r="L60" s="207" t="n">
        <f aca="false">IF($C$63=1,K60-($F60-$C$59)/$C$12,L57/(($C$6-$C$5+$C$7)/($C$58*(1-$C$4))))</f>
        <v>0.191408722826087</v>
      </c>
      <c r="M60" s="207" t="n">
        <f aca="false">IF($C$63=1,L60-($F60-$C$59)/$C$12,M57/(($C$6-$C$5+$C$7)/($C$58*(1-$C$4))))</f>
        <v>0.191408722826087</v>
      </c>
      <c r="N60" s="207" t="n">
        <f aca="false">IF($C$63=1,M60-($F60-$C$59)/$C$12,N57/(($C$6-$C$5+$C$7)/($C$58*(1-$C$4))))</f>
        <v>0.191408722826087</v>
      </c>
      <c r="O60" s="207" t="n">
        <f aca="false">IF($C$63=1,N60-($F60-$C$59)/$C$12,O57/(($C$6-$C$5+$C$7)/($C$58*(1-$C$4))))</f>
        <v>0.191408722826087</v>
      </c>
      <c r="P60" s="207" t="n">
        <f aca="false">$C$59</f>
        <v>0.0860234789737754</v>
      </c>
    </row>
    <row r="61" customFormat="false" ht="15" hidden="false" customHeight="true" outlineLevel="0" collapsed="false">
      <c r="B61" s="91" t="s">
        <v>279</v>
      </c>
      <c r="C61" s="209" t="n">
        <v>0</v>
      </c>
      <c r="E61" s="91" t="s">
        <v>45</v>
      </c>
      <c r="F61" s="210" t="n">
        <f aca="false">IF($C$63=1,F57/F60,(($C$6-$C$5+$C$7)/($C$58*(1-$C$4))))</f>
        <v>0.474899987095109</v>
      </c>
      <c r="G61" s="210" t="n">
        <f aca="false">IF($C$63=1,G57/G60,(($C$6-$C$5+$C$7)/($C$58*(1-$C$4))))</f>
        <v>0.474899987095109</v>
      </c>
      <c r="H61" s="210" t="n">
        <f aca="false">IF($C$63=1,H57/H60,(($C$6-$C$5+$C$7)/($C$58*(1-$C$4))))</f>
        <v>0.474899987095109</v>
      </c>
      <c r="I61" s="210" t="n">
        <f aca="false">IF($C$63=1,I57/I60,(($C$6-$C$5+$C$7)/($C$58*(1-$C$4))))</f>
        <v>0.474899987095109</v>
      </c>
      <c r="J61" s="210" t="n">
        <f aca="false">IF($C$63=1,J57/J60,(($C$6-$C$5+$C$7)/($C$58*(1-$C$4))))</f>
        <v>0.474899987095109</v>
      </c>
      <c r="K61" s="210" t="n">
        <f aca="false">IF($C$63=1,K57/K60,(($C$6-$C$5+$C$7)/($C$58*(1-$C$4))))</f>
        <v>0.474899987095109</v>
      </c>
      <c r="L61" s="210" t="n">
        <f aca="false">IF($C$63=1,L57/L60,(($C$6-$C$5+$C$7)/($C$58*(1-$C$4))))</f>
        <v>0.474899987095109</v>
      </c>
      <c r="M61" s="210" t="n">
        <f aca="false">IF($C$63=1,M57/M60,(($C$6-$C$5+$C$7)/($C$58*(1-$C$4))))</f>
        <v>0.474899987095109</v>
      </c>
      <c r="N61" s="210" t="n">
        <f aca="false">IF($C$63=1,N57/N60,(($C$6-$C$5+$C$7)/($C$58*(1-$C$4))))</f>
        <v>0.474899987095109</v>
      </c>
      <c r="O61" s="210" t="n">
        <f aca="false">IF($C$63=1,O57/O60,(($C$6-$C$5+$C$7)/($C$58*(1-$C$4))))</f>
        <v>0.474899987095109</v>
      </c>
      <c r="P61" s="210" t="n">
        <f aca="false">$C$60/P60</f>
        <v>0.174370999393931</v>
      </c>
    </row>
    <row r="62" customFormat="false" ht="15" hidden="false" customHeight="true" outlineLevel="0" collapsed="false">
      <c r="B62" s="91" t="s">
        <v>280</v>
      </c>
      <c r="C62" s="209" t="n">
        <v>1</v>
      </c>
      <c r="E62" s="91" t="s">
        <v>281</v>
      </c>
      <c r="F62" s="208" t="n">
        <f aca="false">F59*F61</f>
        <v>1119.92841264</v>
      </c>
      <c r="G62" s="208" t="n">
        <f aca="false">G59*G61</f>
        <v>1221.72990534898</v>
      </c>
      <c r="H62" s="208" t="n">
        <f aca="false">H59*H61</f>
        <v>1332.7851537452</v>
      </c>
      <c r="I62" s="208" t="n">
        <f aca="false">I59*I61</f>
        <v>1453.93532422064</v>
      </c>
      <c r="J62" s="208" t="n">
        <f aca="false">J59*J61</f>
        <v>1586.09804519229</v>
      </c>
      <c r="K62" s="208" t="n">
        <f aca="false">K59*K61</f>
        <v>1730.27435750027</v>
      </c>
      <c r="L62" s="208" t="n">
        <f aca="false">L59*L61</f>
        <v>1887.55629659705</v>
      </c>
      <c r="M62" s="208" t="n">
        <f aca="false">M59*M61</f>
        <v>2059.13516395772</v>
      </c>
      <c r="N62" s="208" t="n">
        <f aca="false">N59*N61</f>
        <v>2246.31055036147</v>
      </c>
      <c r="O62" s="208" t="n">
        <f aca="false">O59*O61</f>
        <v>2450.50017938933</v>
      </c>
    </row>
    <row r="63" customFormat="false" ht="15" hidden="false" customHeight="true" outlineLevel="0" collapsed="false">
      <c r="B63" s="91" t="s">
        <v>282</v>
      </c>
      <c r="C63" s="209" t="n">
        <v>0</v>
      </c>
      <c r="E63" s="90" t="s">
        <v>47</v>
      </c>
      <c r="F63" s="211" t="n">
        <f aca="false">F59-F62</f>
        <v>1238.312149737</v>
      </c>
      <c r="G63" s="211" t="n">
        <f aca="false">G59-G62</f>
        <v>1350.87472414809</v>
      </c>
      <c r="H63" s="211" t="n">
        <f aca="false">H59-H62</f>
        <v>1473.66923657316</v>
      </c>
      <c r="I63" s="211" t="n">
        <f aca="false">I59-I62</f>
        <v>1607.62577017766</v>
      </c>
      <c r="J63" s="211" t="n">
        <f aca="false">J59-J62</f>
        <v>1753.7589526868</v>
      </c>
      <c r="K63" s="211" t="n">
        <f aca="false">K59-K62</f>
        <v>1913.17564148603</v>
      </c>
      <c r="L63" s="211" t="n">
        <f aca="false">L59-L62</f>
        <v>2087.08330729711</v>
      </c>
      <c r="M63" s="211" t="n">
        <f aca="false">M59-M62</f>
        <v>2276.79917993042</v>
      </c>
      <c r="N63" s="211" t="n">
        <f aca="false">N59-N62</f>
        <v>2483.7602253861</v>
      </c>
      <c r="O63" s="211" t="n">
        <f aca="false">O59-O62</f>
        <v>2709.53402987369</v>
      </c>
      <c r="P63" s="211" t="n">
        <f aca="false">IF($C$62=1,P59*(1-P61),O63*(1+$C$60))</f>
        <v>4324.17799559626</v>
      </c>
    </row>
    <row r="64" customFormat="false" ht="15" hidden="false" customHeight="true" outlineLevel="0" collapsed="false">
      <c r="B64" s="91" t="s">
        <v>101</v>
      </c>
      <c r="C64" s="96" t="n">
        <f aca="false">SUM(F65:O65)</f>
        <v>13045.07390491</v>
      </c>
      <c r="E64" s="91" t="s">
        <v>283</v>
      </c>
      <c r="F64" s="212" t="n">
        <f aca="false">DCF!O$71</f>
        <v>0.0347222222222222</v>
      </c>
      <c r="G64" s="212" t="n">
        <f aca="false">DCF!P$71</f>
        <v>0.569444444444444</v>
      </c>
      <c r="H64" s="212" t="n">
        <f aca="false">DCF!Q$71</f>
        <v>1.56944444444444</v>
      </c>
      <c r="I64" s="212" t="n">
        <f aca="false">DCF!R$71</f>
        <v>2.56944444444444</v>
      </c>
      <c r="J64" s="212" t="n">
        <f aca="false">DCF!S$71</f>
        <v>3.56944444444444</v>
      </c>
      <c r="K64" s="212" t="n">
        <f aca="false">DCF!T$71</f>
        <v>4.56944444444445</v>
      </c>
      <c r="L64" s="212" t="n">
        <f aca="false">DCF!U$71</f>
        <v>5.56944444444445</v>
      </c>
      <c r="M64" s="212" t="n">
        <f aca="false">DCF!V$71</f>
        <v>6.56944444444445</v>
      </c>
      <c r="N64" s="212" t="n">
        <f aca="false">DCF!W$71</f>
        <v>7.56944444444445</v>
      </c>
      <c r="O64" s="212" t="n">
        <f aca="false">DCF!X$71</f>
        <v>8.56944444444445</v>
      </c>
    </row>
    <row r="65" customFormat="false" ht="15" hidden="false" customHeight="true" outlineLevel="0" collapsed="false">
      <c r="B65" s="91" t="s">
        <v>99</v>
      </c>
      <c r="C65" s="96" t="n">
        <f aca="false">P63/($C$59-$C$60)</f>
        <v>60883.781787047</v>
      </c>
      <c r="E65" s="91" t="s">
        <v>284</v>
      </c>
      <c r="F65" s="208" t="n">
        <f aca="false">F63/(1+$C$59)^F64</f>
        <v>1234.76899795583</v>
      </c>
      <c r="G65" s="208" t="n">
        <f aca="false">G63/(1+$C$59)^G64</f>
        <v>1288.86263750385</v>
      </c>
      <c r="H65" s="208" t="n">
        <f aca="false">H63/(1+$C$59)^H64</f>
        <v>1294.64995782739</v>
      </c>
      <c r="I65" s="208" t="n">
        <f aca="false">I63/(1+$C$59)^I64</f>
        <v>1300.46326468785</v>
      </c>
      <c r="J65" s="208" t="n">
        <f aca="false">J63/(1+$C$59)^J64</f>
        <v>1306.3026747714</v>
      </c>
      <c r="K65" s="208" t="n">
        <f aca="false">K63/(1+$C$59)^K64</f>
        <v>1312.16830528811</v>
      </c>
      <c r="L65" s="208" t="n">
        <f aca="false">L63/(1+$C$59)^L64</f>
        <v>1318.06027397439</v>
      </c>
      <c r="M65" s="208" t="n">
        <f aca="false">M63/(1+$C$59)^M64</f>
        <v>1323.97869909531</v>
      </c>
      <c r="N65" s="208" t="n">
        <f aca="false">N63/(1+$C$59)^N64</f>
        <v>1329.92369944697</v>
      </c>
      <c r="O65" s="208" t="n">
        <f aca="false">O63/(1+$C$59)^O64</f>
        <v>1335.89539435891</v>
      </c>
    </row>
    <row r="66" customFormat="false" ht="15" hidden="false" customHeight="true" outlineLevel="0" collapsed="false">
      <c r="B66" s="91" t="s">
        <v>100</v>
      </c>
      <c r="C66" s="96" t="n">
        <f aca="false">C65/(1+$C$59)^O64</f>
        <v>30017.8417335693</v>
      </c>
    </row>
    <row r="67" customFormat="false" ht="15" hidden="false" customHeight="true" outlineLevel="0" collapsed="false">
      <c r="B67" s="91" t="s">
        <v>102</v>
      </c>
      <c r="C67" s="96" t="n">
        <f aca="false">C64+C66</f>
        <v>43062.9156384793</v>
      </c>
    </row>
    <row r="68" customFormat="false" ht="15" hidden="false" customHeight="true" outlineLevel="0" collapsed="false">
      <c r="B68" s="91" t="s">
        <v>285</v>
      </c>
      <c r="C68" s="96" t="n">
        <f aca="false">C67+$C$9-$C$10</f>
        <v>43962.9156384793</v>
      </c>
    </row>
    <row r="69" customFormat="false" ht="15" hidden="false" customHeight="true" outlineLevel="0" collapsed="false">
      <c r="B69" s="205" t="s">
        <v>104</v>
      </c>
      <c r="C69" s="213" t="n">
        <f aca="false">C68/$C$11</f>
        <v>41.2100821508055</v>
      </c>
    </row>
    <row r="70" customFormat="false" ht="15" hidden="false" customHeight="true" outlineLevel="0" collapsed="false">
      <c r="B70" s="91" t="s">
        <v>98</v>
      </c>
      <c r="C70" s="97" t="n">
        <f aca="false">1-P63/P59</f>
        <v>0.174370999393931</v>
      </c>
    </row>
    <row r="71" customFormat="false" ht="15" hidden="false" customHeight="true" outlineLevel="0" collapsed="false">
      <c r="B71" s="91" t="s">
        <v>286</v>
      </c>
      <c r="C71" s="97" t="n">
        <f aca="false">C66/C67</f>
        <v>0.697069422460252</v>
      </c>
    </row>
    <row r="74" customFormat="false" ht="15" hidden="false" customHeight="true" outlineLevel="0" collapsed="false">
      <c r="B74" s="86" t="s">
        <v>289</v>
      </c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</row>
    <row r="75" customFormat="false" ht="15" hidden="false" customHeight="true" outlineLevel="0" collapsed="false">
      <c r="B75" s="205" t="s">
        <v>272</v>
      </c>
      <c r="C75" s="205" t="s">
        <v>184</v>
      </c>
      <c r="E75" s="205" t="s">
        <v>273</v>
      </c>
      <c r="F75" s="206" t="str">
        <f aca="false">"FY"&amp;RIGHT(DCF!O$38,2)</f>
        <v>FY26</v>
      </c>
      <c r="G75" s="206" t="str">
        <f aca="false">"FY"&amp;RIGHT(DCF!P$38,2)</f>
        <v>FY27</v>
      </c>
      <c r="H75" s="206" t="str">
        <f aca="false">"FY"&amp;RIGHT(DCF!Q$38,2)</f>
        <v>FY28</v>
      </c>
      <c r="I75" s="206" t="str">
        <f aca="false">"FY"&amp;RIGHT(DCF!R$38,2)</f>
        <v>FY29</v>
      </c>
      <c r="J75" s="206" t="str">
        <f aca="false">"FY"&amp;RIGHT(DCF!S$38,2)</f>
        <v>FY30</v>
      </c>
      <c r="K75" s="206" t="str">
        <f aca="false">"FY"&amp;RIGHT(DCF!T$38,2)</f>
        <v>FY31</v>
      </c>
      <c r="L75" s="206" t="str">
        <f aca="false">"FY"&amp;RIGHT(DCF!U$38,2)</f>
        <v>FY32</v>
      </c>
      <c r="M75" s="206" t="str">
        <f aca="false">"FY"&amp;RIGHT(DCF!V$38,2)</f>
        <v>FY33</v>
      </c>
      <c r="N75" s="206" t="str">
        <f aca="false">"FY"&amp;RIGHT(DCF!W$38,2)</f>
        <v>FY34</v>
      </c>
      <c r="O75" s="206" t="str">
        <f aca="false">"FY"&amp;RIGHT(DCF!X$38,2)</f>
        <v>FY35</v>
      </c>
      <c r="P75" s="206" t="s">
        <v>40</v>
      </c>
    </row>
    <row r="76" customFormat="false" ht="15" hidden="false" customHeight="true" outlineLevel="0" collapsed="false">
      <c r="B76" s="91" t="s">
        <v>274</v>
      </c>
      <c r="C76" s="95" t="n">
        <f aca="false">DCF!$L$11</f>
        <v>0.0909</v>
      </c>
      <c r="E76" s="91" t="s">
        <v>275</v>
      </c>
      <c r="F76" s="207" t="n">
        <f aca="false">$C$76</f>
        <v>0.0909</v>
      </c>
      <c r="G76" s="207" t="n">
        <f aca="false">IF($C$80=1,F76-($C$76-$C$79)/$C$12,$C$76)</f>
        <v>0.0909</v>
      </c>
      <c r="H76" s="207" t="n">
        <f aca="false">IF($C$80=1,G76-($C$76-$C$79)/$C$12,$C$76)</f>
        <v>0.0909</v>
      </c>
      <c r="I76" s="207" t="n">
        <f aca="false">IF($C$80=1,H76-($C$76-$C$79)/$C$12,$C$76)</f>
        <v>0.0909</v>
      </c>
      <c r="J76" s="207" t="n">
        <f aca="false">IF($C$80=1,I76-($C$76-$C$79)/$C$12,$C$76)</f>
        <v>0.0909</v>
      </c>
      <c r="K76" s="207" t="n">
        <f aca="false">IF($C$80=1,J76-($C$76-$C$79)/$C$12,$C$76)</f>
        <v>0.0909</v>
      </c>
      <c r="L76" s="207" t="n">
        <f aca="false">IF($C$80=1,K76-($C$76-$C$79)/$C$12,$C$76)</f>
        <v>0.0909</v>
      </c>
      <c r="M76" s="207" t="n">
        <f aca="false">IF($C$80=1,L76-($C$76-$C$79)/$C$12,$C$76)</f>
        <v>0.0909</v>
      </c>
      <c r="N76" s="207" t="n">
        <f aca="false">IF($C$80=1,M76-($C$76-$C$79)/$C$12,$C$76)</f>
        <v>0.0909</v>
      </c>
      <c r="O76" s="207" t="n">
        <f aca="false">IF($C$80=1,N76-($C$76-$C$79)/$C$12,$C$76)</f>
        <v>0.0909</v>
      </c>
    </row>
    <row r="77" customFormat="false" ht="15" hidden="false" customHeight="true" outlineLevel="0" collapsed="false">
      <c r="B77" s="91" t="s">
        <v>276</v>
      </c>
      <c r="C77" s="95" t="n">
        <f aca="false">DCF!$L$13</f>
        <v>0.1722</v>
      </c>
      <c r="E77" s="91" t="s">
        <v>16</v>
      </c>
      <c r="F77" s="208" t="n">
        <f aca="false">$C$8*(1+F76)</f>
        <v>15216.41865</v>
      </c>
      <c r="G77" s="208" t="n">
        <f aca="false">F77*(1+G76)</f>
        <v>16599.591105285</v>
      </c>
      <c r="H77" s="208" t="n">
        <f aca="false">G77*(1+H76)</f>
        <v>18108.4939367554</v>
      </c>
      <c r="I77" s="208" t="n">
        <f aca="false">H77*(1+I76)</f>
        <v>19754.5560356065</v>
      </c>
      <c r="J77" s="208" t="n">
        <f aca="false">I77*(1+J76)</f>
        <v>21550.2451792431</v>
      </c>
      <c r="K77" s="208" t="n">
        <f aca="false">J77*(1+K76)</f>
        <v>23509.1624660363</v>
      </c>
      <c r="L77" s="208" t="n">
        <f aca="false">K77*(1+L76)</f>
        <v>25646.145334199</v>
      </c>
      <c r="M77" s="208" t="n">
        <f aca="false">L77*(1+M76)</f>
        <v>27977.3799450777</v>
      </c>
      <c r="N77" s="208" t="n">
        <f aca="false">M77*(1+N76)</f>
        <v>30520.5237820852</v>
      </c>
      <c r="O77" s="208" t="n">
        <f aca="false">N77*(1+O76)</f>
        <v>33294.8393938768</v>
      </c>
    </row>
    <row r="78" customFormat="false" ht="15" hidden="false" customHeight="true" outlineLevel="0" collapsed="false">
      <c r="B78" s="91" t="s">
        <v>21</v>
      </c>
      <c r="C78" s="93" t="n">
        <f aca="false">WACC!$F$22</f>
        <v>0.0858338239797238</v>
      </c>
      <c r="E78" s="91" t="s">
        <v>277</v>
      </c>
      <c r="F78" s="208" t="n">
        <f aca="false">F77*$C$77*(1-$C$4)</f>
        <v>2358.240562377</v>
      </c>
      <c r="G78" s="208" t="n">
        <f aca="false">G77*$C$77*(1-$C$4)</f>
        <v>2572.60462949707</v>
      </c>
      <c r="H78" s="208" t="n">
        <f aca="false">H77*$C$77*(1-$C$4)</f>
        <v>2806.45439031835</v>
      </c>
      <c r="I78" s="208" t="n">
        <f aca="false">I77*$C$77*(1-$C$4)</f>
        <v>3061.56109439829</v>
      </c>
      <c r="J78" s="208" t="n">
        <f aca="false">J77*$C$77*(1-$C$4)</f>
        <v>3339.8569978791</v>
      </c>
      <c r="K78" s="208" t="n">
        <f aca="false">K77*$C$77*(1-$C$4)</f>
        <v>3643.4499989863</v>
      </c>
      <c r="L78" s="208" t="n">
        <f aca="false">L77*$C$77*(1-$C$4)</f>
        <v>3974.63960389416</v>
      </c>
      <c r="M78" s="208" t="n">
        <f aca="false">M77*$C$77*(1-$C$4)</f>
        <v>4335.93434388814</v>
      </c>
      <c r="N78" s="208" t="n">
        <f aca="false">N77*$C$77*(1-$C$4)</f>
        <v>4730.07077574757</v>
      </c>
      <c r="O78" s="208" t="n">
        <f aca="false">O77*$C$77*(1-$C$4)</f>
        <v>5160.03420926302</v>
      </c>
      <c r="P78" s="208" t="n">
        <f aca="false">O78*(1+$C$79)</f>
        <v>5237.43472240197</v>
      </c>
    </row>
    <row r="79" customFormat="false" ht="15" hidden="false" customHeight="true" outlineLevel="0" collapsed="false">
      <c r="B79" s="91" t="s">
        <v>278</v>
      </c>
      <c r="C79" s="95" t="n">
        <f aca="false">DCF!$L$17</f>
        <v>0.015</v>
      </c>
      <c r="E79" s="91" t="s">
        <v>46</v>
      </c>
      <c r="F79" s="207" t="n">
        <f aca="false">$C$76/(($C$6-$C$5+$C$7)/($C$77*(1-$C$4)))</f>
        <v>0.191408722826087</v>
      </c>
      <c r="G79" s="207" t="n">
        <f aca="false">IF($C$82=1,F79-($F79-$C$78)/$C$12,G76/(($C$6-$C$5+$C$7)/($C$77*(1-$C$4))))</f>
        <v>0.191408722826087</v>
      </c>
      <c r="H79" s="207" t="n">
        <f aca="false">IF($C$82=1,G79-($F79-$C$78)/$C$12,H76/(($C$6-$C$5+$C$7)/($C$77*(1-$C$4))))</f>
        <v>0.191408722826087</v>
      </c>
      <c r="I79" s="207" t="n">
        <f aca="false">IF($C$82=1,H79-($F79-$C$78)/$C$12,I76/(($C$6-$C$5+$C$7)/($C$77*(1-$C$4))))</f>
        <v>0.191408722826087</v>
      </c>
      <c r="J79" s="207" t="n">
        <f aca="false">IF($C$82=1,I79-($F79-$C$78)/$C$12,J76/(($C$6-$C$5+$C$7)/($C$77*(1-$C$4))))</f>
        <v>0.191408722826087</v>
      </c>
      <c r="K79" s="207" t="n">
        <f aca="false">IF($C$82=1,J79-($F79-$C$78)/$C$12,K76/(($C$6-$C$5+$C$7)/($C$77*(1-$C$4))))</f>
        <v>0.191408722826087</v>
      </c>
      <c r="L79" s="207" t="n">
        <f aca="false">IF($C$82=1,K79-($F79-$C$78)/$C$12,L76/(($C$6-$C$5+$C$7)/($C$77*(1-$C$4))))</f>
        <v>0.191408722826087</v>
      </c>
      <c r="M79" s="207" t="n">
        <f aca="false">IF($C$82=1,L79-($F79-$C$78)/$C$12,M76/(($C$6-$C$5+$C$7)/($C$77*(1-$C$4))))</f>
        <v>0.191408722826087</v>
      </c>
      <c r="N79" s="207" t="n">
        <f aca="false">IF($C$82=1,M79-($F79-$C$78)/$C$12,N76/(($C$6-$C$5+$C$7)/($C$77*(1-$C$4))))</f>
        <v>0.191408722826087</v>
      </c>
      <c r="O79" s="207" t="n">
        <f aca="false">IF($C$82=1,N79-($F79-$C$78)/$C$12,O76/(($C$6-$C$5+$C$7)/($C$77*(1-$C$4))))</f>
        <v>0.191408722826087</v>
      </c>
      <c r="P79" s="207" t="n">
        <f aca="false">$C$78</f>
        <v>0.0858338239797238</v>
      </c>
    </row>
    <row r="80" customFormat="false" ht="15" hidden="false" customHeight="true" outlineLevel="0" collapsed="false">
      <c r="B80" s="91" t="s">
        <v>279</v>
      </c>
      <c r="C80" s="209" t="n">
        <v>0</v>
      </c>
      <c r="E80" s="91" t="s">
        <v>45</v>
      </c>
      <c r="F80" s="210" t="n">
        <f aca="false">IF($C$82=1,F76/F79,(($C$6-$C$5+$C$7)/($C$77*(1-$C$4))))</f>
        <v>0.474899987095109</v>
      </c>
      <c r="G80" s="210" t="n">
        <f aca="false">IF($C$82=1,G76/G79,(($C$6-$C$5+$C$7)/($C$77*(1-$C$4))))</f>
        <v>0.474899987095109</v>
      </c>
      <c r="H80" s="210" t="n">
        <f aca="false">IF($C$82=1,H76/H79,(($C$6-$C$5+$C$7)/($C$77*(1-$C$4))))</f>
        <v>0.474899987095109</v>
      </c>
      <c r="I80" s="210" t="n">
        <f aca="false">IF($C$82=1,I76/I79,(($C$6-$C$5+$C$7)/($C$77*(1-$C$4))))</f>
        <v>0.474899987095109</v>
      </c>
      <c r="J80" s="210" t="n">
        <f aca="false">IF($C$82=1,J76/J79,(($C$6-$C$5+$C$7)/($C$77*(1-$C$4))))</f>
        <v>0.474899987095109</v>
      </c>
      <c r="K80" s="210" t="n">
        <f aca="false">IF($C$82=1,K76/K79,(($C$6-$C$5+$C$7)/($C$77*(1-$C$4))))</f>
        <v>0.474899987095109</v>
      </c>
      <c r="L80" s="210" t="n">
        <f aca="false">IF($C$82=1,L76/L79,(($C$6-$C$5+$C$7)/($C$77*(1-$C$4))))</f>
        <v>0.474899987095109</v>
      </c>
      <c r="M80" s="210" t="n">
        <f aca="false">IF($C$82=1,M76/M79,(($C$6-$C$5+$C$7)/($C$77*(1-$C$4))))</f>
        <v>0.474899987095109</v>
      </c>
      <c r="N80" s="210" t="n">
        <f aca="false">IF($C$82=1,N76/N79,(($C$6-$C$5+$C$7)/($C$77*(1-$C$4))))</f>
        <v>0.474899987095109</v>
      </c>
      <c r="O80" s="210" t="n">
        <f aca="false">IF($C$82=1,O76/O79,(($C$6-$C$5+$C$7)/($C$77*(1-$C$4))))</f>
        <v>0.474899987095109</v>
      </c>
      <c r="P80" s="210" t="n">
        <f aca="false">$C$79/P79</f>
        <v>0.174756282599543</v>
      </c>
    </row>
    <row r="81" customFormat="false" ht="15" hidden="false" customHeight="true" outlineLevel="0" collapsed="false">
      <c r="B81" s="91" t="s">
        <v>280</v>
      </c>
      <c r="C81" s="209" t="n">
        <v>1</v>
      </c>
      <c r="E81" s="91" t="s">
        <v>281</v>
      </c>
      <c r="F81" s="208" t="n">
        <f aca="false">F78*F80</f>
        <v>1119.92841264</v>
      </c>
      <c r="G81" s="208" t="n">
        <f aca="false">G78*G80</f>
        <v>1221.72990534898</v>
      </c>
      <c r="H81" s="208" t="n">
        <f aca="false">H78*H80</f>
        <v>1332.7851537452</v>
      </c>
      <c r="I81" s="208" t="n">
        <f aca="false">I78*I80</f>
        <v>1453.93532422064</v>
      </c>
      <c r="J81" s="208" t="n">
        <f aca="false">J78*J80</f>
        <v>1586.09804519229</v>
      </c>
      <c r="K81" s="208" t="n">
        <f aca="false">K78*K80</f>
        <v>1730.27435750027</v>
      </c>
      <c r="L81" s="208" t="n">
        <f aca="false">L78*L80</f>
        <v>1887.55629659705</v>
      </c>
      <c r="M81" s="208" t="n">
        <f aca="false">M78*M80</f>
        <v>2059.13516395772</v>
      </c>
      <c r="N81" s="208" t="n">
        <f aca="false">N78*N80</f>
        <v>2246.31055036147</v>
      </c>
      <c r="O81" s="208" t="n">
        <f aca="false">O78*O80</f>
        <v>2450.50017938933</v>
      </c>
    </row>
    <row r="82" customFormat="false" ht="15" hidden="false" customHeight="true" outlineLevel="0" collapsed="false">
      <c r="B82" s="91" t="s">
        <v>282</v>
      </c>
      <c r="C82" s="209" t="n">
        <v>0</v>
      </c>
      <c r="E82" s="90" t="s">
        <v>47</v>
      </c>
      <c r="F82" s="211" t="n">
        <f aca="false">F78-F81</f>
        <v>1238.312149737</v>
      </c>
      <c r="G82" s="211" t="n">
        <f aca="false">G78-G81</f>
        <v>1350.87472414809</v>
      </c>
      <c r="H82" s="211" t="n">
        <f aca="false">H78-H81</f>
        <v>1473.66923657316</v>
      </c>
      <c r="I82" s="211" t="n">
        <f aca="false">I78-I81</f>
        <v>1607.62577017766</v>
      </c>
      <c r="J82" s="211" t="n">
        <f aca="false">J78-J81</f>
        <v>1753.7589526868</v>
      </c>
      <c r="K82" s="211" t="n">
        <f aca="false">K78-K81</f>
        <v>1913.17564148603</v>
      </c>
      <c r="L82" s="211" t="n">
        <f aca="false">L78-L81</f>
        <v>2087.08330729711</v>
      </c>
      <c r="M82" s="211" t="n">
        <f aca="false">M78-M81</f>
        <v>2276.79917993042</v>
      </c>
      <c r="N82" s="211" t="n">
        <f aca="false">N78-N81</f>
        <v>2483.7602253861</v>
      </c>
      <c r="O82" s="211" t="n">
        <f aca="false">O78-O81</f>
        <v>2709.53402987369</v>
      </c>
      <c r="P82" s="211" t="n">
        <f aca="false">IF($C$81=1,P78*(1-P80),O82*(1+$C$79))</f>
        <v>4322.16009995723</v>
      </c>
    </row>
    <row r="83" customFormat="false" ht="15" hidden="false" customHeight="true" outlineLevel="0" collapsed="false">
      <c r="B83" s="91" t="s">
        <v>101</v>
      </c>
      <c r="C83" s="96" t="n">
        <f aca="false">SUM(F84:O84)</f>
        <v>13054.5731443257</v>
      </c>
      <c r="E83" s="91" t="s">
        <v>283</v>
      </c>
      <c r="F83" s="212" t="n">
        <f aca="false">DCF!O$71</f>
        <v>0.0347222222222222</v>
      </c>
      <c r="G83" s="212" t="n">
        <f aca="false">DCF!P$71</f>
        <v>0.569444444444444</v>
      </c>
      <c r="H83" s="212" t="n">
        <f aca="false">DCF!Q$71</f>
        <v>1.56944444444444</v>
      </c>
      <c r="I83" s="212" t="n">
        <f aca="false">DCF!R$71</f>
        <v>2.56944444444444</v>
      </c>
      <c r="J83" s="212" t="n">
        <f aca="false">DCF!S$71</f>
        <v>3.56944444444444</v>
      </c>
      <c r="K83" s="212" t="n">
        <f aca="false">DCF!T$71</f>
        <v>4.56944444444445</v>
      </c>
      <c r="L83" s="212" t="n">
        <f aca="false">DCF!U$71</f>
        <v>5.56944444444445</v>
      </c>
      <c r="M83" s="212" t="n">
        <f aca="false">DCF!V$71</f>
        <v>6.56944444444445</v>
      </c>
      <c r="N83" s="212" t="n">
        <f aca="false">DCF!W$71</f>
        <v>7.56944444444445</v>
      </c>
      <c r="O83" s="212" t="n">
        <f aca="false">DCF!X$71</f>
        <v>8.56944444444445</v>
      </c>
    </row>
    <row r="84" customFormat="false" ht="15" hidden="false" customHeight="true" outlineLevel="0" collapsed="false">
      <c r="B84" s="91" t="s">
        <v>99</v>
      </c>
      <c r="C84" s="96" t="n">
        <f aca="false">P82/($C$78-$C$79)</f>
        <v>61018.3081629823</v>
      </c>
      <c r="E84" s="91" t="s">
        <v>284</v>
      </c>
      <c r="F84" s="208" t="n">
        <f aca="false">F82/(1+$C$78)^F83</f>
        <v>1234.77648581277</v>
      </c>
      <c r="G84" s="208" t="n">
        <f aca="false">G82/(1+$C$78)^G83</f>
        <v>1288.99082409038</v>
      </c>
      <c r="H84" s="208" t="n">
        <f aca="false">H82/(1+$C$78)^H83</f>
        <v>1295.00486994081</v>
      </c>
      <c r="I84" s="208" t="n">
        <f aca="false">I82/(1+$C$78)^I83</f>
        <v>1301.04697553132</v>
      </c>
      <c r="J84" s="208" t="n">
        <f aca="false">J82/(1+$C$78)^J83</f>
        <v>1307.11727178027</v>
      </c>
      <c r="K84" s="208" t="n">
        <f aca="false">K82/(1+$C$78)^K83</f>
        <v>1313.21589021685</v>
      </c>
      <c r="L84" s="208" t="n">
        <f aca="false">L82/(1+$C$78)^L83</f>
        <v>1319.34296298391</v>
      </c>
      <c r="M84" s="208" t="n">
        <f aca="false">M82/(1+$C$78)^M83</f>
        <v>1325.49862284086</v>
      </c>
      <c r="N84" s="208" t="n">
        <f aca="false">N82/(1+$C$78)^N83</f>
        <v>1331.68300316651</v>
      </c>
      <c r="O84" s="208" t="n">
        <f aca="false">O82/(1+$C$78)^O83</f>
        <v>1337.89623796198</v>
      </c>
    </row>
    <row r="85" customFormat="false" ht="15" hidden="false" customHeight="true" outlineLevel="0" collapsed="false">
      <c r="B85" s="91" t="s">
        <v>100</v>
      </c>
      <c r="C85" s="96" t="n">
        <f aca="false">C84/(1+$C$78)^O83</f>
        <v>30129.2266633258</v>
      </c>
    </row>
    <row r="86" customFormat="false" ht="15" hidden="false" customHeight="true" outlineLevel="0" collapsed="false">
      <c r="B86" s="91" t="s">
        <v>102</v>
      </c>
      <c r="C86" s="96" t="n">
        <f aca="false">C83+C85</f>
        <v>43183.7998076515</v>
      </c>
    </row>
    <row r="87" customFormat="false" ht="15" hidden="false" customHeight="true" outlineLevel="0" collapsed="false">
      <c r="B87" s="91" t="s">
        <v>285</v>
      </c>
      <c r="C87" s="96" t="n">
        <f aca="false">C86+$C$9-$C$10</f>
        <v>44083.7998076515</v>
      </c>
    </row>
    <row r="88" customFormat="false" ht="15" hidden="false" customHeight="true" outlineLevel="0" collapsed="false">
      <c r="B88" s="205" t="s">
        <v>104</v>
      </c>
      <c r="C88" s="213" t="n">
        <f aca="false">C87/$C$11</f>
        <v>41.3233968950614</v>
      </c>
    </row>
    <row r="89" customFormat="false" ht="15" hidden="false" customHeight="true" outlineLevel="0" collapsed="false">
      <c r="B89" s="91" t="s">
        <v>98</v>
      </c>
      <c r="C89" s="97" t="n">
        <f aca="false">1-P82/P78</f>
        <v>0.174756282599543</v>
      </c>
    </row>
    <row r="90" customFormat="false" ht="15" hidden="false" customHeight="true" outlineLevel="0" collapsed="false">
      <c r="B90" s="91" t="s">
        <v>286</v>
      </c>
      <c r="C90" s="97" t="n">
        <f aca="false">C85/C86</f>
        <v>0.697697442039072</v>
      </c>
    </row>
    <row r="93" customFormat="false" ht="15" hidden="false" customHeight="true" outlineLevel="0" collapsed="false">
      <c r="B93" s="86" t="s">
        <v>290</v>
      </c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</row>
    <row r="94" customFormat="false" ht="15" hidden="false" customHeight="true" outlineLevel="0" collapsed="false">
      <c r="B94" s="205" t="s">
        <v>272</v>
      </c>
      <c r="C94" s="205" t="s">
        <v>184</v>
      </c>
      <c r="E94" s="205" t="s">
        <v>273</v>
      </c>
      <c r="F94" s="206" t="str">
        <f aca="false">"FY"&amp;RIGHT(DCF!O$38,2)</f>
        <v>FY26</v>
      </c>
      <c r="G94" s="206" t="str">
        <f aca="false">"FY"&amp;RIGHT(DCF!P$38,2)</f>
        <v>FY27</v>
      </c>
      <c r="H94" s="206" t="str">
        <f aca="false">"FY"&amp;RIGHT(DCF!Q$38,2)</f>
        <v>FY28</v>
      </c>
      <c r="I94" s="206" t="str">
        <f aca="false">"FY"&amp;RIGHT(DCF!R$38,2)</f>
        <v>FY29</v>
      </c>
      <c r="J94" s="206" t="str">
        <f aca="false">"FY"&amp;RIGHT(DCF!S$38,2)</f>
        <v>FY30</v>
      </c>
      <c r="K94" s="206" t="str">
        <f aca="false">"FY"&amp;RIGHT(DCF!T$38,2)</f>
        <v>FY31</v>
      </c>
      <c r="L94" s="206" t="str">
        <f aca="false">"FY"&amp;RIGHT(DCF!U$38,2)</f>
        <v>FY32</v>
      </c>
      <c r="M94" s="206" t="str">
        <f aca="false">"FY"&amp;RIGHT(DCF!V$38,2)</f>
        <v>FY33</v>
      </c>
      <c r="N94" s="206" t="str">
        <f aca="false">"FY"&amp;RIGHT(DCF!W$38,2)</f>
        <v>FY34</v>
      </c>
      <c r="O94" s="206" t="str">
        <f aca="false">"FY"&amp;RIGHT(DCF!X$38,2)</f>
        <v>FY35</v>
      </c>
      <c r="P94" s="206" t="s">
        <v>40</v>
      </c>
    </row>
    <row r="95" customFormat="false" ht="15" hidden="false" customHeight="true" outlineLevel="0" collapsed="false">
      <c r="B95" s="91" t="s">
        <v>274</v>
      </c>
      <c r="C95" s="95" t="n">
        <f aca="false">DCF!$L$11</f>
        <v>0.0909</v>
      </c>
      <c r="E95" s="91" t="s">
        <v>275</v>
      </c>
      <c r="F95" s="207" t="n">
        <f aca="false">$C$95</f>
        <v>0.0909</v>
      </c>
      <c r="G95" s="207" t="n">
        <f aca="false">IF($C$99=1,F95-($C$95-$C$98)/$C$12,$C$95)</f>
        <v>0.0824666666666667</v>
      </c>
      <c r="H95" s="207" t="n">
        <f aca="false">IF($C$99=1,G95-($C$95-$C$98)/$C$12,$C$95)</f>
        <v>0.0740333333333333</v>
      </c>
      <c r="I95" s="207" t="n">
        <f aca="false">IF($C$99=1,H95-($C$95-$C$98)/$C$12,$C$95)</f>
        <v>0.0656</v>
      </c>
      <c r="J95" s="207" t="n">
        <f aca="false">IF($C$99=1,I95-($C$95-$C$98)/$C$12,$C$95)</f>
        <v>0.0571666666666667</v>
      </c>
      <c r="K95" s="207" t="n">
        <f aca="false">IF($C$99=1,J95-($C$95-$C$98)/$C$12,$C$95)</f>
        <v>0.0487333333333333</v>
      </c>
      <c r="L95" s="207" t="n">
        <f aca="false">IF($C$99=1,K95-($C$95-$C$98)/$C$12,$C$95)</f>
        <v>0.0403</v>
      </c>
      <c r="M95" s="207" t="n">
        <f aca="false">IF($C$99=1,L95-($C$95-$C$98)/$C$12,$C$95)</f>
        <v>0.0318666666666667</v>
      </c>
      <c r="N95" s="207" t="n">
        <f aca="false">IF($C$99=1,M95-($C$95-$C$98)/$C$12,$C$95)</f>
        <v>0.0234333333333333</v>
      </c>
      <c r="O95" s="207" t="n">
        <f aca="false">IF($C$99=1,N95-($C$95-$C$98)/$C$12,$C$95)</f>
        <v>0.015</v>
      </c>
    </row>
    <row r="96" customFormat="false" ht="15" hidden="false" customHeight="true" outlineLevel="0" collapsed="false">
      <c r="B96" s="91" t="s">
        <v>276</v>
      </c>
      <c r="C96" s="95" t="n">
        <f aca="false">DCF!$L$13</f>
        <v>0.1722</v>
      </c>
      <c r="E96" s="91" t="s">
        <v>16</v>
      </c>
      <c r="F96" s="208" t="n">
        <f aca="false">$C$8*(1+F95)</f>
        <v>15216.41865</v>
      </c>
      <c r="G96" s="208" t="n">
        <f aca="false">F96*(1+G95)</f>
        <v>16471.26597467</v>
      </c>
      <c r="H96" s="208" t="n">
        <f aca="false">G96*(1+H95)</f>
        <v>17690.6886989947</v>
      </c>
      <c r="I96" s="208" t="n">
        <f aca="false">H96*(1+I95)</f>
        <v>18851.1978776488</v>
      </c>
      <c r="J96" s="208" t="n">
        <f aca="false">I96*(1+J95)</f>
        <v>19928.8580229877</v>
      </c>
      <c r="K96" s="208" t="n">
        <f aca="false">J96*(1+K95)</f>
        <v>20900.0577039746</v>
      </c>
      <c r="L96" s="208" t="n">
        <f aca="false">K96*(1+L95)</f>
        <v>21742.3300294448</v>
      </c>
      <c r="M96" s="208" t="n">
        <f aca="false">L96*(1+M95)</f>
        <v>22435.1856130498</v>
      </c>
      <c r="N96" s="208" t="n">
        <f aca="false">M96*(1+N95)</f>
        <v>22960.9167959156</v>
      </c>
      <c r="O96" s="208" t="n">
        <f aca="false">N96*(1+O95)</f>
        <v>23305.3305478543</v>
      </c>
    </row>
    <row r="97" customFormat="false" ht="15" hidden="false" customHeight="true" outlineLevel="0" collapsed="false">
      <c r="B97" s="91" t="s">
        <v>21</v>
      </c>
      <c r="C97" s="93" t="n">
        <f aca="false">WACC!$F$22</f>
        <v>0.0858338239797238</v>
      </c>
      <c r="E97" s="91" t="s">
        <v>277</v>
      </c>
      <c r="F97" s="208" t="n">
        <f aca="false">F96*$C$96*(1-$C$4)</f>
        <v>2358.240562377</v>
      </c>
      <c r="G97" s="208" t="n">
        <f aca="false">G96*$C$96*(1-$C$4)</f>
        <v>2552.71680075436</v>
      </c>
      <c r="H97" s="208" t="n">
        <f aca="false">H96*$C$96*(1-$C$4)</f>
        <v>2741.7029345702</v>
      </c>
      <c r="I97" s="208" t="n">
        <f aca="false">I96*$C$96*(1-$C$4)</f>
        <v>2921.55864707801</v>
      </c>
      <c r="J97" s="208" t="n">
        <f aca="false">J96*$C$96*(1-$C$4)</f>
        <v>3088.57441640264</v>
      </c>
      <c r="K97" s="208" t="n">
        <f aca="false">K96*$C$96*(1-$C$4)</f>
        <v>3239.09094296199</v>
      </c>
      <c r="L97" s="208" t="n">
        <f aca="false">L96*$C$96*(1-$C$4)</f>
        <v>3369.62630796336</v>
      </c>
      <c r="M97" s="208" t="n">
        <f aca="false">M96*$C$96*(1-$C$4)</f>
        <v>3477.00506631046</v>
      </c>
      <c r="N97" s="208" t="n">
        <f aca="false">N96*$C$96*(1-$C$4)</f>
        <v>3558.482885031</v>
      </c>
      <c r="O97" s="208" t="n">
        <f aca="false">O96*$C$96*(1-$C$4)</f>
        <v>3611.86012830646</v>
      </c>
      <c r="P97" s="208" t="n">
        <f aca="false">O97*(1+$C$98)</f>
        <v>3666.03803023106</v>
      </c>
    </row>
    <row r="98" customFormat="false" ht="15" hidden="false" customHeight="true" outlineLevel="0" collapsed="false">
      <c r="B98" s="91" t="s">
        <v>278</v>
      </c>
      <c r="C98" s="95" t="n">
        <f aca="false">DCF!$L$17</f>
        <v>0.015</v>
      </c>
      <c r="E98" s="91" t="s">
        <v>46</v>
      </c>
      <c r="F98" s="207" t="n">
        <f aca="false">$C$95/(($C$6-$C$5+$C$7)/($C$96*(1-$C$4)))</f>
        <v>0.191408722826087</v>
      </c>
      <c r="G98" s="207" t="n">
        <f aca="false">IF($C$101=1,F98-($F98-$C$97)/$C$12,G95/(($C$6-$C$5+$C$7)/($C$96*(1-$C$4))))</f>
        <v>0.173650597826087</v>
      </c>
      <c r="H98" s="207" t="n">
        <f aca="false">IF($C$101=1,G98-($F98-$C$97)/$C$12,H95/(($C$6-$C$5+$C$7)/($C$96*(1-$C$4))))</f>
        <v>0.155892472826087</v>
      </c>
      <c r="I98" s="207" t="n">
        <f aca="false">IF($C$101=1,H98-($F98-$C$97)/$C$12,I95/(($C$6-$C$5+$C$7)/($C$96*(1-$C$4))))</f>
        <v>0.138134347826087</v>
      </c>
      <c r="J98" s="207" t="n">
        <f aca="false">IF($C$101=1,I98-($F98-$C$97)/$C$12,J95/(($C$6-$C$5+$C$7)/($C$96*(1-$C$4))))</f>
        <v>0.120376222826087</v>
      </c>
      <c r="K98" s="207" t="n">
        <f aca="false">IF($C$101=1,J98-($F98-$C$97)/$C$12,K95/(($C$6-$C$5+$C$7)/($C$96*(1-$C$4))))</f>
        <v>0.102618097826087</v>
      </c>
      <c r="L98" s="207" t="n">
        <f aca="false">IF($C$101=1,K98-($F98-$C$97)/$C$12,L95/(($C$6-$C$5+$C$7)/($C$96*(1-$C$4))))</f>
        <v>0.084859972826087</v>
      </c>
      <c r="M98" s="207" t="n">
        <f aca="false">IF($C$101=1,L98-($F98-$C$97)/$C$12,M95/(($C$6-$C$5+$C$7)/($C$96*(1-$C$4))))</f>
        <v>0.0671018478260869</v>
      </c>
      <c r="N98" s="207" t="n">
        <f aca="false">IF($C$101=1,M98-($F98-$C$97)/$C$12,N95/(($C$6-$C$5+$C$7)/($C$96*(1-$C$4))))</f>
        <v>0.0493437228260869</v>
      </c>
      <c r="O98" s="207" t="n">
        <f aca="false">IF($C$101=1,N98-($F98-$C$97)/$C$12,O95/(($C$6-$C$5+$C$7)/($C$96*(1-$C$4))))</f>
        <v>0.0315855978260869</v>
      </c>
      <c r="P98" s="207" t="n">
        <f aca="false">$C$97</f>
        <v>0.0858338239797238</v>
      </c>
    </row>
    <row r="99" customFormat="false" ht="15" hidden="false" customHeight="true" outlineLevel="0" collapsed="false">
      <c r="B99" s="91" t="s">
        <v>279</v>
      </c>
      <c r="C99" s="209" t="n">
        <v>1</v>
      </c>
      <c r="E99" s="91" t="s">
        <v>45</v>
      </c>
      <c r="F99" s="210" t="n">
        <f aca="false">IF($C$101=1,F95/F98,(($C$6-$C$5+$C$7)/($C$96*(1-$C$4))))</f>
        <v>0.474899987095109</v>
      </c>
      <c r="G99" s="210" t="n">
        <f aca="false">IF($C$101=1,G95/G98,(($C$6-$C$5+$C$7)/($C$96*(1-$C$4))))</f>
        <v>0.474899987095109</v>
      </c>
      <c r="H99" s="210" t="n">
        <f aca="false">IF($C$101=1,H95/H98,(($C$6-$C$5+$C$7)/($C$96*(1-$C$4))))</f>
        <v>0.474899987095109</v>
      </c>
      <c r="I99" s="210" t="n">
        <f aca="false">IF($C$101=1,I95/I98,(($C$6-$C$5+$C$7)/($C$96*(1-$C$4))))</f>
        <v>0.474899987095109</v>
      </c>
      <c r="J99" s="210" t="n">
        <f aca="false">IF($C$101=1,J95/J98,(($C$6-$C$5+$C$7)/($C$96*(1-$C$4))))</f>
        <v>0.474899987095109</v>
      </c>
      <c r="K99" s="210" t="n">
        <f aca="false">IF($C$101=1,K95/K98,(($C$6-$C$5+$C$7)/($C$96*(1-$C$4))))</f>
        <v>0.474899987095109</v>
      </c>
      <c r="L99" s="210" t="n">
        <f aca="false">IF($C$101=1,L95/L98,(($C$6-$C$5+$C$7)/($C$96*(1-$C$4))))</f>
        <v>0.474899987095109</v>
      </c>
      <c r="M99" s="210" t="n">
        <f aca="false">IF($C$101=1,M95/M98,(($C$6-$C$5+$C$7)/($C$96*(1-$C$4))))</f>
        <v>0.474899987095109</v>
      </c>
      <c r="N99" s="210" t="n">
        <f aca="false">IF($C$101=1,N95/N98,(($C$6-$C$5+$C$7)/($C$96*(1-$C$4))))</f>
        <v>0.474899987095109</v>
      </c>
      <c r="O99" s="210" t="n">
        <f aca="false">IF($C$101=1,O95/O98,(($C$6-$C$5+$C$7)/($C$96*(1-$C$4))))</f>
        <v>0.474899987095109</v>
      </c>
      <c r="P99" s="210" t="n">
        <f aca="false">$C$98/P98</f>
        <v>0.174756282599543</v>
      </c>
    </row>
    <row r="100" customFormat="false" ht="15" hidden="false" customHeight="true" outlineLevel="0" collapsed="false">
      <c r="B100" s="91" t="s">
        <v>280</v>
      </c>
      <c r="C100" s="209" t="n">
        <v>1</v>
      </c>
      <c r="E100" s="91" t="s">
        <v>281</v>
      </c>
      <c r="F100" s="208" t="n">
        <f aca="false">F97*F99</f>
        <v>1119.92841264</v>
      </c>
      <c r="G100" s="208" t="n">
        <f aca="false">G97*G99</f>
        <v>1212.28517573571</v>
      </c>
      <c r="H100" s="208" t="n">
        <f aca="false">H97*H99</f>
        <v>1302.03468824601</v>
      </c>
      <c r="I100" s="208" t="n">
        <f aca="false">I97*I99</f>
        <v>1387.44816379495</v>
      </c>
      <c r="J100" s="208" t="n">
        <f aca="false">J97*J99</f>
        <v>1466.7639504919</v>
      </c>
      <c r="K100" s="208" t="n">
        <f aca="false">K97*K99</f>
        <v>1538.24424701253</v>
      </c>
      <c r="L100" s="208" t="n">
        <f aca="false">L97*L99</f>
        <v>1600.23549016714</v>
      </c>
      <c r="M100" s="208" t="n">
        <f aca="false">M97*M99</f>
        <v>1651.22966112047</v>
      </c>
      <c r="N100" s="208" t="n">
        <f aca="false">N97*N99</f>
        <v>1689.92347617939</v>
      </c>
      <c r="O100" s="208" t="n">
        <f aca="false">O97*O99</f>
        <v>1715.27232832208</v>
      </c>
    </row>
    <row r="101" customFormat="false" ht="15" hidden="false" customHeight="true" outlineLevel="0" collapsed="false">
      <c r="B101" s="91" t="s">
        <v>282</v>
      </c>
      <c r="C101" s="209" t="n">
        <v>0</v>
      </c>
      <c r="E101" s="90" t="s">
        <v>47</v>
      </c>
      <c r="F101" s="211" t="n">
        <f aca="false">F97-F100</f>
        <v>1238.312149737</v>
      </c>
      <c r="G101" s="211" t="n">
        <f aca="false">G97-G100</f>
        <v>1340.43162501865</v>
      </c>
      <c r="H101" s="211" t="n">
        <f aca="false">H97-H100</f>
        <v>1439.66824632419</v>
      </c>
      <c r="I101" s="211" t="n">
        <f aca="false">I97-I100</f>
        <v>1534.11048328306</v>
      </c>
      <c r="J101" s="211" t="n">
        <f aca="false">J97-J100</f>
        <v>1621.81046591074</v>
      </c>
      <c r="K101" s="211" t="n">
        <f aca="false">K97-K100</f>
        <v>1700.84669594946</v>
      </c>
      <c r="L101" s="211" t="n">
        <f aca="false">L97-L100</f>
        <v>1769.39081779622</v>
      </c>
      <c r="M101" s="211" t="n">
        <f aca="false">M97-M100</f>
        <v>1825.77540518999</v>
      </c>
      <c r="N101" s="211" t="n">
        <f aca="false">N97-N100</f>
        <v>1868.55940885161</v>
      </c>
      <c r="O101" s="211" t="n">
        <f aca="false">O97-O100</f>
        <v>1896.58779998439</v>
      </c>
      <c r="P101" s="211" t="n">
        <f aca="false">IF($C$100=1,P97*(1-P99),O101*(1+$C$98))</f>
        <v>3025.37485219933</v>
      </c>
    </row>
    <row r="102" customFormat="false" ht="15" hidden="false" customHeight="true" outlineLevel="0" collapsed="false">
      <c r="B102" s="91" t="s">
        <v>101</v>
      </c>
      <c r="C102" s="96" t="n">
        <f aca="false">SUM(F103:O103)</f>
        <v>11516.4871200723</v>
      </c>
      <c r="E102" s="91" t="s">
        <v>283</v>
      </c>
      <c r="F102" s="212" t="n">
        <f aca="false">DCF!O$71</f>
        <v>0.0347222222222222</v>
      </c>
      <c r="G102" s="212" t="n">
        <f aca="false">DCF!P$71</f>
        <v>0.569444444444444</v>
      </c>
      <c r="H102" s="212" t="n">
        <f aca="false">DCF!Q$71</f>
        <v>1.56944444444444</v>
      </c>
      <c r="I102" s="212" t="n">
        <f aca="false">DCF!R$71</f>
        <v>2.56944444444444</v>
      </c>
      <c r="J102" s="212" t="n">
        <f aca="false">DCF!S$71</f>
        <v>3.56944444444444</v>
      </c>
      <c r="K102" s="212" t="n">
        <f aca="false">DCF!T$71</f>
        <v>4.56944444444445</v>
      </c>
      <c r="L102" s="212" t="n">
        <f aca="false">DCF!U$71</f>
        <v>5.56944444444445</v>
      </c>
      <c r="M102" s="212" t="n">
        <f aca="false">DCF!V$71</f>
        <v>6.56944444444445</v>
      </c>
      <c r="N102" s="212" t="n">
        <f aca="false">DCF!W$71</f>
        <v>7.56944444444445</v>
      </c>
      <c r="O102" s="212" t="n">
        <f aca="false">DCF!X$71</f>
        <v>8.56944444444445</v>
      </c>
    </row>
    <row r="103" customFormat="false" ht="15" hidden="false" customHeight="true" outlineLevel="0" collapsed="false">
      <c r="B103" s="91" t="s">
        <v>99</v>
      </c>
      <c r="C103" s="96" t="n">
        <f aca="false">P101/($C$97-$C$98)</f>
        <v>42710.8785354486</v>
      </c>
      <c r="E103" s="91" t="s">
        <v>284</v>
      </c>
      <c r="F103" s="208" t="n">
        <f aca="false">F101/(1+$C$97)^F102</f>
        <v>1234.77648581277</v>
      </c>
      <c r="G103" s="208" t="n">
        <f aca="false">G101/(1+$C$97)^G102</f>
        <v>1279.02612587499</v>
      </c>
      <c r="H103" s="208" t="n">
        <f aca="false">H101/(1+$C$97)^H102</f>
        <v>1265.12608380451</v>
      </c>
      <c r="I103" s="208" t="n">
        <f aca="false">I101/(1+$C$97)^I102</f>
        <v>1241.55126238474</v>
      </c>
      <c r="J103" s="208" t="n">
        <f aca="false">J101/(1+$C$97)^J102</f>
        <v>1208.77300058723</v>
      </c>
      <c r="K103" s="208" t="n">
        <f aca="false">K101/(1+$C$97)^K102</f>
        <v>1167.47195579427</v>
      </c>
      <c r="L103" s="208" t="n">
        <f aca="false">L101/(1+$C$97)^L102</f>
        <v>1118.51468317813</v>
      </c>
      <c r="M103" s="208" t="n">
        <f aca="false">M101/(1+$C$97)^M102</f>
        <v>1062.92325055651</v>
      </c>
      <c r="N103" s="208" t="n">
        <f aca="false">N101/(1+$C$97)^N102</f>
        <v>1001.8393803644</v>
      </c>
      <c r="O103" s="208" t="n">
        <f aca="false">O101/(1+$C$97)^O102</f>
        <v>936.484891714753</v>
      </c>
    </row>
    <row r="104" customFormat="false" ht="15" hidden="false" customHeight="true" outlineLevel="0" collapsed="false">
      <c r="B104" s="91" t="s">
        <v>100</v>
      </c>
      <c r="C104" s="96" t="n">
        <f aca="false">C103/(1+$C$97)^O102</f>
        <v>21089.5021367536</v>
      </c>
    </row>
    <row r="105" customFormat="false" ht="15" hidden="false" customHeight="true" outlineLevel="0" collapsed="false">
      <c r="B105" s="91" t="s">
        <v>102</v>
      </c>
      <c r="C105" s="96" t="n">
        <f aca="false">C102+C104</f>
        <v>32605.9892568259</v>
      </c>
    </row>
    <row r="106" customFormat="false" ht="15" hidden="false" customHeight="true" outlineLevel="0" collapsed="false">
      <c r="B106" s="91" t="s">
        <v>285</v>
      </c>
      <c r="C106" s="96" t="n">
        <f aca="false">C105+$C$9-$C$10</f>
        <v>33505.9892568259</v>
      </c>
    </row>
    <row r="107" customFormat="false" ht="15" hidden="false" customHeight="true" outlineLevel="0" collapsed="false">
      <c r="B107" s="205" t="s">
        <v>104</v>
      </c>
      <c r="C107" s="213" t="n">
        <f aca="false">C106/$C$11</f>
        <v>31.4079389359073</v>
      </c>
    </row>
    <row r="108" customFormat="false" ht="15" hidden="false" customHeight="true" outlineLevel="0" collapsed="false">
      <c r="B108" s="91" t="s">
        <v>98</v>
      </c>
      <c r="C108" s="97" t="n">
        <f aca="false">1-P101/P97</f>
        <v>0.174756282599543</v>
      </c>
    </row>
    <row r="109" customFormat="false" ht="15" hidden="false" customHeight="true" outlineLevel="0" collapsed="false">
      <c r="B109" s="91" t="s">
        <v>286</v>
      </c>
      <c r="C109" s="97" t="n">
        <f aca="false">C104/C105</f>
        <v>0.646798413955149</v>
      </c>
    </row>
    <row r="112" customFormat="false" ht="15" hidden="false" customHeight="true" outlineLevel="0" collapsed="false">
      <c r="B112" s="86" t="s">
        <v>291</v>
      </c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</row>
    <row r="113" customFormat="false" ht="15" hidden="false" customHeight="true" outlineLevel="0" collapsed="false">
      <c r="B113" s="205" t="s">
        <v>272</v>
      </c>
      <c r="C113" s="205" t="s">
        <v>184</v>
      </c>
      <c r="E113" s="205" t="s">
        <v>273</v>
      </c>
      <c r="F113" s="206" t="str">
        <f aca="false">"FY"&amp;RIGHT(DCF!O$38,2)</f>
        <v>FY26</v>
      </c>
      <c r="G113" s="206" t="str">
        <f aca="false">"FY"&amp;RIGHT(DCF!P$38,2)</f>
        <v>FY27</v>
      </c>
      <c r="H113" s="206" t="str">
        <f aca="false">"FY"&amp;RIGHT(DCF!Q$38,2)</f>
        <v>FY28</v>
      </c>
      <c r="I113" s="206" t="str">
        <f aca="false">"FY"&amp;RIGHT(DCF!R$38,2)</f>
        <v>FY29</v>
      </c>
      <c r="J113" s="206" t="str">
        <f aca="false">"FY"&amp;RIGHT(DCF!S$38,2)</f>
        <v>FY30</v>
      </c>
      <c r="K113" s="206" t="str">
        <f aca="false">"FY"&amp;RIGHT(DCF!T$38,2)</f>
        <v>FY31</v>
      </c>
      <c r="L113" s="206" t="str">
        <f aca="false">"FY"&amp;RIGHT(DCF!U$38,2)</f>
        <v>FY32</v>
      </c>
      <c r="M113" s="206" t="str">
        <f aca="false">"FY"&amp;RIGHT(DCF!V$38,2)</f>
        <v>FY33</v>
      </c>
      <c r="N113" s="206" t="str">
        <f aca="false">"FY"&amp;RIGHT(DCF!W$38,2)</f>
        <v>FY34</v>
      </c>
      <c r="O113" s="206" t="str">
        <f aca="false">"FY"&amp;RIGHT(DCF!X$38,2)</f>
        <v>FY35</v>
      </c>
      <c r="P113" s="206" t="s">
        <v>40</v>
      </c>
    </row>
    <row r="114" customFormat="false" ht="15" hidden="false" customHeight="true" outlineLevel="0" collapsed="false">
      <c r="B114" s="91" t="s">
        <v>274</v>
      </c>
      <c r="C114" s="95" t="n">
        <f aca="false">DCF!$L$11</f>
        <v>0.0909</v>
      </c>
      <c r="E114" s="91" t="s">
        <v>275</v>
      </c>
      <c r="F114" s="207" t="n">
        <f aca="false">$C$114</f>
        <v>0.0909</v>
      </c>
      <c r="G114" s="207" t="n">
        <f aca="false">IF($C$118=1,F114-($C$114-$C$117)/$C$12,$C$114)</f>
        <v>0.0824666666666667</v>
      </c>
      <c r="H114" s="207" t="n">
        <f aca="false">IF($C$118=1,G114-($C$114-$C$117)/$C$12,$C$114)</f>
        <v>0.0740333333333333</v>
      </c>
      <c r="I114" s="207" t="n">
        <f aca="false">IF($C$118=1,H114-($C$114-$C$117)/$C$12,$C$114)</f>
        <v>0.0656</v>
      </c>
      <c r="J114" s="207" t="n">
        <f aca="false">IF($C$118=1,I114-($C$114-$C$117)/$C$12,$C$114)</f>
        <v>0.0571666666666667</v>
      </c>
      <c r="K114" s="207" t="n">
        <f aca="false">IF($C$118=1,J114-($C$114-$C$117)/$C$12,$C$114)</f>
        <v>0.0487333333333333</v>
      </c>
      <c r="L114" s="207" t="n">
        <f aca="false">IF($C$118=1,K114-($C$114-$C$117)/$C$12,$C$114)</f>
        <v>0.0403</v>
      </c>
      <c r="M114" s="207" t="n">
        <f aca="false">IF($C$118=1,L114-($C$114-$C$117)/$C$12,$C$114)</f>
        <v>0.0318666666666667</v>
      </c>
      <c r="N114" s="207" t="n">
        <f aca="false">IF($C$118=1,M114-($C$114-$C$117)/$C$12,$C$114)</f>
        <v>0.0234333333333333</v>
      </c>
      <c r="O114" s="207" t="n">
        <f aca="false">IF($C$118=1,N114-($C$114-$C$117)/$C$12,$C$114)</f>
        <v>0.015</v>
      </c>
    </row>
    <row r="115" customFormat="false" ht="15" hidden="false" customHeight="true" outlineLevel="0" collapsed="false">
      <c r="B115" s="91" t="s">
        <v>276</v>
      </c>
      <c r="C115" s="95" t="n">
        <f aca="false">DCF!$L$13</f>
        <v>0.1722</v>
      </c>
      <c r="E115" s="91" t="s">
        <v>16</v>
      </c>
      <c r="F115" s="208" t="n">
        <f aca="false">$C$8*(1+F114)</f>
        <v>15216.41865</v>
      </c>
      <c r="G115" s="208" t="n">
        <f aca="false">F115*(1+G114)</f>
        <v>16471.26597467</v>
      </c>
      <c r="H115" s="208" t="n">
        <f aca="false">G115*(1+H114)</f>
        <v>17690.6886989947</v>
      </c>
      <c r="I115" s="208" t="n">
        <f aca="false">H115*(1+I114)</f>
        <v>18851.1978776488</v>
      </c>
      <c r="J115" s="208" t="n">
        <f aca="false">I115*(1+J114)</f>
        <v>19928.8580229877</v>
      </c>
      <c r="K115" s="208" t="n">
        <f aca="false">J115*(1+K114)</f>
        <v>20900.0577039746</v>
      </c>
      <c r="L115" s="208" t="n">
        <f aca="false">K115*(1+L114)</f>
        <v>21742.3300294448</v>
      </c>
      <c r="M115" s="208" t="n">
        <f aca="false">L115*(1+M114)</f>
        <v>22435.1856130498</v>
      </c>
      <c r="N115" s="208" t="n">
        <f aca="false">M115*(1+N114)</f>
        <v>22960.9167959156</v>
      </c>
      <c r="O115" s="208" t="n">
        <f aca="false">N115*(1+O114)</f>
        <v>23305.3305478543</v>
      </c>
    </row>
    <row r="116" customFormat="false" ht="15" hidden="false" customHeight="true" outlineLevel="0" collapsed="false">
      <c r="B116" s="91" t="s">
        <v>21</v>
      </c>
      <c r="C116" s="93" t="n">
        <f aca="false">WACC!$F$22</f>
        <v>0.0858338239797238</v>
      </c>
      <c r="E116" s="91" t="s">
        <v>277</v>
      </c>
      <c r="F116" s="208" t="n">
        <f aca="false">F115*$C$115*(1-$C$4)</f>
        <v>2358.240562377</v>
      </c>
      <c r="G116" s="208" t="n">
        <f aca="false">G115*$C$115*(1-$C$4)</f>
        <v>2552.71680075436</v>
      </c>
      <c r="H116" s="208" t="n">
        <f aca="false">H115*$C$115*(1-$C$4)</f>
        <v>2741.7029345702</v>
      </c>
      <c r="I116" s="208" t="n">
        <f aca="false">I115*$C$115*(1-$C$4)</f>
        <v>2921.55864707801</v>
      </c>
      <c r="J116" s="208" t="n">
        <f aca="false">J115*$C$115*(1-$C$4)</f>
        <v>3088.57441640264</v>
      </c>
      <c r="K116" s="208" t="n">
        <f aca="false">K115*$C$115*(1-$C$4)</f>
        <v>3239.09094296199</v>
      </c>
      <c r="L116" s="208" t="n">
        <f aca="false">L115*$C$115*(1-$C$4)</f>
        <v>3369.62630796336</v>
      </c>
      <c r="M116" s="208" t="n">
        <f aca="false">M115*$C$115*(1-$C$4)</f>
        <v>3477.00506631046</v>
      </c>
      <c r="N116" s="208" t="n">
        <f aca="false">N115*$C$115*(1-$C$4)</f>
        <v>3558.482885031</v>
      </c>
      <c r="O116" s="208" t="n">
        <f aca="false">O115*$C$115*(1-$C$4)</f>
        <v>3611.86012830646</v>
      </c>
      <c r="P116" s="208" t="n">
        <f aca="false">O116*(1+$C$117)</f>
        <v>3666.03803023106</v>
      </c>
    </row>
    <row r="117" customFormat="false" ht="15" hidden="false" customHeight="true" outlineLevel="0" collapsed="false">
      <c r="B117" s="91" t="s">
        <v>278</v>
      </c>
      <c r="C117" s="95" t="n">
        <f aca="false">DCF!$L$17</f>
        <v>0.015</v>
      </c>
      <c r="E117" s="91" t="s">
        <v>46</v>
      </c>
      <c r="F117" s="207" t="n">
        <f aca="false">$C$114/(($C$6-$C$5+$C$7)/($C$115*(1-$C$4)))</f>
        <v>0.191408722826087</v>
      </c>
      <c r="G117" s="207" t="n">
        <f aca="false">IF($C$120=1,F117-($F117-$C$116)/$C$12,G114/(($C$6-$C$5+$C$7)/($C$115*(1-$C$4))))</f>
        <v>0.179678178509824</v>
      </c>
      <c r="H117" s="207" t="n">
        <f aca="false">IF($C$120=1,G117-($F117-$C$116)/$C$12,H114/(($C$6-$C$5+$C$7)/($C$115*(1-$C$4))))</f>
        <v>0.167947634193562</v>
      </c>
      <c r="I117" s="207" t="n">
        <f aca="false">IF($C$120=1,H117-($F117-$C$116)/$C$12,I114/(($C$6-$C$5+$C$7)/($C$115*(1-$C$4))))</f>
        <v>0.156217089877299</v>
      </c>
      <c r="J117" s="207" t="n">
        <f aca="false">IF($C$120=1,I117-($F117-$C$116)/$C$12,J114/(($C$6-$C$5+$C$7)/($C$115*(1-$C$4))))</f>
        <v>0.144486545561037</v>
      </c>
      <c r="K117" s="207" t="n">
        <f aca="false">IF($C$120=1,J117-($F117-$C$116)/$C$12,K114/(($C$6-$C$5+$C$7)/($C$115*(1-$C$4))))</f>
        <v>0.132756001244774</v>
      </c>
      <c r="L117" s="207" t="n">
        <f aca="false">IF($C$120=1,K117-($F117-$C$116)/$C$12,L114/(($C$6-$C$5+$C$7)/($C$115*(1-$C$4))))</f>
        <v>0.121025456928512</v>
      </c>
      <c r="M117" s="207" t="n">
        <f aca="false">IF($C$120=1,L117-($F117-$C$116)/$C$12,M114/(($C$6-$C$5+$C$7)/($C$115*(1-$C$4))))</f>
        <v>0.109294912612249</v>
      </c>
      <c r="N117" s="207" t="n">
        <f aca="false">IF($C$120=1,M117-($F117-$C$116)/$C$12,N114/(($C$6-$C$5+$C$7)/($C$115*(1-$C$4))))</f>
        <v>0.0975643682959863</v>
      </c>
      <c r="O117" s="207" t="n">
        <f aca="false">IF($C$120=1,N117-($F117-$C$116)/$C$12,O114/(($C$6-$C$5+$C$7)/($C$115*(1-$C$4))))</f>
        <v>0.0858338239797238</v>
      </c>
      <c r="P117" s="207" t="n">
        <f aca="false">$C$116</f>
        <v>0.0858338239797238</v>
      </c>
    </row>
    <row r="118" customFormat="false" ht="15" hidden="false" customHeight="true" outlineLevel="0" collapsed="false">
      <c r="B118" s="91" t="s">
        <v>279</v>
      </c>
      <c r="C118" s="209" t="n">
        <v>1</v>
      </c>
      <c r="E118" s="91" t="s">
        <v>45</v>
      </c>
      <c r="F118" s="210" t="n">
        <f aca="false">IF($C$120=1,F114/F117,(($C$6-$C$5+$C$7)/($C$115*(1-$C$4))))</f>
        <v>0.474899987095109</v>
      </c>
      <c r="G118" s="210" t="n">
        <f aca="false">IF($C$120=1,G114/G117,(($C$6-$C$5+$C$7)/($C$115*(1-$C$4))))</f>
        <v>0.458968737053162</v>
      </c>
      <c r="H118" s="210" t="n">
        <f aca="false">IF($C$120=1,H114/H117,(($C$6-$C$5+$C$7)/($C$115*(1-$C$4))))</f>
        <v>0.440812004818174</v>
      </c>
      <c r="I118" s="210" t="n">
        <f aca="false">IF($C$120=1,I114/I117,(($C$6-$C$5+$C$7)/($C$115*(1-$C$4))))</f>
        <v>0.419928447339056</v>
      </c>
      <c r="J118" s="210" t="n">
        <f aca="false">IF($C$120=1,J114/J117,(($C$6-$C$5+$C$7)/($C$115*(1-$C$4))))</f>
        <v>0.395653909813473</v>
      </c>
      <c r="K118" s="210" t="n">
        <f aca="false">IF($C$120=1,K114/K117,(($C$6-$C$5+$C$7)/($C$115*(1-$C$4))))</f>
        <v>0.3670894940823</v>
      </c>
      <c r="L118" s="210" t="n">
        <f aca="false">IF($C$120=1,L114/L117,(($C$6-$C$5+$C$7)/($C$115*(1-$C$4))))</f>
        <v>0.332987794657159</v>
      </c>
      <c r="M118" s="210" t="n">
        <f aca="false">IF($C$120=1,M114/M117,(($C$6-$C$5+$C$7)/($C$115*(1-$C$4))))</f>
        <v>0.291565873516196</v>
      </c>
      <c r="N118" s="210" t="n">
        <f aca="false">IF($C$120=1,N114/N117,(($C$6-$C$5+$C$7)/($C$115*(1-$C$4))))</f>
        <v>0.24018331428378</v>
      </c>
      <c r="O118" s="210" t="n">
        <f aca="false">IF($C$120=1,O114/O117,(($C$6-$C$5+$C$7)/($C$115*(1-$C$4))))</f>
        <v>0.174756282599542</v>
      </c>
      <c r="P118" s="210" t="n">
        <f aca="false">$C$117/P117</f>
        <v>0.174756282599543</v>
      </c>
    </row>
    <row r="119" customFormat="false" ht="15" hidden="false" customHeight="true" outlineLevel="0" collapsed="false">
      <c r="B119" s="91" t="s">
        <v>280</v>
      </c>
      <c r="C119" s="209" t="n">
        <v>1</v>
      </c>
      <c r="E119" s="91" t="s">
        <v>281</v>
      </c>
      <c r="F119" s="208" t="n">
        <f aca="false">F116*F118</f>
        <v>1119.92841264</v>
      </c>
      <c r="G119" s="208" t="n">
        <f aca="false">G116*G118</f>
        <v>1171.61720609661</v>
      </c>
      <c r="H119" s="208" t="n">
        <f aca="false">H116*H118</f>
        <v>1208.57556720376</v>
      </c>
      <c r="I119" s="208" t="n">
        <f aca="false">I116*I118</f>
        <v>1226.84558647746</v>
      </c>
      <c r="J119" s="208" t="n">
        <f aca="false">J116*J118</f>
        <v>1222.00654359957</v>
      </c>
      <c r="K119" s="208" t="n">
        <f aca="false">K116*K118</f>
        <v>1189.03625553848</v>
      </c>
      <c r="L119" s="208" t="n">
        <f aca="false">L116*L118</f>
        <v>1122.04443310746</v>
      </c>
      <c r="M119" s="208" t="n">
        <f aca="false">M116*M118</f>
        <v>1013.77601937905</v>
      </c>
      <c r="N119" s="208" t="n">
        <f aca="false">N116*N118</f>
        <v>854.688213148852</v>
      </c>
      <c r="O119" s="208" t="n">
        <f aca="false">O116*O118</f>
        <v>631.195249292344</v>
      </c>
    </row>
    <row r="120" customFormat="false" ht="15" hidden="false" customHeight="true" outlineLevel="0" collapsed="false">
      <c r="B120" s="91" t="s">
        <v>282</v>
      </c>
      <c r="C120" s="209" t="n">
        <v>1</v>
      </c>
      <c r="E120" s="90" t="s">
        <v>47</v>
      </c>
      <c r="F120" s="211" t="n">
        <f aca="false">F116-F119</f>
        <v>1238.312149737</v>
      </c>
      <c r="G120" s="211" t="n">
        <f aca="false">G116-G119</f>
        <v>1381.09959465774</v>
      </c>
      <c r="H120" s="211" t="n">
        <f aca="false">H116-H119</f>
        <v>1533.12736736644</v>
      </c>
      <c r="I120" s="211" t="n">
        <f aca="false">I116-I119</f>
        <v>1694.71306060055</v>
      </c>
      <c r="J120" s="211" t="n">
        <f aca="false">J116-J119</f>
        <v>1866.56787280307</v>
      </c>
      <c r="K120" s="211" t="n">
        <f aca="false">K116-K119</f>
        <v>2050.05468742351</v>
      </c>
      <c r="L120" s="211" t="n">
        <f aca="false">L116-L119</f>
        <v>2247.5818748559</v>
      </c>
      <c r="M120" s="211" t="n">
        <f aca="false">M116-M119</f>
        <v>2463.22904693141</v>
      </c>
      <c r="N120" s="211" t="n">
        <f aca="false">N116-N119</f>
        <v>2703.79467188215</v>
      </c>
      <c r="O120" s="211" t="n">
        <f aca="false">O116-O119</f>
        <v>2980.66487901412</v>
      </c>
      <c r="P120" s="211" t="n">
        <f aca="false">IF($C$119=1,P116*(1-P118),O120*(1+$C$117))</f>
        <v>3025.37485219933</v>
      </c>
    </row>
    <row r="121" customFormat="false" ht="15" hidden="false" customHeight="true" outlineLevel="0" collapsed="false">
      <c r="B121" s="91" t="s">
        <v>101</v>
      </c>
      <c r="C121" s="96" t="n">
        <f aca="false">SUM(F122:O122)</f>
        <v>13846.0199602466</v>
      </c>
      <c r="E121" s="91" t="s">
        <v>283</v>
      </c>
      <c r="F121" s="212" t="n">
        <f aca="false">DCF!O$71</f>
        <v>0.0347222222222222</v>
      </c>
      <c r="G121" s="212" t="n">
        <f aca="false">DCF!P$71</f>
        <v>0.569444444444444</v>
      </c>
      <c r="H121" s="212" t="n">
        <f aca="false">DCF!Q$71</f>
        <v>1.56944444444444</v>
      </c>
      <c r="I121" s="212" t="n">
        <f aca="false">DCF!R$71</f>
        <v>2.56944444444444</v>
      </c>
      <c r="J121" s="212" t="n">
        <f aca="false">DCF!S$71</f>
        <v>3.56944444444444</v>
      </c>
      <c r="K121" s="212" t="n">
        <f aca="false">DCF!T$71</f>
        <v>4.56944444444445</v>
      </c>
      <c r="L121" s="212" t="n">
        <f aca="false">DCF!U$71</f>
        <v>5.56944444444445</v>
      </c>
      <c r="M121" s="212" t="n">
        <f aca="false">DCF!V$71</f>
        <v>6.56944444444445</v>
      </c>
      <c r="N121" s="212" t="n">
        <f aca="false">DCF!W$71</f>
        <v>7.56944444444445</v>
      </c>
      <c r="O121" s="212" t="n">
        <f aca="false">DCF!X$71</f>
        <v>8.56944444444445</v>
      </c>
    </row>
    <row r="122" customFormat="false" ht="15" hidden="false" customHeight="true" outlineLevel="0" collapsed="false">
      <c r="B122" s="91" t="s">
        <v>99</v>
      </c>
      <c r="C122" s="96" t="n">
        <f aca="false">P120/($C$116-$C$117)</f>
        <v>42710.8785354486</v>
      </c>
      <c r="E122" s="91" t="s">
        <v>284</v>
      </c>
      <c r="F122" s="208" t="n">
        <f aca="false">F120/(1+$C$116)^F121</f>
        <v>1234.77648581277</v>
      </c>
      <c r="G122" s="208" t="n">
        <f aca="false">G120/(1+$C$116)^G121</f>
        <v>1317.83108592208</v>
      </c>
      <c r="H122" s="208" t="n">
        <f aca="false">H120/(1+$C$116)^H121</f>
        <v>1347.25442976329</v>
      </c>
      <c r="I122" s="208" t="n">
        <f aca="false">I120/(1+$C$116)^I121</f>
        <v>1371.52647263431</v>
      </c>
      <c r="J122" s="208" t="n">
        <f aca="false">J120/(1+$C$116)^J121</f>
        <v>1391.19637949855</v>
      </c>
      <c r="K122" s="208" t="n">
        <f aca="false">K120/(1+$C$116)^K121</f>
        <v>1407.17053518776</v>
      </c>
      <c r="L122" s="208" t="n">
        <f aca="false">L120/(1+$C$116)^L121</f>
        <v>1420.8016134064</v>
      </c>
      <c r="M122" s="208" t="n">
        <f aca="false">M120/(1+$C$116)^M121</f>
        <v>1434.03368124411</v>
      </c>
      <c r="N122" s="208" t="n">
        <f aca="false">N120/(1+$C$116)^N121</f>
        <v>1449.65579680217</v>
      </c>
      <c r="O122" s="208" t="n">
        <f aca="false">O120/(1+$C$116)^O121</f>
        <v>1471.77347997519</v>
      </c>
    </row>
    <row r="123" customFormat="false" ht="15" hidden="false" customHeight="true" outlineLevel="0" collapsed="false">
      <c r="B123" s="91" t="s">
        <v>100</v>
      </c>
      <c r="C123" s="96" t="n">
        <f aca="false">C122/(1+$C$116)^O121</f>
        <v>21089.5021367536</v>
      </c>
    </row>
    <row r="124" customFormat="false" ht="15" hidden="false" customHeight="true" outlineLevel="0" collapsed="false">
      <c r="B124" s="91" t="s">
        <v>102</v>
      </c>
      <c r="C124" s="96" t="n">
        <f aca="false">C121+C123</f>
        <v>34935.5220970003</v>
      </c>
    </row>
    <row r="125" customFormat="false" ht="15" hidden="false" customHeight="true" outlineLevel="0" collapsed="false">
      <c r="B125" s="91" t="s">
        <v>285</v>
      </c>
      <c r="C125" s="96" t="n">
        <f aca="false">C124+$C$9-$C$10</f>
        <v>35835.5220970003</v>
      </c>
    </row>
    <row r="126" customFormat="false" ht="15" hidden="false" customHeight="true" outlineLevel="0" collapsed="false">
      <c r="B126" s="205" t="s">
        <v>104</v>
      </c>
      <c r="C126" s="213" t="n">
        <f aca="false">C125/$C$11</f>
        <v>33.5916030155608</v>
      </c>
    </row>
    <row r="127" customFormat="false" ht="15" hidden="false" customHeight="true" outlineLevel="0" collapsed="false">
      <c r="B127" s="91" t="s">
        <v>98</v>
      </c>
      <c r="C127" s="97" t="n">
        <f aca="false">1-P120/P116</f>
        <v>0.174756282599543</v>
      </c>
    </row>
    <row r="128" customFormat="false" ht="15" hidden="false" customHeight="true" outlineLevel="0" collapsed="false">
      <c r="B128" s="91" t="s">
        <v>286</v>
      </c>
      <c r="C128" s="97" t="n">
        <f aca="false">C123/C124</f>
        <v>0.603669299064647</v>
      </c>
    </row>
    <row r="131" customFormat="false" ht="15" hidden="false" customHeight="true" outlineLevel="0" collapsed="false">
      <c r="B131" s="204" t="s">
        <v>292</v>
      </c>
    </row>
    <row r="132" customFormat="false" ht="15" hidden="false" customHeight="true" outlineLevel="0" collapsed="false">
      <c r="B132" s="86" t="s">
        <v>13</v>
      </c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</row>
    <row r="133" customFormat="false" ht="15" hidden="false" customHeight="true" outlineLevel="0" collapsed="false">
      <c r="B133" s="205" t="s">
        <v>272</v>
      </c>
      <c r="C133" s="205" t="s">
        <v>184</v>
      </c>
      <c r="E133" s="205" t="s">
        <v>273</v>
      </c>
      <c r="F133" s="206" t="str">
        <f aca="false">"FY"&amp;RIGHT(DCF!O$38,2)</f>
        <v>FY26</v>
      </c>
      <c r="G133" s="206" t="str">
        <f aca="false">"FY"&amp;RIGHT(DCF!P$38,2)</f>
        <v>FY27</v>
      </c>
      <c r="H133" s="206" t="str">
        <f aca="false">"FY"&amp;RIGHT(DCF!Q$38,2)</f>
        <v>FY28</v>
      </c>
      <c r="I133" s="206" t="str">
        <f aca="false">"FY"&amp;RIGHT(DCF!R$38,2)</f>
        <v>FY29</v>
      </c>
      <c r="J133" s="206" t="str">
        <f aca="false">"FY"&amp;RIGHT(DCF!S$38,2)</f>
        <v>FY30</v>
      </c>
      <c r="K133" s="206" t="str">
        <f aca="false">"FY"&amp;RIGHT(DCF!T$38,2)</f>
        <v>FY31</v>
      </c>
      <c r="L133" s="206" t="str">
        <f aca="false">"FY"&amp;RIGHT(DCF!U$38,2)</f>
        <v>FY32</v>
      </c>
      <c r="M133" s="206" t="str">
        <f aca="false">"FY"&amp;RIGHT(DCF!V$38,2)</f>
        <v>FY33</v>
      </c>
      <c r="N133" s="206" t="str">
        <f aca="false">"FY"&amp;RIGHT(DCF!W$38,2)</f>
        <v>FY34</v>
      </c>
      <c r="O133" s="206" t="str">
        <f aca="false">"FY"&amp;RIGHT(DCF!X$38,2)</f>
        <v>FY35</v>
      </c>
      <c r="P133" s="206" t="s">
        <v>40</v>
      </c>
    </row>
    <row r="134" customFormat="false" ht="15" hidden="false" customHeight="true" outlineLevel="0" collapsed="false">
      <c r="B134" s="91" t="s">
        <v>274</v>
      </c>
      <c r="C134" s="95" t="n">
        <f aca="false">DCF!$H$11</f>
        <v>0.07</v>
      </c>
      <c r="E134" s="91" t="s">
        <v>275</v>
      </c>
      <c r="F134" s="207" t="n">
        <f aca="false">$C$134</f>
        <v>0.07</v>
      </c>
      <c r="G134" s="207" t="n">
        <f aca="false">IF($C$138=1,F134-($C$134-$C$137)/$C$12,$C$134)</f>
        <v>0.0633333333333333</v>
      </c>
      <c r="H134" s="207" t="n">
        <f aca="false">IF($C$138=1,G134-($C$134-$C$137)/$C$12,$C$134)</f>
        <v>0.0566666666666667</v>
      </c>
      <c r="I134" s="207" t="n">
        <f aca="false">IF($C$138=1,H134-($C$134-$C$137)/$C$12,$C$134)</f>
        <v>0.05</v>
      </c>
      <c r="J134" s="207" t="n">
        <f aca="false">IF($C$138=1,I134-($C$134-$C$137)/$C$12,$C$134)</f>
        <v>0.0433333333333333</v>
      </c>
      <c r="K134" s="207" t="n">
        <f aca="false">IF($C$138=1,J134-($C$134-$C$137)/$C$12,$C$134)</f>
        <v>0.0366666666666667</v>
      </c>
      <c r="L134" s="207" t="n">
        <f aca="false">IF($C$138=1,K134-($C$134-$C$137)/$C$12,$C$134)</f>
        <v>0.03</v>
      </c>
      <c r="M134" s="207" t="n">
        <f aca="false">IF($C$138=1,L134-($C$134-$C$137)/$C$12,$C$134)</f>
        <v>0.0233333333333333</v>
      </c>
      <c r="N134" s="207" t="n">
        <f aca="false">IF($C$138=1,M134-($C$134-$C$137)/$C$12,$C$134)</f>
        <v>0.0166666666666667</v>
      </c>
      <c r="O134" s="207" t="n">
        <f aca="false">IF($C$138=1,N134-($C$134-$C$137)/$C$12,$C$134)</f>
        <v>0.01</v>
      </c>
    </row>
    <row r="135" customFormat="false" ht="15" hidden="false" customHeight="true" outlineLevel="0" collapsed="false">
      <c r="B135" s="91" t="s">
        <v>276</v>
      </c>
      <c r="C135" s="95" t="n">
        <f aca="false">DCF!$H$13</f>
        <v>0.16</v>
      </c>
      <c r="E135" s="91" t="s">
        <v>16</v>
      </c>
      <c r="F135" s="208" t="n">
        <f aca="false">$C$8*(1+F134)</f>
        <v>14924.895</v>
      </c>
      <c r="G135" s="208" t="n">
        <f aca="false">F135*(1+G134)</f>
        <v>15870.13835</v>
      </c>
      <c r="H135" s="208" t="n">
        <f aca="false">G135*(1+H134)</f>
        <v>16769.4461898333</v>
      </c>
      <c r="I135" s="208" t="n">
        <f aca="false">H135*(1+I134)</f>
        <v>17607.918499325</v>
      </c>
      <c r="J135" s="208" t="n">
        <f aca="false">I135*(1+J134)</f>
        <v>18370.9283009624</v>
      </c>
      <c r="K135" s="208" t="n">
        <f aca="false">J135*(1+K134)</f>
        <v>19044.529005331</v>
      </c>
      <c r="L135" s="208" t="n">
        <f aca="false">K135*(1+L134)</f>
        <v>19615.864875491</v>
      </c>
      <c r="M135" s="208" t="n">
        <f aca="false">L135*(1+M134)</f>
        <v>20073.5683892524</v>
      </c>
      <c r="N135" s="208" t="n">
        <f aca="false">M135*(1+N134)</f>
        <v>20408.1278624066</v>
      </c>
      <c r="O135" s="208" t="n">
        <f aca="false">N135*(1+O134)</f>
        <v>20612.2091410307</v>
      </c>
    </row>
    <row r="136" customFormat="false" ht="15" hidden="false" customHeight="true" outlineLevel="0" collapsed="false">
      <c r="B136" s="91" t="s">
        <v>21</v>
      </c>
      <c r="C136" s="93" t="n">
        <f aca="false">DCF!$H$16</f>
        <v>0.092</v>
      </c>
      <c r="E136" s="91" t="s">
        <v>277</v>
      </c>
      <c r="F136" s="208" t="n">
        <f aca="false">F135*$C$135*(1-$C$4)</f>
        <v>2149.18488</v>
      </c>
      <c r="G136" s="208" t="n">
        <f aca="false">G135*$C$135*(1-$C$4)</f>
        <v>2285.2999224</v>
      </c>
      <c r="H136" s="208" t="n">
        <f aca="false">H135*$C$135*(1-$C$4)</f>
        <v>2414.800251336</v>
      </c>
      <c r="I136" s="208" t="n">
        <f aca="false">I135*$C$135*(1-$C$4)</f>
        <v>2535.5402639028</v>
      </c>
      <c r="J136" s="208" t="n">
        <f aca="false">J135*$C$135*(1-$C$4)</f>
        <v>2645.41367533859</v>
      </c>
      <c r="K136" s="208" t="n">
        <f aca="false">K135*$C$135*(1-$C$4)</f>
        <v>2742.41217676767</v>
      </c>
      <c r="L136" s="208" t="n">
        <f aca="false">L135*$C$135*(1-$C$4)</f>
        <v>2824.6845420707</v>
      </c>
      <c r="M136" s="208" t="n">
        <f aca="false">M135*$C$135*(1-$C$4)</f>
        <v>2890.59384805235</v>
      </c>
      <c r="N136" s="208" t="n">
        <f aca="false">N135*$C$135*(1-$C$4)</f>
        <v>2938.77041218656</v>
      </c>
      <c r="O136" s="208" t="n">
        <f aca="false">O135*$C$135*(1-$C$4)</f>
        <v>2968.15811630842</v>
      </c>
      <c r="P136" s="208" t="n">
        <f aca="false">O136*(1+$C$137)</f>
        <v>2997.83969747151</v>
      </c>
    </row>
    <row r="137" customFormat="false" ht="15" hidden="false" customHeight="true" outlineLevel="0" collapsed="false">
      <c r="B137" s="91" t="s">
        <v>278</v>
      </c>
      <c r="C137" s="95" t="n">
        <f aca="false">DCF!$H$17</f>
        <v>0.01</v>
      </c>
      <c r="E137" s="91" t="s">
        <v>46</v>
      </c>
      <c r="F137" s="207" t="n">
        <f aca="false">$C$134/(($C$6-$C$5+$C$7)/($C$135*(1-$C$4)))</f>
        <v>0.13695652173913</v>
      </c>
      <c r="G137" s="207" t="n">
        <f aca="false">IF($C$140=1,F137-($F137-$C$136)/$C$12,G134/(($C$6-$C$5+$C$7)/($C$135*(1-$C$4))))</f>
        <v>0.131961352657005</v>
      </c>
      <c r="H137" s="207" t="n">
        <f aca="false">IF($C$140=1,G137-($F137-$C$136)/$C$12,H134/(($C$6-$C$5+$C$7)/($C$135*(1-$C$4))))</f>
        <v>0.126966183574879</v>
      </c>
      <c r="I137" s="207" t="n">
        <f aca="false">IF($C$140=1,H137-($F137-$C$136)/$C$12,I134/(($C$6-$C$5+$C$7)/($C$135*(1-$C$4))))</f>
        <v>0.121971014492754</v>
      </c>
      <c r="J137" s="207" t="n">
        <f aca="false">IF($C$140=1,I137-($F137-$C$136)/$C$12,J134/(($C$6-$C$5+$C$7)/($C$135*(1-$C$4))))</f>
        <v>0.116975845410628</v>
      </c>
      <c r="K137" s="207" t="n">
        <f aca="false">IF($C$140=1,J137-($F137-$C$136)/$C$12,K134/(($C$6-$C$5+$C$7)/($C$135*(1-$C$4))))</f>
        <v>0.111980676328502</v>
      </c>
      <c r="L137" s="207" t="n">
        <f aca="false">IF($C$140=1,K137-($F137-$C$136)/$C$12,L134/(($C$6-$C$5+$C$7)/($C$135*(1-$C$4))))</f>
        <v>0.106985507246377</v>
      </c>
      <c r="M137" s="207" t="n">
        <f aca="false">IF($C$140=1,L137-($F137-$C$136)/$C$12,M134/(($C$6-$C$5+$C$7)/($C$135*(1-$C$4))))</f>
        <v>0.101990338164251</v>
      </c>
      <c r="N137" s="207" t="n">
        <f aca="false">IF($C$140=1,M137-($F137-$C$136)/$C$12,N134/(($C$6-$C$5+$C$7)/($C$135*(1-$C$4))))</f>
        <v>0.0969951690821256</v>
      </c>
      <c r="O137" s="207" t="n">
        <f aca="false">IF($C$140=1,N137-($F137-$C$136)/$C$12,O134/(($C$6-$C$5+$C$7)/($C$135*(1-$C$4))))</f>
        <v>0.092</v>
      </c>
      <c r="P137" s="207" t="n">
        <f aca="false">$C$136</f>
        <v>0.092</v>
      </c>
    </row>
    <row r="138" customFormat="false" ht="15" hidden="false" customHeight="true" outlineLevel="0" collapsed="false">
      <c r="B138" s="91" t="s">
        <v>279</v>
      </c>
      <c r="C138" s="209" t="n">
        <v>1</v>
      </c>
      <c r="E138" s="91" t="s">
        <v>45</v>
      </c>
      <c r="F138" s="210" t="n">
        <f aca="false">IF($C$140=1,F134/F137,(($C$6-$C$5+$C$7)/($C$135*(1-$C$4))))</f>
        <v>0.511111111111111</v>
      </c>
      <c r="G138" s="210" t="n">
        <f aca="false">IF($C$140=1,G134/G137,(($C$6-$C$5+$C$7)/($C$135*(1-$C$4))))</f>
        <v>0.479938497583834</v>
      </c>
      <c r="H138" s="210" t="n">
        <f aca="false">IF($C$140=1,H134/H137,(($C$6-$C$5+$C$7)/($C$135*(1-$C$4))))</f>
        <v>0.446313065976714</v>
      </c>
      <c r="I138" s="210" t="n">
        <f aca="false">IF($C$140=1,I134/I137,(($C$6-$C$5+$C$7)/($C$135*(1-$C$4))))</f>
        <v>0.409933460076046</v>
      </c>
      <c r="J138" s="210" t="n">
        <f aca="false">IF($C$140=1,J134/J137,(($C$6-$C$5+$C$7)/($C$135*(1-$C$4))))</f>
        <v>0.370446848930371</v>
      </c>
      <c r="K138" s="210" t="n">
        <f aca="false">IF($C$140=1,K134/K137,(($C$6-$C$5+$C$7)/($C$135*(1-$C$4))))</f>
        <v>0.327437446074202</v>
      </c>
      <c r="L138" s="210" t="n">
        <f aca="false">IF($C$140=1,L134/L137,(($C$6-$C$5+$C$7)/($C$135*(1-$C$4))))</f>
        <v>0.280411812516933</v>
      </c>
      <c r="M138" s="210" t="n">
        <f aca="false">IF($C$140=1,M134/M137,(($C$6-$C$5+$C$7)/($C$135*(1-$C$4))))</f>
        <v>0.228779840848806</v>
      </c>
      <c r="N138" s="210" t="n">
        <f aca="false">IF($C$140=1,N134/N137,(($C$6-$C$5+$C$7)/($C$135*(1-$C$4))))</f>
        <v>0.171829863532224</v>
      </c>
      <c r="O138" s="210" t="n">
        <f aca="false">IF($C$140=1,O134/O137,(($C$6-$C$5+$C$7)/($C$135*(1-$C$4))))</f>
        <v>0.108695652173913</v>
      </c>
      <c r="P138" s="210" t="n">
        <f aca="false">$C$137/P137</f>
        <v>0.108695652173913</v>
      </c>
    </row>
    <row r="139" customFormat="false" ht="15" hidden="false" customHeight="true" outlineLevel="0" collapsed="false">
      <c r="B139" s="91" t="s">
        <v>280</v>
      </c>
      <c r="C139" s="209" t="n">
        <v>1</v>
      </c>
      <c r="E139" s="91" t="s">
        <v>281</v>
      </c>
      <c r="F139" s="208" t="n">
        <f aca="false">F136*F138</f>
        <v>1098.472272</v>
      </c>
      <c r="G139" s="208" t="n">
        <f aca="false">G136*G138</f>
        <v>1096.80341128511</v>
      </c>
      <c r="H139" s="208" t="n">
        <f aca="false">H136*H138</f>
        <v>1077.75690389511</v>
      </c>
      <c r="I139" s="208" t="n">
        <f aca="false">I136*I138</f>
        <v>1039.4027935438</v>
      </c>
      <c r="J139" s="208" t="n">
        <f aca="false">J136*J138</f>
        <v>979.985160146491</v>
      </c>
      <c r="K139" s="208" t="n">
        <f aca="false">K136*K138</f>
        <v>897.968439243598</v>
      </c>
      <c r="L139" s="208" t="n">
        <f aca="false">L136*L138</f>
        <v>792.074912230608</v>
      </c>
      <c r="M139" s="208" t="n">
        <f aca="false">M136*M138</f>
        <v>661.309600515955</v>
      </c>
      <c r="N139" s="208" t="n">
        <f aca="false">N136*N138</f>
        <v>504.968518878554</v>
      </c>
      <c r="O139" s="208" t="n">
        <f aca="false">O136*O138</f>
        <v>322.625882207437</v>
      </c>
    </row>
    <row r="140" customFormat="false" ht="15" hidden="false" customHeight="true" outlineLevel="0" collapsed="false">
      <c r="B140" s="91" t="s">
        <v>282</v>
      </c>
      <c r="C140" s="209" t="n">
        <v>1</v>
      </c>
      <c r="E140" s="90" t="s">
        <v>47</v>
      </c>
      <c r="F140" s="211" t="n">
        <f aca="false">F136-F139</f>
        <v>1050.712608</v>
      </c>
      <c r="G140" s="211" t="n">
        <f aca="false">G136-G139</f>
        <v>1188.49651111489</v>
      </c>
      <c r="H140" s="211" t="n">
        <f aca="false">H136-H139</f>
        <v>1337.04334744089</v>
      </c>
      <c r="I140" s="211" t="n">
        <f aca="false">I136-I139</f>
        <v>1496.137470359</v>
      </c>
      <c r="J140" s="211" t="n">
        <f aca="false">J136-J139</f>
        <v>1665.4285151921</v>
      </c>
      <c r="K140" s="211" t="n">
        <f aca="false">K136-K139</f>
        <v>1844.44373752407</v>
      </c>
      <c r="L140" s="211" t="n">
        <f aca="false">L136-L139</f>
        <v>2032.60962984009</v>
      </c>
      <c r="M140" s="211" t="n">
        <f aca="false">M136-M139</f>
        <v>2229.2842475364</v>
      </c>
      <c r="N140" s="211" t="n">
        <f aca="false">N136-N139</f>
        <v>2433.801893308</v>
      </c>
      <c r="O140" s="211" t="n">
        <f aca="false">O136-O139</f>
        <v>2645.53223410098</v>
      </c>
      <c r="P140" s="211" t="n">
        <f aca="false">IF($C$139=1,P136*(1-P138),O140*(1+$C$137))</f>
        <v>2671.98755644199</v>
      </c>
    </row>
    <row r="141" customFormat="false" ht="15" hidden="false" customHeight="true" outlineLevel="0" collapsed="false">
      <c r="B141" s="91" t="s">
        <v>101</v>
      </c>
      <c r="C141" s="96" t="n">
        <f aca="false">SUM(F142:O142)</f>
        <v>11975.9526815862</v>
      </c>
      <c r="E141" s="91" t="s">
        <v>283</v>
      </c>
      <c r="F141" s="212" t="n">
        <f aca="false">DCF!O$71</f>
        <v>0.0347222222222222</v>
      </c>
      <c r="G141" s="212" t="n">
        <f aca="false">DCF!P$71</f>
        <v>0.569444444444444</v>
      </c>
      <c r="H141" s="212" t="n">
        <f aca="false">DCF!Q$71</f>
        <v>1.56944444444444</v>
      </c>
      <c r="I141" s="212" t="n">
        <f aca="false">DCF!R$71</f>
        <v>2.56944444444444</v>
      </c>
      <c r="J141" s="212" t="n">
        <f aca="false">DCF!S$71</f>
        <v>3.56944444444444</v>
      </c>
      <c r="K141" s="212" t="n">
        <f aca="false">DCF!T$71</f>
        <v>4.56944444444445</v>
      </c>
      <c r="L141" s="212" t="n">
        <f aca="false">DCF!U$71</f>
        <v>5.56944444444445</v>
      </c>
      <c r="M141" s="212" t="n">
        <f aca="false">DCF!V$71</f>
        <v>6.56944444444445</v>
      </c>
      <c r="N141" s="212" t="n">
        <f aca="false">DCF!W$71</f>
        <v>7.56944444444445</v>
      </c>
      <c r="O141" s="212" t="n">
        <f aca="false">DCF!X$71</f>
        <v>8.56944444444445</v>
      </c>
    </row>
    <row r="142" customFormat="false" ht="15" hidden="false" customHeight="true" outlineLevel="0" collapsed="false">
      <c r="B142" s="91" t="s">
        <v>99</v>
      </c>
      <c r="C142" s="96" t="n">
        <f aca="false">P140/($C$136-$C$137)</f>
        <v>32585.2141029511</v>
      </c>
      <c r="E142" s="91" t="s">
        <v>284</v>
      </c>
      <c r="F142" s="208" t="n">
        <f aca="false">F140/(1+$C$136)^F141</f>
        <v>1047.50660158093</v>
      </c>
      <c r="G142" s="208" t="n">
        <f aca="false">G140/(1+$C$136)^G141</f>
        <v>1130.40024275008</v>
      </c>
      <c r="H142" s="208" t="n">
        <f aca="false">H140/(1+$C$136)^H141</f>
        <v>1164.54742663604</v>
      </c>
      <c r="I142" s="208" t="n">
        <f aca="false">I140/(1+$C$136)^I141</f>
        <v>1193.32998693261</v>
      </c>
      <c r="J142" s="208" t="n">
        <f aca="false">J140/(1+$C$136)^J141</f>
        <v>1216.44481649236</v>
      </c>
      <c r="K142" s="208" t="n">
        <f aca="false">K140/(1+$C$136)^K141</f>
        <v>1233.6989343648</v>
      </c>
      <c r="L142" s="208" t="n">
        <f aca="false">L140/(1+$C$136)^L141</f>
        <v>1245.01653088805</v>
      </c>
      <c r="M142" s="208" t="n">
        <f aca="false">M140/(1+$C$136)^M141</f>
        <v>1250.44313894123</v>
      </c>
      <c r="N142" s="208" t="n">
        <f aca="false">N140/(1+$C$136)^N141</f>
        <v>1250.14701130368</v>
      </c>
      <c r="O142" s="208" t="n">
        <f aca="false">O140/(1+$C$136)^O141</f>
        <v>1244.4179916964</v>
      </c>
    </row>
    <row r="143" customFormat="false" ht="15" hidden="false" customHeight="true" outlineLevel="0" collapsed="false">
      <c r="B143" s="91" t="s">
        <v>100</v>
      </c>
      <c r="C143" s="96" t="n">
        <f aca="false">C142/(1+$C$136)^O141</f>
        <v>15327.5874586996</v>
      </c>
    </row>
    <row r="144" customFormat="false" ht="15" hidden="false" customHeight="true" outlineLevel="0" collapsed="false">
      <c r="B144" s="91" t="s">
        <v>102</v>
      </c>
      <c r="C144" s="96" t="n">
        <f aca="false">C141+C143</f>
        <v>27303.5401402858</v>
      </c>
    </row>
    <row r="145" customFormat="false" ht="15" hidden="false" customHeight="true" outlineLevel="0" collapsed="false">
      <c r="B145" s="91" t="s">
        <v>285</v>
      </c>
      <c r="C145" s="96" t="n">
        <f aca="false">C144+$C$9-$C$10</f>
        <v>28203.5401402858</v>
      </c>
    </row>
    <row r="146" customFormat="false" ht="15" hidden="false" customHeight="true" outlineLevel="0" collapsed="false">
      <c r="B146" s="205" t="s">
        <v>104</v>
      </c>
      <c r="C146" s="213" t="n">
        <f aca="false">C145/$C$11</f>
        <v>26.4375141922439</v>
      </c>
    </row>
    <row r="147" customFormat="false" ht="15" hidden="false" customHeight="true" outlineLevel="0" collapsed="false">
      <c r="B147" s="91" t="s">
        <v>98</v>
      </c>
      <c r="C147" s="97" t="n">
        <f aca="false">1-P140/P136</f>
        <v>0.108695652173913</v>
      </c>
    </row>
    <row r="148" customFormat="false" ht="15" hidden="false" customHeight="true" outlineLevel="0" collapsed="false">
      <c r="B148" s="91" t="s">
        <v>286</v>
      </c>
      <c r="C148" s="97" t="n">
        <f aca="false">C143/C144</f>
        <v>0.561377293198843</v>
      </c>
    </row>
    <row r="151" customFormat="false" ht="15" hidden="false" customHeight="true" outlineLevel="0" collapsed="false">
      <c r="B151" s="86" t="s">
        <v>65</v>
      </c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</row>
    <row r="152" customFormat="false" ht="15" hidden="false" customHeight="true" outlineLevel="0" collapsed="false">
      <c r="B152" s="205" t="s">
        <v>272</v>
      </c>
      <c r="C152" s="205" t="s">
        <v>184</v>
      </c>
      <c r="E152" s="205" t="s">
        <v>273</v>
      </c>
      <c r="F152" s="206" t="str">
        <f aca="false">"FY"&amp;RIGHT(DCF!O$38,2)</f>
        <v>FY26</v>
      </c>
      <c r="G152" s="206" t="str">
        <f aca="false">"FY"&amp;RIGHT(DCF!P$38,2)</f>
        <v>FY27</v>
      </c>
      <c r="H152" s="206" t="str">
        <f aca="false">"FY"&amp;RIGHT(DCF!Q$38,2)</f>
        <v>FY28</v>
      </c>
      <c r="I152" s="206" t="str">
        <f aca="false">"FY"&amp;RIGHT(DCF!R$38,2)</f>
        <v>FY29</v>
      </c>
      <c r="J152" s="206" t="str">
        <f aca="false">"FY"&amp;RIGHT(DCF!S$38,2)</f>
        <v>FY30</v>
      </c>
      <c r="K152" s="206" t="str">
        <f aca="false">"FY"&amp;RIGHT(DCF!T$38,2)</f>
        <v>FY31</v>
      </c>
      <c r="L152" s="206" t="str">
        <f aca="false">"FY"&amp;RIGHT(DCF!U$38,2)</f>
        <v>FY32</v>
      </c>
      <c r="M152" s="206" t="str">
        <f aca="false">"FY"&amp;RIGHT(DCF!V$38,2)</f>
        <v>FY33</v>
      </c>
      <c r="N152" s="206" t="str">
        <f aca="false">"FY"&amp;RIGHT(DCF!W$38,2)</f>
        <v>FY34</v>
      </c>
      <c r="O152" s="206" t="str">
        <f aca="false">"FY"&amp;RIGHT(DCF!X$38,2)</f>
        <v>FY35</v>
      </c>
      <c r="P152" s="206" t="s">
        <v>40</v>
      </c>
    </row>
    <row r="153" customFormat="false" ht="15" hidden="false" customHeight="true" outlineLevel="0" collapsed="false">
      <c r="B153" s="91" t="s">
        <v>274</v>
      </c>
      <c r="C153" s="95" t="n">
        <f aca="false">DCF!$L$11</f>
        <v>0.0909</v>
      </c>
      <c r="E153" s="91" t="s">
        <v>275</v>
      </c>
      <c r="F153" s="207" t="n">
        <f aca="false">$C$153</f>
        <v>0.0909</v>
      </c>
      <c r="G153" s="207" t="n">
        <f aca="false">IF($C$157=1,F153-($C$153-$C$156)/$C$12,$C$153)</f>
        <v>0.0824666666666667</v>
      </c>
      <c r="H153" s="207" t="n">
        <f aca="false">IF($C$157=1,G153-($C$153-$C$156)/$C$12,$C$153)</f>
        <v>0.0740333333333333</v>
      </c>
      <c r="I153" s="207" t="n">
        <f aca="false">IF($C$157=1,H153-($C$153-$C$156)/$C$12,$C$153)</f>
        <v>0.0656</v>
      </c>
      <c r="J153" s="207" t="n">
        <f aca="false">IF($C$157=1,I153-($C$153-$C$156)/$C$12,$C$153)</f>
        <v>0.0571666666666667</v>
      </c>
      <c r="K153" s="207" t="n">
        <f aca="false">IF($C$157=1,J153-($C$153-$C$156)/$C$12,$C$153)</f>
        <v>0.0487333333333333</v>
      </c>
      <c r="L153" s="207" t="n">
        <f aca="false">IF($C$157=1,K153-($C$153-$C$156)/$C$12,$C$153)</f>
        <v>0.0403</v>
      </c>
      <c r="M153" s="207" t="n">
        <f aca="false">IF($C$157=1,L153-($C$153-$C$156)/$C$12,$C$153)</f>
        <v>0.0318666666666667</v>
      </c>
      <c r="N153" s="207" t="n">
        <f aca="false">IF($C$157=1,M153-($C$153-$C$156)/$C$12,$C$153)</f>
        <v>0.0234333333333333</v>
      </c>
      <c r="O153" s="207" t="n">
        <f aca="false">IF($C$157=1,N153-($C$153-$C$156)/$C$12,$C$153)</f>
        <v>0.015</v>
      </c>
    </row>
    <row r="154" customFormat="false" ht="15" hidden="false" customHeight="true" outlineLevel="0" collapsed="false">
      <c r="B154" s="91" t="s">
        <v>276</v>
      </c>
      <c r="C154" s="95" t="n">
        <f aca="false">DCF!$L$13</f>
        <v>0.1722</v>
      </c>
      <c r="E154" s="91" t="s">
        <v>16</v>
      </c>
      <c r="F154" s="208" t="n">
        <f aca="false">$C$8*(1+F153)</f>
        <v>15216.41865</v>
      </c>
      <c r="G154" s="208" t="n">
        <f aca="false">F154*(1+G153)</f>
        <v>16471.26597467</v>
      </c>
      <c r="H154" s="208" t="n">
        <f aca="false">G154*(1+H153)</f>
        <v>17690.6886989947</v>
      </c>
      <c r="I154" s="208" t="n">
        <f aca="false">H154*(1+I153)</f>
        <v>18851.1978776488</v>
      </c>
      <c r="J154" s="208" t="n">
        <f aca="false">I154*(1+J153)</f>
        <v>19928.8580229877</v>
      </c>
      <c r="K154" s="208" t="n">
        <f aca="false">J154*(1+K153)</f>
        <v>20900.0577039746</v>
      </c>
      <c r="L154" s="208" t="n">
        <f aca="false">K154*(1+L153)</f>
        <v>21742.3300294448</v>
      </c>
      <c r="M154" s="208" t="n">
        <f aca="false">L154*(1+M153)</f>
        <v>22435.1856130498</v>
      </c>
      <c r="N154" s="208" t="n">
        <f aca="false">M154*(1+N153)</f>
        <v>22960.9167959156</v>
      </c>
      <c r="O154" s="208" t="n">
        <f aca="false">N154*(1+O153)</f>
        <v>23305.3305478543</v>
      </c>
    </row>
    <row r="155" customFormat="false" ht="15" hidden="false" customHeight="true" outlineLevel="0" collapsed="false">
      <c r="B155" s="91" t="s">
        <v>21</v>
      </c>
      <c r="C155" s="93" t="n">
        <f aca="false">DCF!$L$16</f>
        <v>0.0858338239797238</v>
      </c>
      <c r="E155" s="91" t="s">
        <v>277</v>
      </c>
      <c r="F155" s="208" t="n">
        <f aca="false">F154*$C$154*(1-$C$4)</f>
        <v>2358.240562377</v>
      </c>
      <c r="G155" s="208" t="n">
        <f aca="false">G154*$C$154*(1-$C$4)</f>
        <v>2552.71680075436</v>
      </c>
      <c r="H155" s="208" t="n">
        <f aca="false">H154*$C$154*(1-$C$4)</f>
        <v>2741.7029345702</v>
      </c>
      <c r="I155" s="208" t="n">
        <f aca="false">I154*$C$154*(1-$C$4)</f>
        <v>2921.55864707801</v>
      </c>
      <c r="J155" s="208" t="n">
        <f aca="false">J154*$C$154*(1-$C$4)</f>
        <v>3088.57441640264</v>
      </c>
      <c r="K155" s="208" t="n">
        <f aca="false">K154*$C$154*(1-$C$4)</f>
        <v>3239.09094296199</v>
      </c>
      <c r="L155" s="208" t="n">
        <f aca="false">L154*$C$154*(1-$C$4)</f>
        <v>3369.62630796336</v>
      </c>
      <c r="M155" s="208" t="n">
        <f aca="false">M154*$C$154*(1-$C$4)</f>
        <v>3477.00506631046</v>
      </c>
      <c r="N155" s="208" t="n">
        <f aca="false">N154*$C$154*(1-$C$4)</f>
        <v>3558.482885031</v>
      </c>
      <c r="O155" s="208" t="n">
        <f aca="false">O154*$C$154*(1-$C$4)</f>
        <v>3611.86012830646</v>
      </c>
      <c r="P155" s="208" t="n">
        <f aca="false">O155*(1+$C$156)</f>
        <v>3666.03803023106</v>
      </c>
    </row>
    <row r="156" customFormat="false" ht="15" hidden="false" customHeight="true" outlineLevel="0" collapsed="false">
      <c r="B156" s="91" t="s">
        <v>278</v>
      </c>
      <c r="C156" s="95" t="n">
        <f aca="false">DCF!$L$17</f>
        <v>0.015</v>
      </c>
      <c r="E156" s="91" t="s">
        <v>46</v>
      </c>
      <c r="F156" s="207" t="n">
        <f aca="false">$C$153/(($C$6-$C$5+$C$7)/($C$154*(1-$C$4)))</f>
        <v>0.191408722826087</v>
      </c>
      <c r="G156" s="207" t="n">
        <f aca="false">IF($C$159=1,F156-($F156-$C$155)/$C$12,G153/(($C$6-$C$5+$C$7)/($C$154*(1-$C$4))))</f>
        <v>0.179678178509824</v>
      </c>
      <c r="H156" s="207" t="n">
        <f aca="false">IF($C$159=1,G156-($F156-$C$155)/$C$12,H153/(($C$6-$C$5+$C$7)/($C$154*(1-$C$4))))</f>
        <v>0.167947634193562</v>
      </c>
      <c r="I156" s="207" t="n">
        <f aca="false">IF($C$159=1,H156-($F156-$C$155)/$C$12,I153/(($C$6-$C$5+$C$7)/($C$154*(1-$C$4))))</f>
        <v>0.156217089877299</v>
      </c>
      <c r="J156" s="207" t="n">
        <f aca="false">IF($C$159=1,I156-($F156-$C$155)/$C$12,J153/(($C$6-$C$5+$C$7)/($C$154*(1-$C$4))))</f>
        <v>0.144486545561037</v>
      </c>
      <c r="K156" s="207" t="n">
        <f aca="false">IF($C$159=1,J156-($F156-$C$155)/$C$12,K153/(($C$6-$C$5+$C$7)/($C$154*(1-$C$4))))</f>
        <v>0.132756001244774</v>
      </c>
      <c r="L156" s="207" t="n">
        <f aca="false">IF($C$159=1,K156-($F156-$C$155)/$C$12,L153/(($C$6-$C$5+$C$7)/($C$154*(1-$C$4))))</f>
        <v>0.121025456928512</v>
      </c>
      <c r="M156" s="207" t="n">
        <f aca="false">IF($C$159=1,L156-($F156-$C$155)/$C$12,M153/(($C$6-$C$5+$C$7)/($C$154*(1-$C$4))))</f>
        <v>0.109294912612249</v>
      </c>
      <c r="N156" s="207" t="n">
        <f aca="false">IF($C$159=1,M156-($F156-$C$155)/$C$12,N153/(($C$6-$C$5+$C$7)/($C$154*(1-$C$4))))</f>
        <v>0.0975643682959863</v>
      </c>
      <c r="O156" s="207" t="n">
        <f aca="false">IF($C$159=1,N156-($F156-$C$155)/$C$12,O153/(($C$6-$C$5+$C$7)/($C$154*(1-$C$4))))</f>
        <v>0.0858338239797238</v>
      </c>
      <c r="P156" s="207" t="n">
        <f aca="false">$C$155</f>
        <v>0.0858338239797238</v>
      </c>
    </row>
    <row r="157" customFormat="false" ht="15" hidden="false" customHeight="true" outlineLevel="0" collapsed="false">
      <c r="B157" s="91" t="s">
        <v>279</v>
      </c>
      <c r="C157" s="209" t="n">
        <v>1</v>
      </c>
      <c r="E157" s="91" t="s">
        <v>45</v>
      </c>
      <c r="F157" s="210" t="n">
        <f aca="false">IF($C$159=1,F153/F156,(($C$6-$C$5+$C$7)/($C$154*(1-$C$4))))</f>
        <v>0.474899987095109</v>
      </c>
      <c r="G157" s="210" t="n">
        <f aca="false">IF($C$159=1,G153/G156,(($C$6-$C$5+$C$7)/($C$154*(1-$C$4))))</f>
        <v>0.458968737053162</v>
      </c>
      <c r="H157" s="210" t="n">
        <f aca="false">IF($C$159=1,H153/H156,(($C$6-$C$5+$C$7)/($C$154*(1-$C$4))))</f>
        <v>0.440812004818174</v>
      </c>
      <c r="I157" s="210" t="n">
        <f aca="false">IF($C$159=1,I153/I156,(($C$6-$C$5+$C$7)/($C$154*(1-$C$4))))</f>
        <v>0.419928447339056</v>
      </c>
      <c r="J157" s="210" t="n">
        <f aca="false">IF($C$159=1,J153/J156,(($C$6-$C$5+$C$7)/($C$154*(1-$C$4))))</f>
        <v>0.395653909813473</v>
      </c>
      <c r="K157" s="210" t="n">
        <f aca="false">IF($C$159=1,K153/K156,(($C$6-$C$5+$C$7)/($C$154*(1-$C$4))))</f>
        <v>0.3670894940823</v>
      </c>
      <c r="L157" s="210" t="n">
        <f aca="false">IF($C$159=1,L153/L156,(($C$6-$C$5+$C$7)/($C$154*(1-$C$4))))</f>
        <v>0.332987794657159</v>
      </c>
      <c r="M157" s="210" t="n">
        <f aca="false">IF($C$159=1,M153/M156,(($C$6-$C$5+$C$7)/($C$154*(1-$C$4))))</f>
        <v>0.291565873516196</v>
      </c>
      <c r="N157" s="210" t="n">
        <f aca="false">IF($C$159=1,N153/N156,(($C$6-$C$5+$C$7)/($C$154*(1-$C$4))))</f>
        <v>0.24018331428378</v>
      </c>
      <c r="O157" s="210" t="n">
        <f aca="false">IF($C$159=1,O153/O156,(($C$6-$C$5+$C$7)/($C$154*(1-$C$4))))</f>
        <v>0.174756282599542</v>
      </c>
      <c r="P157" s="210" t="n">
        <f aca="false">$C$156/P156</f>
        <v>0.174756282599543</v>
      </c>
    </row>
    <row r="158" customFormat="false" ht="15" hidden="false" customHeight="true" outlineLevel="0" collapsed="false">
      <c r="B158" s="91" t="s">
        <v>280</v>
      </c>
      <c r="C158" s="209" t="n">
        <v>1</v>
      </c>
      <c r="E158" s="91" t="s">
        <v>281</v>
      </c>
      <c r="F158" s="208" t="n">
        <f aca="false">F155*F157</f>
        <v>1119.92841264</v>
      </c>
      <c r="G158" s="208" t="n">
        <f aca="false">G155*G157</f>
        <v>1171.61720609661</v>
      </c>
      <c r="H158" s="208" t="n">
        <f aca="false">H155*H157</f>
        <v>1208.57556720376</v>
      </c>
      <c r="I158" s="208" t="n">
        <f aca="false">I155*I157</f>
        <v>1226.84558647746</v>
      </c>
      <c r="J158" s="208" t="n">
        <f aca="false">J155*J157</f>
        <v>1222.00654359957</v>
      </c>
      <c r="K158" s="208" t="n">
        <f aca="false">K155*K157</f>
        <v>1189.03625553848</v>
      </c>
      <c r="L158" s="208" t="n">
        <f aca="false">L155*L157</f>
        <v>1122.04443310746</v>
      </c>
      <c r="M158" s="208" t="n">
        <f aca="false">M155*M157</f>
        <v>1013.77601937905</v>
      </c>
      <c r="N158" s="208" t="n">
        <f aca="false">N155*N157</f>
        <v>854.688213148852</v>
      </c>
      <c r="O158" s="208" t="n">
        <f aca="false">O155*O157</f>
        <v>631.195249292344</v>
      </c>
    </row>
    <row r="159" customFormat="false" ht="15" hidden="false" customHeight="true" outlineLevel="0" collapsed="false">
      <c r="B159" s="91" t="s">
        <v>282</v>
      </c>
      <c r="C159" s="209" t="n">
        <v>1</v>
      </c>
      <c r="E159" s="90" t="s">
        <v>47</v>
      </c>
      <c r="F159" s="211" t="n">
        <f aca="false">F155-F158</f>
        <v>1238.312149737</v>
      </c>
      <c r="G159" s="211" t="n">
        <f aca="false">G155-G158</f>
        <v>1381.09959465774</v>
      </c>
      <c r="H159" s="211" t="n">
        <f aca="false">H155-H158</f>
        <v>1533.12736736644</v>
      </c>
      <c r="I159" s="211" t="n">
        <f aca="false">I155-I158</f>
        <v>1694.71306060055</v>
      </c>
      <c r="J159" s="211" t="n">
        <f aca="false">J155-J158</f>
        <v>1866.56787280307</v>
      </c>
      <c r="K159" s="211" t="n">
        <f aca="false">K155-K158</f>
        <v>2050.05468742351</v>
      </c>
      <c r="L159" s="211" t="n">
        <f aca="false">L155-L158</f>
        <v>2247.5818748559</v>
      </c>
      <c r="M159" s="211" t="n">
        <f aca="false">M155-M158</f>
        <v>2463.22904693141</v>
      </c>
      <c r="N159" s="211" t="n">
        <f aca="false">N155-N158</f>
        <v>2703.79467188215</v>
      </c>
      <c r="O159" s="211" t="n">
        <f aca="false">O155-O158</f>
        <v>2980.66487901412</v>
      </c>
      <c r="P159" s="211" t="n">
        <f aca="false">IF($C$158=1,P155*(1-P157),O159*(1+$C$156))</f>
        <v>3025.37485219933</v>
      </c>
    </row>
    <row r="160" customFormat="false" ht="15" hidden="false" customHeight="true" outlineLevel="0" collapsed="false">
      <c r="B160" s="91" t="s">
        <v>101</v>
      </c>
      <c r="C160" s="96" t="n">
        <f aca="false">SUM(F161:O161)</f>
        <v>13846.0199602466</v>
      </c>
      <c r="E160" s="91" t="s">
        <v>283</v>
      </c>
      <c r="F160" s="212" t="n">
        <f aca="false">DCF!O$71</f>
        <v>0.0347222222222222</v>
      </c>
      <c r="G160" s="212" t="n">
        <f aca="false">DCF!P$71</f>
        <v>0.569444444444444</v>
      </c>
      <c r="H160" s="212" t="n">
        <f aca="false">DCF!Q$71</f>
        <v>1.56944444444444</v>
      </c>
      <c r="I160" s="212" t="n">
        <f aca="false">DCF!R$71</f>
        <v>2.56944444444444</v>
      </c>
      <c r="J160" s="212" t="n">
        <f aca="false">DCF!S$71</f>
        <v>3.56944444444444</v>
      </c>
      <c r="K160" s="212" t="n">
        <f aca="false">DCF!T$71</f>
        <v>4.56944444444445</v>
      </c>
      <c r="L160" s="212" t="n">
        <f aca="false">DCF!U$71</f>
        <v>5.56944444444445</v>
      </c>
      <c r="M160" s="212" t="n">
        <f aca="false">DCF!V$71</f>
        <v>6.56944444444445</v>
      </c>
      <c r="N160" s="212" t="n">
        <f aca="false">DCF!W$71</f>
        <v>7.56944444444445</v>
      </c>
      <c r="O160" s="212" t="n">
        <f aca="false">DCF!X$71</f>
        <v>8.56944444444445</v>
      </c>
    </row>
    <row r="161" customFormat="false" ht="15" hidden="false" customHeight="true" outlineLevel="0" collapsed="false">
      <c r="B161" s="91" t="s">
        <v>99</v>
      </c>
      <c r="C161" s="96" t="n">
        <f aca="false">P159/($C$155-$C$156)</f>
        <v>42710.8785354486</v>
      </c>
      <c r="E161" s="91" t="s">
        <v>284</v>
      </c>
      <c r="F161" s="208" t="n">
        <f aca="false">F159/(1+$C$155)^F160</f>
        <v>1234.77648581277</v>
      </c>
      <c r="G161" s="208" t="n">
        <f aca="false">G159/(1+$C$155)^G160</f>
        <v>1317.83108592208</v>
      </c>
      <c r="H161" s="208" t="n">
        <f aca="false">H159/(1+$C$155)^H160</f>
        <v>1347.25442976329</v>
      </c>
      <c r="I161" s="208" t="n">
        <f aca="false">I159/(1+$C$155)^I160</f>
        <v>1371.52647263431</v>
      </c>
      <c r="J161" s="208" t="n">
        <f aca="false">J159/(1+$C$155)^J160</f>
        <v>1391.19637949855</v>
      </c>
      <c r="K161" s="208" t="n">
        <f aca="false">K159/(1+$C$155)^K160</f>
        <v>1407.17053518776</v>
      </c>
      <c r="L161" s="208" t="n">
        <f aca="false">L159/(1+$C$155)^L160</f>
        <v>1420.8016134064</v>
      </c>
      <c r="M161" s="208" t="n">
        <f aca="false">M159/(1+$C$155)^M160</f>
        <v>1434.03368124411</v>
      </c>
      <c r="N161" s="208" t="n">
        <f aca="false">N159/(1+$C$155)^N160</f>
        <v>1449.65579680217</v>
      </c>
      <c r="O161" s="208" t="n">
        <f aca="false">O159/(1+$C$155)^O160</f>
        <v>1471.77347997519</v>
      </c>
    </row>
    <row r="162" customFormat="false" ht="15" hidden="false" customHeight="true" outlineLevel="0" collapsed="false">
      <c r="B162" s="91" t="s">
        <v>100</v>
      </c>
      <c r="C162" s="96" t="n">
        <f aca="false">C161/(1+$C$155)^O160</f>
        <v>21089.5021367536</v>
      </c>
    </row>
    <row r="163" customFormat="false" ht="15" hidden="false" customHeight="true" outlineLevel="0" collapsed="false">
      <c r="B163" s="91" t="s">
        <v>102</v>
      </c>
      <c r="C163" s="96" t="n">
        <f aca="false">C160+C162</f>
        <v>34935.5220970003</v>
      </c>
    </row>
    <row r="164" customFormat="false" ht="15" hidden="false" customHeight="true" outlineLevel="0" collapsed="false">
      <c r="B164" s="91" t="s">
        <v>285</v>
      </c>
      <c r="C164" s="96" t="n">
        <f aca="false">C163+$C$9-$C$10</f>
        <v>35835.5220970003</v>
      </c>
    </row>
    <row r="165" customFormat="false" ht="15" hidden="false" customHeight="true" outlineLevel="0" collapsed="false">
      <c r="B165" s="205" t="s">
        <v>104</v>
      </c>
      <c r="C165" s="213" t="n">
        <f aca="false">C164/$C$11</f>
        <v>33.5916030155608</v>
      </c>
    </row>
    <row r="166" customFormat="false" ht="15" hidden="false" customHeight="true" outlineLevel="0" collapsed="false">
      <c r="B166" s="91" t="s">
        <v>98</v>
      </c>
      <c r="C166" s="97" t="n">
        <f aca="false">1-P159/P155</f>
        <v>0.174756282599543</v>
      </c>
    </row>
    <row r="167" customFormat="false" ht="15" hidden="false" customHeight="true" outlineLevel="0" collapsed="false">
      <c r="B167" s="91" t="s">
        <v>286</v>
      </c>
      <c r="C167" s="97" t="n">
        <f aca="false">C162/C163</f>
        <v>0.603669299064647</v>
      </c>
    </row>
    <row r="170" customFormat="false" ht="15" hidden="false" customHeight="true" outlineLevel="0" collapsed="false">
      <c r="B170" s="86" t="s">
        <v>15</v>
      </c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</row>
    <row r="171" customFormat="false" ht="15" hidden="false" customHeight="true" outlineLevel="0" collapsed="false">
      <c r="B171" s="205" t="s">
        <v>272</v>
      </c>
      <c r="C171" s="205" t="s">
        <v>184</v>
      </c>
      <c r="E171" s="205" t="s">
        <v>273</v>
      </c>
      <c r="F171" s="206" t="str">
        <f aca="false">"FY"&amp;RIGHT(DCF!O$38,2)</f>
        <v>FY26</v>
      </c>
      <c r="G171" s="206" t="str">
        <f aca="false">"FY"&amp;RIGHT(DCF!P$38,2)</f>
        <v>FY27</v>
      </c>
      <c r="H171" s="206" t="str">
        <f aca="false">"FY"&amp;RIGHT(DCF!Q$38,2)</f>
        <v>FY28</v>
      </c>
      <c r="I171" s="206" t="str">
        <f aca="false">"FY"&amp;RIGHT(DCF!R$38,2)</f>
        <v>FY29</v>
      </c>
      <c r="J171" s="206" t="str">
        <f aca="false">"FY"&amp;RIGHT(DCF!S$38,2)</f>
        <v>FY30</v>
      </c>
      <c r="K171" s="206" t="str">
        <f aca="false">"FY"&amp;RIGHT(DCF!T$38,2)</f>
        <v>FY31</v>
      </c>
      <c r="L171" s="206" t="str">
        <f aca="false">"FY"&amp;RIGHT(DCF!U$38,2)</f>
        <v>FY32</v>
      </c>
      <c r="M171" s="206" t="str">
        <f aca="false">"FY"&amp;RIGHT(DCF!V$38,2)</f>
        <v>FY33</v>
      </c>
      <c r="N171" s="206" t="str">
        <f aca="false">"FY"&amp;RIGHT(DCF!W$38,2)</f>
        <v>FY34</v>
      </c>
      <c r="O171" s="206" t="str">
        <f aca="false">"FY"&amp;RIGHT(DCF!X$38,2)</f>
        <v>FY35</v>
      </c>
      <c r="P171" s="206" t="s">
        <v>40</v>
      </c>
    </row>
    <row r="172" customFormat="false" ht="15" hidden="false" customHeight="true" outlineLevel="0" collapsed="false">
      <c r="B172" s="91" t="s">
        <v>274</v>
      </c>
      <c r="C172" s="95" t="n">
        <f aca="false">DCF!$P$11</f>
        <v>0.11</v>
      </c>
      <c r="E172" s="91" t="s">
        <v>275</v>
      </c>
      <c r="F172" s="207" t="n">
        <f aca="false">$C$172</f>
        <v>0.11</v>
      </c>
      <c r="G172" s="207" t="n">
        <f aca="false">IF($C$176=1,F172-($C$172-$C$175)/$C$12,$C$172)</f>
        <v>0.1</v>
      </c>
      <c r="H172" s="207" t="n">
        <f aca="false">IF($C$176=1,G172-($C$172-$C$175)/$C$12,$C$172)</f>
        <v>0.09</v>
      </c>
      <c r="I172" s="207" t="n">
        <f aca="false">IF($C$176=1,H172-($C$172-$C$175)/$C$12,$C$172)</f>
        <v>0.08</v>
      </c>
      <c r="J172" s="207" t="n">
        <f aca="false">IF($C$176=1,I172-($C$172-$C$175)/$C$12,$C$172)</f>
        <v>0.07</v>
      </c>
      <c r="K172" s="207" t="n">
        <f aca="false">IF($C$176=1,J172-($C$172-$C$175)/$C$12,$C$172)</f>
        <v>0.06</v>
      </c>
      <c r="L172" s="207" t="n">
        <f aca="false">IF($C$176=1,K172-($C$172-$C$175)/$C$12,$C$172)</f>
        <v>0.05</v>
      </c>
      <c r="M172" s="207" t="n">
        <f aca="false">IF($C$176=1,L172-($C$172-$C$175)/$C$12,$C$172)</f>
        <v>0.04</v>
      </c>
      <c r="N172" s="207" t="n">
        <f aca="false">IF($C$176=1,M172-($C$172-$C$175)/$C$12,$C$172)</f>
        <v>0.03</v>
      </c>
      <c r="O172" s="207" t="n">
        <f aca="false">IF($C$176=1,N172-($C$172-$C$175)/$C$12,$C$172)</f>
        <v>0.02</v>
      </c>
    </row>
    <row r="173" customFormat="false" ht="15" hidden="false" customHeight="true" outlineLevel="0" collapsed="false">
      <c r="B173" s="91" t="s">
        <v>276</v>
      </c>
      <c r="C173" s="95" t="n">
        <f aca="false">DCF!$P$13</f>
        <v>0.185</v>
      </c>
      <c r="E173" s="91" t="s">
        <v>16</v>
      </c>
      <c r="F173" s="208" t="n">
        <f aca="false">$C$8*(1+F172)</f>
        <v>15482.835</v>
      </c>
      <c r="G173" s="208" t="n">
        <f aca="false">F173*(1+G172)</f>
        <v>17031.1185</v>
      </c>
      <c r="H173" s="208" t="n">
        <f aca="false">G173*(1+H172)</f>
        <v>18563.919165</v>
      </c>
      <c r="I173" s="208" t="n">
        <f aca="false">H173*(1+I172)</f>
        <v>20049.0326982</v>
      </c>
      <c r="J173" s="208" t="n">
        <f aca="false">I173*(1+J172)</f>
        <v>21452.464987074</v>
      </c>
      <c r="K173" s="208" t="n">
        <f aca="false">J173*(1+K172)</f>
        <v>22739.6128862985</v>
      </c>
      <c r="L173" s="208" t="n">
        <f aca="false">K173*(1+L172)</f>
        <v>23876.5935306134</v>
      </c>
      <c r="M173" s="208" t="n">
        <f aca="false">L173*(1+M172)</f>
        <v>24831.6572718379</v>
      </c>
      <c r="N173" s="208" t="n">
        <f aca="false">M173*(1+N172)</f>
        <v>25576.606989993</v>
      </c>
      <c r="O173" s="208" t="n">
        <f aca="false">N173*(1+O172)</f>
        <v>26088.1391297929</v>
      </c>
    </row>
    <row r="174" customFormat="false" ht="15" hidden="false" customHeight="true" outlineLevel="0" collapsed="false">
      <c r="B174" s="91" t="s">
        <v>21</v>
      </c>
      <c r="C174" s="93" t="n">
        <f aca="false">DCF!$P$16</f>
        <v>0.082</v>
      </c>
      <c r="E174" s="91" t="s">
        <v>277</v>
      </c>
      <c r="F174" s="208" t="n">
        <f aca="false">F173*$C$173*(1-$C$4)</f>
        <v>2577.8920275</v>
      </c>
      <c r="G174" s="208" t="n">
        <f aca="false">G173*$C$173*(1-$C$4)</f>
        <v>2835.68123025</v>
      </c>
      <c r="H174" s="208" t="n">
        <f aca="false">H173*$C$173*(1-$C$4)</f>
        <v>3090.8925409725</v>
      </c>
      <c r="I174" s="208" t="n">
        <f aca="false">I173*$C$173*(1-$C$4)</f>
        <v>3338.1639442503</v>
      </c>
      <c r="J174" s="208" t="n">
        <f aca="false">J173*$C$173*(1-$C$4)</f>
        <v>3571.83542034782</v>
      </c>
      <c r="K174" s="208" t="n">
        <f aca="false">K173*$C$173*(1-$C$4)</f>
        <v>3786.14554556869</v>
      </c>
      <c r="L174" s="208" t="n">
        <f aca="false">L173*$C$173*(1-$C$4)</f>
        <v>3975.45282284713</v>
      </c>
      <c r="M174" s="208" t="n">
        <f aca="false">M173*$C$173*(1-$C$4)</f>
        <v>4134.47093576101</v>
      </c>
      <c r="N174" s="208" t="n">
        <f aca="false">N173*$C$173*(1-$C$4)</f>
        <v>4258.50506383384</v>
      </c>
      <c r="O174" s="208" t="n">
        <f aca="false">O173*$C$173*(1-$C$4)</f>
        <v>4343.67516511052</v>
      </c>
      <c r="P174" s="208" t="n">
        <f aca="false">O174*(1+$C$175)</f>
        <v>4430.54866841273</v>
      </c>
    </row>
    <row r="175" customFormat="false" ht="15" hidden="false" customHeight="true" outlineLevel="0" collapsed="false">
      <c r="B175" s="91" t="s">
        <v>278</v>
      </c>
      <c r="C175" s="95" t="n">
        <f aca="false">DCF!$P$17</f>
        <v>0.02</v>
      </c>
      <c r="E175" s="91" t="s">
        <v>46</v>
      </c>
      <c r="F175" s="207" t="n">
        <f aca="false">$C$172/(($C$6-$C$5+$C$7)/($C$173*(1-$C$4)))</f>
        <v>0.248845108695652</v>
      </c>
      <c r="G175" s="207" t="n">
        <f aca="false">IF($C$178=1,F175-($F175-$C$174)/$C$12,G172/(($C$6-$C$5+$C$7)/($C$173*(1-$C$4))))</f>
        <v>0.230306763285024</v>
      </c>
      <c r="H175" s="207" t="n">
        <f aca="false">IF($C$178=1,G175-($F175-$C$174)/$C$12,H172/(($C$6-$C$5+$C$7)/($C$173*(1-$C$4))))</f>
        <v>0.211768417874396</v>
      </c>
      <c r="I175" s="207" t="n">
        <f aca="false">IF($C$178=1,H175-($F175-$C$174)/$C$12,I172/(($C$6-$C$5+$C$7)/($C$173*(1-$C$4))))</f>
        <v>0.193230072463768</v>
      </c>
      <c r="J175" s="207" t="n">
        <f aca="false">IF($C$178=1,I175-($F175-$C$174)/$C$12,J172/(($C$6-$C$5+$C$7)/($C$173*(1-$C$4))))</f>
        <v>0.17469172705314</v>
      </c>
      <c r="K175" s="207" t="n">
        <f aca="false">IF($C$178=1,J175-($F175-$C$174)/$C$12,K172/(($C$6-$C$5+$C$7)/($C$173*(1-$C$4))))</f>
        <v>0.156153381642512</v>
      </c>
      <c r="L175" s="207" t="n">
        <f aca="false">IF($C$178=1,K175-($F175-$C$174)/$C$12,L172/(($C$6-$C$5+$C$7)/($C$173*(1-$C$4))))</f>
        <v>0.137615036231884</v>
      </c>
      <c r="M175" s="207" t="n">
        <f aca="false">IF($C$178=1,L175-($F175-$C$174)/$C$12,M172/(($C$6-$C$5+$C$7)/($C$173*(1-$C$4))))</f>
        <v>0.119076690821256</v>
      </c>
      <c r="N175" s="207" t="n">
        <f aca="false">IF($C$178=1,M175-($F175-$C$174)/$C$12,N172/(($C$6-$C$5+$C$7)/($C$173*(1-$C$4))))</f>
        <v>0.100538345410628</v>
      </c>
      <c r="O175" s="207" t="n">
        <f aca="false">IF($C$178=1,N175-($F175-$C$174)/$C$12,O172/(($C$6-$C$5+$C$7)/($C$173*(1-$C$4))))</f>
        <v>0.0820000000000001</v>
      </c>
      <c r="P175" s="207" t="n">
        <f aca="false">$C$174</f>
        <v>0.082</v>
      </c>
    </row>
    <row r="176" customFormat="false" ht="15" hidden="false" customHeight="true" outlineLevel="0" collapsed="false">
      <c r="B176" s="91" t="s">
        <v>279</v>
      </c>
      <c r="C176" s="209" t="n">
        <v>1</v>
      </c>
      <c r="E176" s="91" t="s">
        <v>45</v>
      </c>
      <c r="F176" s="210" t="n">
        <f aca="false">IF($C$178=1,F172/F175,(($C$6-$C$5+$C$7)/($C$173*(1-$C$4))))</f>
        <v>0.442042042042042</v>
      </c>
      <c r="G176" s="210" t="n">
        <f aca="false">IF($C$178=1,G172/G175,(($C$6-$C$5+$C$7)/($C$173*(1-$C$4))))</f>
        <v>0.434203488311116</v>
      </c>
      <c r="H176" s="210" t="n">
        <f aca="false">IF($C$178=1,H172/H175,(($C$6-$C$5+$C$7)/($C$173*(1-$C$4))))</f>
        <v>0.424992550368775</v>
      </c>
      <c r="I176" s="210" t="n">
        <f aca="false">IF($C$178=1,I172/I175,(($C$6-$C$5+$C$7)/($C$173*(1-$C$4))))</f>
        <v>0.414014231739216</v>
      </c>
      <c r="J176" s="210" t="n">
        <f aca="false">IF($C$178=1,J172/J175,(($C$6-$C$5+$C$7)/($C$173*(1-$C$4))))</f>
        <v>0.400705867305934</v>
      </c>
      <c r="K176" s="210" t="n">
        <f aca="false">IF($C$178=1,K172/K175,(($C$6-$C$5+$C$7)/($C$173*(1-$C$4))))</f>
        <v>0.384237596194748</v>
      </c>
      <c r="L176" s="210" t="n">
        <f aca="false">IF($C$178=1,L172/L175,(($C$6-$C$5+$C$7)/($C$173*(1-$C$4))))</f>
        <v>0.36333238989778</v>
      </c>
      <c r="M176" s="210" t="n">
        <f aca="false">IF($C$178=1,M172/M175,(($C$6-$C$5+$C$7)/($C$173*(1-$C$4))))</f>
        <v>0.335917967858574</v>
      </c>
      <c r="N176" s="210" t="n">
        <f aca="false">IF($C$178=1,N172/N175,(($C$6-$C$5+$C$7)/($C$173*(1-$C$4))))</f>
        <v>0.298393611685882</v>
      </c>
      <c r="O176" s="210" t="n">
        <f aca="false">IF($C$178=1,O172/O175,(($C$6-$C$5+$C$7)/($C$173*(1-$C$4))))</f>
        <v>0.24390243902439</v>
      </c>
      <c r="P176" s="210" t="n">
        <f aca="false">$C$175/P175</f>
        <v>0.24390243902439</v>
      </c>
    </row>
    <row r="177" customFormat="false" ht="15" hidden="false" customHeight="true" outlineLevel="0" collapsed="false">
      <c r="B177" s="91" t="s">
        <v>280</v>
      </c>
      <c r="C177" s="209" t="n">
        <v>1</v>
      </c>
      <c r="E177" s="91" t="s">
        <v>281</v>
      </c>
      <c r="F177" s="208" t="n">
        <f aca="false">F174*F176</f>
        <v>1139.536656</v>
      </c>
      <c r="G177" s="208" t="n">
        <f aca="false">G174*G176</f>
        <v>1231.26268191291</v>
      </c>
      <c r="H177" s="208" t="n">
        <f aca="false">H174*H176</f>
        <v>1313.60630390373</v>
      </c>
      <c r="I177" s="208" t="n">
        <f aca="false">I174*I176</f>
        <v>1382.04738079834</v>
      </c>
      <c r="J177" s="208" t="n">
        <f aca="false">J174*J176</f>
        <v>1431.25540998453</v>
      </c>
      <c r="K177" s="208" t="n">
        <f aca="false">K174*K176</f>
        <v>1454.77946327277</v>
      </c>
      <c r="L177" s="208" t="n">
        <f aca="false">L174*L176</f>
        <v>1444.41077505092</v>
      </c>
      <c r="M177" s="208" t="n">
        <f aca="false">M174*M176</f>
        <v>1388.84307491117</v>
      </c>
      <c r="N177" s="208" t="n">
        <f aca="false">N174*N176</f>
        <v>1270.71070638</v>
      </c>
      <c r="O177" s="208" t="n">
        <f aca="false">O174*O176</f>
        <v>1059.43296710013</v>
      </c>
    </row>
    <row r="178" customFormat="false" ht="15" hidden="false" customHeight="true" outlineLevel="0" collapsed="false">
      <c r="B178" s="91" t="s">
        <v>282</v>
      </c>
      <c r="C178" s="209" t="n">
        <v>1</v>
      </c>
      <c r="E178" s="90" t="s">
        <v>47</v>
      </c>
      <c r="F178" s="211" t="n">
        <f aca="false">F174-F177</f>
        <v>1438.3553715</v>
      </c>
      <c r="G178" s="211" t="n">
        <f aca="false">G174-G177</f>
        <v>1604.41854833709</v>
      </c>
      <c r="H178" s="211" t="n">
        <f aca="false">H174-H177</f>
        <v>1777.28623706878</v>
      </c>
      <c r="I178" s="211" t="n">
        <f aca="false">I174-I177</f>
        <v>1956.11656345196</v>
      </c>
      <c r="J178" s="211" t="n">
        <f aca="false">J174-J177</f>
        <v>2140.58001036329</v>
      </c>
      <c r="K178" s="211" t="n">
        <f aca="false">K174-K177</f>
        <v>2331.36608229592</v>
      </c>
      <c r="L178" s="211" t="n">
        <f aca="false">L174-L177</f>
        <v>2531.04204779621</v>
      </c>
      <c r="M178" s="211" t="n">
        <f aca="false">M174-M177</f>
        <v>2745.62786084984</v>
      </c>
      <c r="N178" s="211" t="n">
        <f aca="false">N174-N177</f>
        <v>2987.79435745385</v>
      </c>
      <c r="O178" s="211" t="n">
        <f aca="false">O174-O177</f>
        <v>3284.24219801039</v>
      </c>
      <c r="P178" s="211" t="n">
        <f aca="false">IF($C$177=1,P174*(1-P176),O178*(1+$C$175))</f>
        <v>3349.9270419706</v>
      </c>
    </row>
    <row r="179" customFormat="false" ht="15" hidden="false" customHeight="true" outlineLevel="0" collapsed="false">
      <c r="B179" s="91" t="s">
        <v>101</v>
      </c>
      <c r="C179" s="96" t="n">
        <f aca="false">SUM(F180:O180)</f>
        <v>15963.3087683037</v>
      </c>
      <c r="E179" s="91" t="s">
        <v>283</v>
      </c>
      <c r="F179" s="212" t="n">
        <f aca="false">DCF!O$71</f>
        <v>0.0347222222222222</v>
      </c>
      <c r="G179" s="212" t="n">
        <f aca="false">DCF!P$71</f>
        <v>0.569444444444444</v>
      </c>
      <c r="H179" s="212" t="n">
        <f aca="false">DCF!Q$71</f>
        <v>1.56944444444444</v>
      </c>
      <c r="I179" s="212" t="n">
        <f aca="false">DCF!R$71</f>
        <v>2.56944444444444</v>
      </c>
      <c r="J179" s="212" t="n">
        <f aca="false">DCF!S$71</f>
        <v>3.56944444444444</v>
      </c>
      <c r="K179" s="212" t="n">
        <f aca="false">DCF!T$71</f>
        <v>4.56944444444445</v>
      </c>
      <c r="L179" s="212" t="n">
        <f aca="false">DCF!U$71</f>
        <v>5.56944444444445</v>
      </c>
      <c r="M179" s="212" t="n">
        <f aca="false">DCF!V$71</f>
        <v>6.56944444444445</v>
      </c>
      <c r="N179" s="212" t="n">
        <f aca="false">DCF!W$71</f>
        <v>7.56944444444445</v>
      </c>
      <c r="O179" s="212" t="n">
        <f aca="false">DCF!X$71</f>
        <v>8.56944444444445</v>
      </c>
    </row>
    <row r="180" customFormat="false" ht="15" hidden="false" customHeight="true" outlineLevel="0" collapsed="false">
      <c r="B180" s="91" t="s">
        <v>99</v>
      </c>
      <c r="C180" s="96" t="n">
        <f aca="false">P178/($C$174-$C$175)</f>
        <v>54031.0813221065</v>
      </c>
      <c r="E180" s="91" t="s">
        <v>284</v>
      </c>
      <c r="F180" s="208" t="n">
        <f aca="false">F178/(1+$C$174)^F179</f>
        <v>1434.42469360514</v>
      </c>
      <c r="G180" s="208" t="n">
        <f aca="false">G178/(1+$C$174)^G179</f>
        <v>1534.00632617889</v>
      </c>
      <c r="H180" s="208" t="n">
        <f aca="false">H178/(1+$C$174)^H179</f>
        <v>1570.50597694224</v>
      </c>
      <c r="I180" s="208" t="n">
        <f aca="false">I178/(1+$C$174)^I179</f>
        <v>1597.53243857813</v>
      </c>
      <c r="J180" s="208" t="n">
        <f aca="false">J178/(1+$C$174)^J179</f>
        <v>1615.69417664767</v>
      </c>
      <c r="K180" s="208" t="n">
        <f aca="false">K178/(1+$C$174)^K179</f>
        <v>1626.33836597949</v>
      </c>
      <c r="L180" s="208" t="n">
        <f aca="false">L178/(1+$C$174)^L179</f>
        <v>1631.82105615544</v>
      </c>
      <c r="M180" s="208" t="n">
        <f aca="false">M178/(1+$C$174)^M179</f>
        <v>1636.01614434861</v>
      </c>
      <c r="N180" s="208" t="n">
        <f aca="false">N178/(1+$C$174)^N179</f>
        <v>1645.39189563536</v>
      </c>
      <c r="O180" s="208" t="n">
        <f aca="false">O178/(1+$C$174)^O179</f>
        <v>1671.57769423274</v>
      </c>
    </row>
    <row r="181" customFormat="false" ht="15" hidden="false" customHeight="true" outlineLevel="0" collapsed="false">
      <c r="B181" s="91" t="s">
        <v>100</v>
      </c>
      <c r="C181" s="96" t="n">
        <f aca="false">C180/(1+$C$174)^O179</f>
        <v>27500.1491631837</v>
      </c>
    </row>
    <row r="182" customFormat="false" ht="15" hidden="false" customHeight="true" outlineLevel="0" collapsed="false">
      <c r="B182" s="91" t="s">
        <v>102</v>
      </c>
      <c r="C182" s="96" t="n">
        <f aca="false">C179+C181</f>
        <v>43463.4579314874</v>
      </c>
    </row>
    <row r="183" customFormat="false" ht="15" hidden="false" customHeight="true" outlineLevel="0" collapsed="false">
      <c r="B183" s="91" t="s">
        <v>285</v>
      </c>
      <c r="C183" s="96" t="n">
        <f aca="false">C182+$C$9-$C$10</f>
        <v>44363.4579314874</v>
      </c>
    </row>
    <row r="184" customFormat="false" ht="15" hidden="false" customHeight="true" outlineLevel="0" collapsed="false">
      <c r="B184" s="205" t="s">
        <v>104</v>
      </c>
      <c r="C184" s="213" t="n">
        <f aca="false">C183/$C$11</f>
        <v>41.5855436178172</v>
      </c>
    </row>
    <row r="185" customFormat="false" ht="15" hidden="false" customHeight="true" outlineLevel="0" collapsed="false">
      <c r="B185" s="91" t="s">
        <v>98</v>
      </c>
      <c r="C185" s="97" t="n">
        <f aca="false">1-P178/P174</f>
        <v>0.24390243902439</v>
      </c>
    </row>
    <row r="186" customFormat="false" ht="15" hidden="false" customHeight="true" outlineLevel="0" collapsed="false">
      <c r="B186" s="91" t="s">
        <v>286</v>
      </c>
      <c r="C186" s="97" t="n">
        <f aca="false">C181/C182</f>
        <v>0.632718851006584</v>
      </c>
    </row>
    <row r="189" customFormat="false" ht="15" hidden="false" customHeight="true" outlineLevel="0" collapsed="false">
      <c r="B189" s="86" t="s">
        <v>293</v>
      </c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</row>
    <row r="190" customFormat="false" ht="15" hidden="false" customHeight="true" outlineLevel="0" collapsed="false">
      <c r="B190" s="205" t="s">
        <v>272</v>
      </c>
      <c r="C190" s="205" t="s">
        <v>184</v>
      </c>
      <c r="E190" s="205" t="s">
        <v>273</v>
      </c>
      <c r="F190" s="206" t="str">
        <f aca="false">"FY"&amp;RIGHT(DCF!O$38,2)</f>
        <v>FY26</v>
      </c>
      <c r="G190" s="206" t="str">
        <f aca="false">"FY"&amp;RIGHT(DCF!P$38,2)</f>
        <v>FY27</v>
      </c>
      <c r="H190" s="206" t="str">
        <f aca="false">"FY"&amp;RIGHT(DCF!Q$38,2)</f>
        <v>FY28</v>
      </c>
      <c r="I190" s="206" t="str">
        <f aca="false">"FY"&amp;RIGHT(DCF!R$38,2)</f>
        <v>FY29</v>
      </c>
      <c r="J190" s="206" t="str">
        <f aca="false">"FY"&amp;RIGHT(DCF!S$38,2)</f>
        <v>FY30</v>
      </c>
      <c r="K190" s="206" t="str">
        <f aca="false">"FY"&amp;RIGHT(DCF!T$38,2)</f>
        <v>FY31</v>
      </c>
      <c r="L190" s="206" t="str">
        <f aca="false">"FY"&amp;RIGHT(DCF!U$38,2)</f>
        <v>FY32</v>
      </c>
      <c r="M190" s="206" t="str">
        <f aca="false">"FY"&amp;RIGHT(DCF!V$38,2)</f>
        <v>FY33</v>
      </c>
      <c r="N190" s="206" t="str">
        <f aca="false">"FY"&amp;RIGHT(DCF!W$38,2)</f>
        <v>FY34</v>
      </c>
      <c r="O190" s="206" t="str">
        <f aca="false">"FY"&amp;RIGHT(DCF!X$38,2)</f>
        <v>FY35</v>
      </c>
      <c r="P190" s="206" t="s">
        <v>40</v>
      </c>
    </row>
    <row r="191" customFormat="false" ht="15" hidden="false" customHeight="true" outlineLevel="0" collapsed="false">
      <c r="B191" s="91" t="s">
        <v>274</v>
      </c>
      <c r="C191" s="95" t="n">
        <f aca="false">DCF!$H$11</f>
        <v>0.07</v>
      </c>
      <c r="E191" s="91" t="s">
        <v>275</v>
      </c>
      <c r="F191" s="207" t="n">
        <f aca="false">$C$191</f>
        <v>0.07</v>
      </c>
      <c r="G191" s="207" t="n">
        <f aca="false">IF($C$195=1,F191-($C$191-$C$194)/$C$12,$C$191)</f>
        <v>0.07</v>
      </c>
      <c r="H191" s="207" t="n">
        <f aca="false">IF($C$195=1,G191-($C$191-$C$194)/$C$12,$C$191)</f>
        <v>0.07</v>
      </c>
      <c r="I191" s="207" t="n">
        <f aca="false">IF($C$195=1,H191-($C$191-$C$194)/$C$12,$C$191)</f>
        <v>0.07</v>
      </c>
      <c r="J191" s="207" t="n">
        <f aca="false">IF($C$195=1,I191-($C$191-$C$194)/$C$12,$C$191)</f>
        <v>0.07</v>
      </c>
      <c r="K191" s="207" t="n">
        <f aca="false">IF($C$195=1,J191-($C$191-$C$194)/$C$12,$C$191)</f>
        <v>0.07</v>
      </c>
      <c r="L191" s="207" t="n">
        <f aca="false">IF($C$195=1,K191-($C$191-$C$194)/$C$12,$C$191)</f>
        <v>0.07</v>
      </c>
      <c r="M191" s="207" t="n">
        <f aca="false">IF($C$195=1,L191-($C$191-$C$194)/$C$12,$C$191)</f>
        <v>0.07</v>
      </c>
      <c r="N191" s="207" t="n">
        <f aca="false">IF($C$195=1,M191-($C$191-$C$194)/$C$12,$C$191)</f>
        <v>0.07</v>
      </c>
      <c r="O191" s="207" t="n">
        <f aca="false">IF($C$195=1,N191-($C$191-$C$194)/$C$12,$C$191)</f>
        <v>0.07</v>
      </c>
    </row>
    <row r="192" customFormat="false" ht="15" hidden="false" customHeight="true" outlineLevel="0" collapsed="false">
      <c r="B192" s="91" t="s">
        <v>276</v>
      </c>
      <c r="C192" s="95" t="n">
        <f aca="false">DCF!$H$13</f>
        <v>0.16</v>
      </c>
      <c r="E192" s="91" t="s">
        <v>16</v>
      </c>
      <c r="F192" s="208" t="n">
        <f aca="false">$C$8*(1+F191)</f>
        <v>14924.895</v>
      </c>
      <c r="G192" s="208" t="n">
        <f aca="false">F192*(1+G191)</f>
        <v>15969.63765</v>
      </c>
      <c r="H192" s="208" t="n">
        <f aca="false">G192*(1+H191)</f>
        <v>17087.5122855</v>
      </c>
      <c r="I192" s="208" t="n">
        <f aca="false">H192*(1+I191)</f>
        <v>18283.638145485</v>
      </c>
      <c r="J192" s="208" t="n">
        <f aca="false">I192*(1+J191)</f>
        <v>19563.492815669</v>
      </c>
      <c r="K192" s="208" t="n">
        <f aca="false">J192*(1+K191)</f>
        <v>20932.9373127658</v>
      </c>
      <c r="L192" s="208" t="n">
        <f aca="false">K192*(1+L191)</f>
        <v>22398.2429246594</v>
      </c>
      <c r="M192" s="208" t="n">
        <f aca="false">L192*(1+M191)</f>
        <v>23966.1199293855</v>
      </c>
      <c r="N192" s="208" t="n">
        <f aca="false">M192*(1+N191)</f>
        <v>25643.7483244425</v>
      </c>
      <c r="O192" s="208" t="n">
        <f aca="false">N192*(1+O191)</f>
        <v>27438.8107071535</v>
      </c>
    </row>
    <row r="193" customFormat="false" ht="15" hidden="false" customHeight="true" outlineLevel="0" collapsed="false">
      <c r="B193" s="91" t="s">
        <v>21</v>
      </c>
      <c r="C193" s="93" t="n">
        <f aca="false">DCF!$H$16</f>
        <v>0.092</v>
      </c>
      <c r="E193" s="91" t="s">
        <v>277</v>
      </c>
      <c r="F193" s="208" t="n">
        <f aca="false">F192*$C$192*(1-$C$4)</f>
        <v>2149.18488</v>
      </c>
      <c r="G193" s="208" t="n">
        <f aca="false">G192*$C$192*(1-$C$4)</f>
        <v>2299.6278216</v>
      </c>
      <c r="H193" s="208" t="n">
        <f aca="false">H192*$C$192*(1-$C$4)</f>
        <v>2460.601769112</v>
      </c>
      <c r="I193" s="208" t="n">
        <f aca="false">I192*$C$192*(1-$C$4)</f>
        <v>2632.84389294984</v>
      </c>
      <c r="J193" s="208" t="n">
        <f aca="false">J192*$C$192*(1-$C$4)</f>
        <v>2817.14296545633</v>
      </c>
      <c r="K193" s="208" t="n">
        <f aca="false">K192*$C$192*(1-$C$4)</f>
        <v>3014.34297303827</v>
      </c>
      <c r="L193" s="208" t="n">
        <f aca="false">L192*$C$192*(1-$C$4)</f>
        <v>3225.34698115095</v>
      </c>
      <c r="M193" s="208" t="n">
        <f aca="false">M192*$C$192*(1-$C$4)</f>
        <v>3451.12126983152</v>
      </c>
      <c r="N193" s="208" t="n">
        <f aca="false">N192*$C$192*(1-$C$4)</f>
        <v>3692.69975871973</v>
      </c>
      <c r="O193" s="208" t="n">
        <f aca="false">O192*$C$192*(1-$C$4)</f>
        <v>3951.18874183011</v>
      </c>
      <c r="P193" s="208" t="n">
        <f aca="false">O193*(1+$C$194)</f>
        <v>3990.70062924841</v>
      </c>
    </row>
    <row r="194" customFormat="false" ht="15" hidden="false" customHeight="true" outlineLevel="0" collapsed="false">
      <c r="B194" s="91" t="s">
        <v>278</v>
      </c>
      <c r="C194" s="95" t="n">
        <f aca="false">DCF!$H$17</f>
        <v>0.01</v>
      </c>
      <c r="E194" s="91" t="s">
        <v>46</v>
      </c>
      <c r="F194" s="207" t="n">
        <f aca="false">$C$191/(($C$6-$C$5+$C$7)/($C$192*(1-$C$4)))</f>
        <v>0.13695652173913</v>
      </c>
      <c r="G194" s="207" t="n">
        <f aca="false">IF($C$197=1,F194-($F194-$C$193)/$C$12,G191/(($C$6-$C$5+$C$7)/($C$192*(1-$C$4))))</f>
        <v>0.13695652173913</v>
      </c>
      <c r="H194" s="207" t="n">
        <f aca="false">IF($C$197=1,G194-($F194-$C$193)/$C$12,H191/(($C$6-$C$5+$C$7)/($C$192*(1-$C$4))))</f>
        <v>0.13695652173913</v>
      </c>
      <c r="I194" s="207" t="n">
        <f aca="false">IF($C$197=1,H194-($F194-$C$193)/$C$12,I191/(($C$6-$C$5+$C$7)/($C$192*(1-$C$4))))</f>
        <v>0.13695652173913</v>
      </c>
      <c r="J194" s="207" t="n">
        <f aca="false">IF($C$197=1,I194-($F194-$C$193)/$C$12,J191/(($C$6-$C$5+$C$7)/($C$192*(1-$C$4))))</f>
        <v>0.13695652173913</v>
      </c>
      <c r="K194" s="207" t="n">
        <f aca="false">IF($C$197=1,J194-($F194-$C$193)/$C$12,K191/(($C$6-$C$5+$C$7)/($C$192*(1-$C$4))))</f>
        <v>0.13695652173913</v>
      </c>
      <c r="L194" s="207" t="n">
        <f aca="false">IF($C$197=1,K194-($F194-$C$193)/$C$12,L191/(($C$6-$C$5+$C$7)/($C$192*(1-$C$4))))</f>
        <v>0.13695652173913</v>
      </c>
      <c r="M194" s="207" t="n">
        <f aca="false">IF($C$197=1,L194-($F194-$C$193)/$C$12,M191/(($C$6-$C$5+$C$7)/($C$192*(1-$C$4))))</f>
        <v>0.13695652173913</v>
      </c>
      <c r="N194" s="207" t="n">
        <f aca="false">IF($C$197=1,M194-($F194-$C$193)/$C$12,N191/(($C$6-$C$5+$C$7)/($C$192*(1-$C$4))))</f>
        <v>0.13695652173913</v>
      </c>
      <c r="O194" s="207" t="n">
        <f aca="false">IF($C$197=1,N194-($F194-$C$193)/$C$12,O191/(($C$6-$C$5+$C$7)/($C$192*(1-$C$4))))</f>
        <v>0.13695652173913</v>
      </c>
      <c r="P194" s="207" t="n">
        <f aca="false">$C$193</f>
        <v>0.092</v>
      </c>
    </row>
    <row r="195" customFormat="false" ht="15" hidden="false" customHeight="true" outlineLevel="0" collapsed="false">
      <c r="B195" s="91" t="s">
        <v>279</v>
      </c>
      <c r="C195" s="209" t="n">
        <v>0</v>
      </c>
      <c r="E195" s="91" t="s">
        <v>45</v>
      </c>
      <c r="F195" s="210" t="n">
        <f aca="false">IF($C$197=1,F191/F194,(($C$6-$C$5+$C$7)/($C$192*(1-$C$4))))</f>
        <v>0.511111111111111</v>
      </c>
      <c r="G195" s="210" t="n">
        <f aca="false">IF($C$197=1,G191/G194,(($C$6-$C$5+$C$7)/($C$192*(1-$C$4))))</f>
        <v>0.511111111111111</v>
      </c>
      <c r="H195" s="210" t="n">
        <f aca="false">IF($C$197=1,H191/H194,(($C$6-$C$5+$C$7)/($C$192*(1-$C$4))))</f>
        <v>0.511111111111111</v>
      </c>
      <c r="I195" s="210" t="n">
        <f aca="false">IF($C$197=1,I191/I194,(($C$6-$C$5+$C$7)/($C$192*(1-$C$4))))</f>
        <v>0.511111111111111</v>
      </c>
      <c r="J195" s="210" t="n">
        <f aca="false">IF($C$197=1,J191/J194,(($C$6-$C$5+$C$7)/($C$192*(1-$C$4))))</f>
        <v>0.511111111111111</v>
      </c>
      <c r="K195" s="210" t="n">
        <f aca="false">IF($C$197=1,K191/K194,(($C$6-$C$5+$C$7)/($C$192*(1-$C$4))))</f>
        <v>0.511111111111111</v>
      </c>
      <c r="L195" s="210" t="n">
        <f aca="false">IF($C$197=1,L191/L194,(($C$6-$C$5+$C$7)/($C$192*(1-$C$4))))</f>
        <v>0.511111111111111</v>
      </c>
      <c r="M195" s="210" t="n">
        <f aca="false">IF($C$197=1,M191/M194,(($C$6-$C$5+$C$7)/($C$192*(1-$C$4))))</f>
        <v>0.511111111111111</v>
      </c>
      <c r="N195" s="210" t="n">
        <f aca="false">IF($C$197=1,N191/N194,(($C$6-$C$5+$C$7)/($C$192*(1-$C$4))))</f>
        <v>0.511111111111111</v>
      </c>
      <c r="O195" s="210" t="n">
        <f aca="false">IF($C$197=1,O191/O194,(($C$6-$C$5+$C$7)/($C$192*(1-$C$4))))</f>
        <v>0.511111111111111</v>
      </c>
      <c r="P195" s="210" t="n">
        <f aca="false">$C$194/P194</f>
        <v>0.108695652173913</v>
      </c>
    </row>
    <row r="196" customFormat="false" ht="15" hidden="false" customHeight="true" outlineLevel="0" collapsed="false">
      <c r="B196" s="91" t="s">
        <v>280</v>
      </c>
      <c r="C196" s="209" t="n">
        <v>0</v>
      </c>
      <c r="E196" s="91" t="s">
        <v>281</v>
      </c>
      <c r="F196" s="208" t="n">
        <f aca="false">F193*F195</f>
        <v>1098.472272</v>
      </c>
      <c r="G196" s="208" t="n">
        <f aca="false">G193*G195</f>
        <v>1175.36533104</v>
      </c>
      <c r="H196" s="208" t="n">
        <f aca="false">H193*H195</f>
        <v>1257.6409042128</v>
      </c>
      <c r="I196" s="208" t="n">
        <f aca="false">I193*I195</f>
        <v>1345.6757675077</v>
      </c>
      <c r="J196" s="208" t="n">
        <f aca="false">J193*J195</f>
        <v>1439.87307123323</v>
      </c>
      <c r="K196" s="208" t="n">
        <f aca="false">K193*K195</f>
        <v>1540.66418621956</v>
      </c>
      <c r="L196" s="208" t="n">
        <f aca="false">L193*L195</f>
        <v>1648.51067925493</v>
      </c>
      <c r="M196" s="208" t="n">
        <f aca="false">M193*M195</f>
        <v>1763.90642680278</v>
      </c>
      <c r="N196" s="208" t="n">
        <f aca="false">N193*N195</f>
        <v>1887.37987667897</v>
      </c>
      <c r="O196" s="208" t="n">
        <f aca="false">O193*O195</f>
        <v>2019.4964680465</v>
      </c>
    </row>
    <row r="197" customFormat="false" ht="15" hidden="false" customHeight="true" outlineLevel="0" collapsed="false">
      <c r="B197" s="91" t="s">
        <v>282</v>
      </c>
      <c r="C197" s="209" t="n">
        <v>0</v>
      </c>
      <c r="E197" s="90" t="s">
        <v>47</v>
      </c>
      <c r="F197" s="211" t="n">
        <f aca="false">F193-F196</f>
        <v>1050.712608</v>
      </c>
      <c r="G197" s="211" t="n">
        <f aca="false">G193-G196</f>
        <v>1124.26249056</v>
      </c>
      <c r="H197" s="211" t="n">
        <f aca="false">H193-H196</f>
        <v>1202.9608648992</v>
      </c>
      <c r="I197" s="211" t="n">
        <f aca="false">I193-I196</f>
        <v>1287.16812544214</v>
      </c>
      <c r="J197" s="211" t="n">
        <f aca="false">J193-J196</f>
        <v>1377.26989422309</v>
      </c>
      <c r="K197" s="211" t="n">
        <f aca="false">K193-K196</f>
        <v>1473.67878681871</v>
      </c>
      <c r="L197" s="211" t="n">
        <f aca="false">L193-L196</f>
        <v>1576.83630189602</v>
      </c>
      <c r="M197" s="211" t="n">
        <f aca="false">M193-M196</f>
        <v>1687.21484302874</v>
      </c>
      <c r="N197" s="211" t="n">
        <f aca="false">N193-N196</f>
        <v>1805.31988204076</v>
      </c>
      <c r="O197" s="211" t="n">
        <f aca="false">O193-O196</f>
        <v>1931.69227378361</v>
      </c>
      <c r="P197" s="211" t="n">
        <f aca="false">IF($C$196=1,P193*(1-P195),O197*(1+$C$194))</f>
        <v>1951.00919652144</v>
      </c>
    </row>
    <row r="198" customFormat="false" ht="15" hidden="false" customHeight="true" outlineLevel="0" collapsed="false">
      <c r="B198" s="91" t="s">
        <v>101</v>
      </c>
      <c r="C198" s="96" t="n">
        <f aca="false">SUM(F199:O199)</f>
        <v>9931.09819247139</v>
      </c>
      <c r="E198" s="91" t="s">
        <v>283</v>
      </c>
      <c r="F198" s="212" t="n">
        <f aca="false">DCF!O$71</f>
        <v>0.0347222222222222</v>
      </c>
      <c r="G198" s="212" t="n">
        <f aca="false">DCF!P$71</f>
        <v>0.569444444444444</v>
      </c>
      <c r="H198" s="212" t="n">
        <f aca="false">DCF!Q$71</f>
        <v>1.56944444444444</v>
      </c>
      <c r="I198" s="212" t="n">
        <f aca="false">DCF!R$71</f>
        <v>2.56944444444444</v>
      </c>
      <c r="J198" s="212" t="n">
        <f aca="false">DCF!S$71</f>
        <v>3.56944444444444</v>
      </c>
      <c r="K198" s="212" t="n">
        <f aca="false">DCF!T$71</f>
        <v>4.56944444444445</v>
      </c>
      <c r="L198" s="212" t="n">
        <f aca="false">DCF!U$71</f>
        <v>5.56944444444445</v>
      </c>
      <c r="M198" s="212" t="n">
        <f aca="false">DCF!V$71</f>
        <v>6.56944444444445</v>
      </c>
      <c r="N198" s="212" t="n">
        <f aca="false">DCF!W$71</f>
        <v>7.56944444444445</v>
      </c>
      <c r="O198" s="212" t="n">
        <f aca="false">DCF!X$71</f>
        <v>8.56944444444445</v>
      </c>
    </row>
    <row r="199" customFormat="false" ht="15" hidden="false" customHeight="true" outlineLevel="0" collapsed="false">
      <c r="B199" s="91" t="s">
        <v>99</v>
      </c>
      <c r="C199" s="96" t="n">
        <f aca="false">P197/($C$193-$C$194)</f>
        <v>23792.7950795298</v>
      </c>
      <c r="E199" s="91" t="s">
        <v>284</v>
      </c>
      <c r="F199" s="208" t="n">
        <f aca="false">F197/(1+$C$193)^F198</f>
        <v>1047.50660158093</v>
      </c>
      <c r="G199" s="208" t="n">
        <f aca="false">G197/(1+$C$193)^G198</f>
        <v>1069.30611941946</v>
      </c>
      <c r="H199" s="208" t="n">
        <f aca="false">H197/(1+$C$193)^H198</f>
        <v>1047.76332214178</v>
      </c>
      <c r="I199" s="208" t="n">
        <f aca="false">I197/(1+$C$193)^I198</f>
        <v>1026.65453726347</v>
      </c>
      <c r="J199" s="208" t="n">
        <f aca="false">J197/(1+$C$193)^J198</f>
        <v>1005.97102094497</v>
      </c>
      <c r="K199" s="208" t="n">
        <f aca="false">K197/(1+$C$193)^K198</f>
        <v>985.704205504688</v>
      </c>
      <c r="L199" s="208" t="n">
        <f aca="false">L197/(1+$C$193)^L198</f>
        <v>965.845695869978</v>
      </c>
      <c r="M199" s="208" t="n">
        <f aca="false">M197/(1+$C$193)^M198</f>
        <v>946.387266099704</v>
      </c>
      <c r="N199" s="208" t="n">
        <f aca="false">N197/(1+$C$193)^N198</f>
        <v>927.320855976816</v>
      </c>
      <c r="O199" s="208" t="n">
        <f aca="false">O197/(1+$C$193)^O198</f>
        <v>908.638567669591</v>
      </c>
    </row>
    <row r="200" customFormat="false" ht="15" hidden="false" customHeight="true" outlineLevel="0" collapsed="false">
      <c r="B200" s="91" t="s">
        <v>100</v>
      </c>
      <c r="C200" s="96" t="n">
        <f aca="false">C199/(1+$C$193)^O198</f>
        <v>11191.7677237352</v>
      </c>
    </row>
    <row r="201" customFormat="false" ht="15" hidden="false" customHeight="true" outlineLevel="0" collapsed="false">
      <c r="B201" s="91" t="s">
        <v>102</v>
      </c>
      <c r="C201" s="96" t="n">
        <f aca="false">C198+C200</f>
        <v>21122.8659162066</v>
      </c>
    </row>
    <row r="202" customFormat="false" ht="15" hidden="false" customHeight="true" outlineLevel="0" collapsed="false">
      <c r="B202" s="91" t="s">
        <v>285</v>
      </c>
      <c r="C202" s="96" t="n">
        <f aca="false">C201+$C$9-$C$10</f>
        <v>22022.8659162066</v>
      </c>
    </row>
    <row r="203" customFormat="false" ht="15" hidden="false" customHeight="true" outlineLevel="0" collapsed="false">
      <c r="B203" s="205" t="s">
        <v>104</v>
      </c>
      <c r="C203" s="213" t="n">
        <f aca="false">C202/$C$11</f>
        <v>20.6438563144044</v>
      </c>
    </row>
    <row r="204" customFormat="false" ht="15" hidden="false" customHeight="true" outlineLevel="0" collapsed="false">
      <c r="B204" s="91" t="s">
        <v>98</v>
      </c>
      <c r="C204" s="97" t="n">
        <f aca="false">1-P197/P193</f>
        <v>0.511111111111111</v>
      </c>
    </row>
    <row r="205" customFormat="false" ht="15" hidden="false" customHeight="true" outlineLevel="0" collapsed="false">
      <c r="B205" s="91" t="s">
        <v>286</v>
      </c>
      <c r="C205" s="97" t="n">
        <f aca="false">C200/C201</f>
        <v>0.529841346725033</v>
      </c>
    </row>
    <row r="208" customFormat="false" ht="15" hidden="false" customHeight="true" outlineLevel="0" collapsed="false">
      <c r="B208" s="86" t="s">
        <v>294</v>
      </c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</row>
    <row r="209" customFormat="false" ht="15" hidden="false" customHeight="true" outlineLevel="0" collapsed="false">
      <c r="B209" s="205" t="s">
        <v>272</v>
      </c>
      <c r="C209" s="205" t="s">
        <v>184</v>
      </c>
      <c r="E209" s="205" t="s">
        <v>273</v>
      </c>
      <c r="F209" s="206" t="str">
        <f aca="false">"FY"&amp;RIGHT(DCF!O$38,2)</f>
        <v>FY26</v>
      </c>
      <c r="G209" s="206" t="str">
        <f aca="false">"FY"&amp;RIGHT(DCF!P$38,2)</f>
        <v>FY27</v>
      </c>
      <c r="H209" s="206" t="str">
        <f aca="false">"FY"&amp;RIGHT(DCF!Q$38,2)</f>
        <v>FY28</v>
      </c>
      <c r="I209" s="206" t="str">
        <f aca="false">"FY"&amp;RIGHT(DCF!R$38,2)</f>
        <v>FY29</v>
      </c>
      <c r="J209" s="206" t="str">
        <f aca="false">"FY"&amp;RIGHT(DCF!S$38,2)</f>
        <v>FY30</v>
      </c>
      <c r="K209" s="206" t="str">
        <f aca="false">"FY"&amp;RIGHT(DCF!T$38,2)</f>
        <v>FY31</v>
      </c>
      <c r="L209" s="206" t="str">
        <f aca="false">"FY"&amp;RIGHT(DCF!U$38,2)</f>
        <v>FY32</v>
      </c>
      <c r="M209" s="206" t="str">
        <f aca="false">"FY"&amp;RIGHT(DCF!V$38,2)</f>
        <v>FY33</v>
      </c>
      <c r="N209" s="206" t="str">
        <f aca="false">"FY"&amp;RIGHT(DCF!W$38,2)</f>
        <v>FY34</v>
      </c>
      <c r="O209" s="206" t="str">
        <f aca="false">"FY"&amp;RIGHT(DCF!X$38,2)</f>
        <v>FY35</v>
      </c>
      <c r="P209" s="206" t="s">
        <v>40</v>
      </c>
    </row>
    <row r="210" customFormat="false" ht="15" hidden="false" customHeight="true" outlineLevel="0" collapsed="false">
      <c r="B210" s="91" t="s">
        <v>274</v>
      </c>
      <c r="C210" s="95" t="n">
        <f aca="false">DCF!$P$11</f>
        <v>0.11</v>
      </c>
      <c r="E210" s="91" t="s">
        <v>275</v>
      </c>
      <c r="F210" s="207" t="n">
        <f aca="false">$C$210</f>
        <v>0.11</v>
      </c>
      <c r="G210" s="207" t="n">
        <f aca="false">IF($C$214=1,F210-($C$210-$C$213)/$C$12,$C$210)</f>
        <v>0.11</v>
      </c>
      <c r="H210" s="207" t="n">
        <f aca="false">IF($C$214=1,G210-($C$210-$C$213)/$C$12,$C$210)</f>
        <v>0.11</v>
      </c>
      <c r="I210" s="207" t="n">
        <f aca="false">IF($C$214=1,H210-($C$210-$C$213)/$C$12,$C$210)</f>
        <v>0.11</v>
      </c>
      <c r="J210" s="207" t="n">
        <f aca="false">IF($C$214=1,I210-($C$210-$C$213)/$C$12,$C$210)</f>
        <v>0.11</v>
      </c>
      <c r="K210" s="207" t="n">
        <f aca="false">IF($C$214=1,J210-($C$210-$C$213)/$C$12,$C$210)</f>
        <v>0.11</v>
      </c>
      <c r="L210" s="207" t="n">
        <f aca="false">IF($C$214=1,K210-($C$210-$C$213)/$C$12,$C$210)</f>
        <v>0.11</v>
      </c>
      <c r="M210" s="207" t="n">
        <f aca="false">IF($C$214=1,L210-($C$210-$C$213)/$C$12,$C$210)</f>
        <v>0.11</v>
      </c>
      <c r="N210" s="207" t="n">
        <f aca="false">IF($C$214=1,M210-($C$210-$C$213)/$C$12,$C$210)</f>
        <v>0.11</v>
      </c>
      <c r="O210" s="207" t="n">
        <f aca="false">IF($C$214=1,N210-($C$210-$C$213)/$C$12,$C$210)</f>
        <v>0.11</v>
      </c>
    </row>
    <row r="211" customFormat="false" ht="15" hidden="false" customHeight="true" outlineLevel="0" collapsed="false">
      <c r="B211" s="91" t="s">
        <v>276</v>
      </c>
      <c r="C211" s="95" t="n">
        <f aca="false">DCF!$P$13</f>
        <v>0.185</v>
      </c>
      <c r="E211" s="91" t="s">
        <v>16</v>
      </c>
      <c r="F211" s="208" t="n">
        <f aca="false">$C$8*(1+F210)</f>
        <v>15482.835</v>
      </c>
      <c r="G211" s="208" t="n">
        <f aca="false">F211*(1+G210)</f>
        <v>17185.94685</v>
      </c>
      <c r="H211" s="208" t="n">
        <f aca="false">G211*(1+H210)</f>
        <v>19076.4010035</v>
      </c>
      <c r="I211" s="208" t="n">
        <f aca="false">H211*(1+I210)</f>
        <v>21174.805113885</v>
      </c>
      <c r="J211" s="208" t="n">
        <f aca="false">I211*(1+J210)</f>
        <v>23504.0336764124</v>
      </c>
      <c r="K211" s="208" t="n">
        <f aca="false">J211*(1+K210)</f>
        <v>26089.4773808177</v>
      </c>
      <c r="L211" s="208" t="n">
        <f aca="false">K211*(1+L210)</f>
        <v>28959.3198927077</v>
      </c>
      <c r="M211" s="208" t="n">
        <f aca="false">L211*(1+M210)</f>
        <v>32144.8450809055</v>
      </c>
      <c r="N211" s="208" t="n">
        <f aca="false">M211*(1+N210)</f>
        <v>35680.7780398051</v>
      </c>
      <c r="O211" s="208" t="n">
        <f aca="false">N211*(1+O210)</f>
        <v>39605.6636241837</v>
      </c>
    </row>
    <row r="212" customFormat="false" ht="15" hidden="false" customHeight="true" outlineLevel="0" collapsed="false">
      <c r="B212" s="91" t="s">
        <v>21</v>
      </c>
      <c r="C212" s="93" t="n">
        <f aca="false">DCF!$P$16</f>
        <v>0.082</v>
      </c>
      <c r="E212" s="91" t="s">
        <v>277</v>
      </c>
      <c r="F212" s="208" t="n">
        <f aca="false">F211*$C$211*(1-$C$4)</f>
        <v>2577.8920275</v>
      </c>
      <c r="G212" s="208" t="n">
        <f aca="false">G211*$C$211*(1-$C$4)</f>
        <v>2861.460150525</v>
      </c>
      <c r="H212" s="208" t="n">
        <f aca="false">H211*$C$211*(1-$C$4)</f>
        <v>3176.22076708275</v>
      </c>
      <c r="I212" s="208" t="n">
        <f aca="false">I211*$C$211*(1-$C$4)</f>
        <v>3525.60505146185</v>
      </c>
      <c r="J212" s="208" t="n">
        <f aca="false">J211*$C$211*(1-$C$4)</f>
        <v>3913.42160712266</v>
      </c>
      <c r="K212" s="208" t="n">
        <f aca="false">K211*$C$211*(1-$C$4)</f>
        <v>4343.89798390615</v>
      </c>
      <c r="L212" s="208" t="n">
        <f aca="false">L211*$C$211*(1-$C$4)</f>
        <v>4821.72676213583</v>
      </c>
      <c r="M212" s="208" t="n">
        <f aca="false">M211*$C$211*(1-$C$4)</f>
        <v>5352.11670597077</v>
      </c>
      <c r="N212" s="208" t="n">
        <f aca="false">N211*$C$211*(1-$C$4)</f>
        <v>5940.84954362756</v>
      </c>
      <c r="O212" s="208" t="n">
        <f aca="false">O211*$C$211*(1-$C$4)</f>
        <v>6594.34299342659</v>
      </c>
      <c r="P212" s="208" t="n">
        <f aca="false">O212*(1+$C$213)</f>
        <v>6726.22985329512</v>
      </c>
    </row>
    <row r="213" customFormat="false" ht="15" hidden="false" customHeight="true" outlineLevel="0" collapsed="false">
      <c r="B213" s="91" t="s">
        <v>278</v>
      </c>
      <c r="C213" s="95" t="n">
        <f aca="false">DCF!$P$17</f>
        <v>0.02</v>
      </c>
      <c r="E213" s="91" t="s">
        <v>46</v>
      </c>
      <c r="F213" s="207" t="n">
        <f aca="false">$C$210/(($C$6-$C$5+$C$7)/($C$211*(1-$C$4)))</f>
        <v>0.248845108695652</v>
      </c>
      <c r="G213" s="207" t="n">
        <f aca="false">IF($C$216=1,F213-($F213-$C$212)/$C$12,G210/(($C$6-$C$5+$C$7)/($C$211*(1-$C$4))))</f>
        <v>0.248845108695652</v>
      </c>
      <c r="H213" s="207" t="n">
        <f aca="false">IF($C$216=1,G213-($F213-$C$212)/$C$12,H210/(($C$6-$C$5+$C$7)/($C$211*(1-$C$4))))</f>
        <v>0.248845108695652</v>
      </c>
      <c r="I213" s="207" t="n">
        <f aca="false">IF($C$216=1,H213-($F213-$C$212)/$C$12,I210/(($C$6-$C$5+$C$7)/($C$211*(1-$C$4))))</f>
        <v>0.248845108695652</v>
      </c>
      <c r="J213" s="207" t="n">
        <f aca="false">IF($C$216=1,I213-($F213-$C$212)/$C$12,J210/(($C$6-$C$5+$C$7)/($C$211*(1-$C$4))))</f>
        <v>0.248845108695652</v>
      </c>
      <c r="K213" s="207" t="n">
        <f aca="false">IF($C$216=1,J213-($F213-$C$212)/$C$12,K210/(($C$6-$C$5+$C$7)/($C$211*(1-$C$4))))</f>
        <v>0.248845108695652</v>
      </c>
      <c r="L213" s="207" t="n">
        <f aca="false">IF($C$216=1,K213-($F213-$C$212)/$C$12,L210/(($C$6-$C$5+$C$7)/($C$211*(1-$C$4))))</f>
        <v>0.248845108695652</v>
      </c>
      <c r="M213" s="207" t="n">
        <f aca="false">IF($C$216=1,L213-($F213-$C$212)/$C$12,M210/(($C$6-$C$5+$C$7)/($C$211*(1-$C$4))))</f>
        <v>0.248845108695652</v>
      </c>
      <c r="N213" s="207" t="n">
        <f aca="false">IF($C$216=1,M213-($F213-$C$212)/$C$12,N210/(($C$6-$C$5+$C$7)/($C$211*(1-$C$4))))</f>
        <v>0.248845108695652</v>
      </c>
      <c r="O213" s="207" t="n">
        <f aca="false">IF($C$216=1,N213-($F213-$C$212)/$C$12,O210/(($C$6-$C$5+$C$7)/($C$211*(1-$C$4))))</f>
        <v>0.248845108695652</v>
      </c>
      <c r="P213" s="207" t="n">
        <f aca="false">$C$212</f>
        <v>0.082</v>
      </c>
    </row>
    <row r="214" customFormat="false" ht="15" hidden="false" customHeight="true" outlineLevel="0" collapsed="false">
      <c r="B214" s="91" t="s">
        <v>279</v>
      </c>
      <c r="C214" s="209" t="n">
        <v>0</v>
      </c>
      <c r="E214" s="91" t="s">
        <v>45</v>
      </c>
      <c r="F214" s="210" t="n">
        <f aca="false">IF($C$216=1,F210/F213,(($C$6-$C$5+$C$7)/($C$211*(1-$C$4))))</f>
        <v>0.442042042042042</v>
      </c>
      <c r="G214" s="210" t="n">
        <f aca="false">IF($C$216=1,G210/G213,(($C$6-$C$5+$C$7)/($C$211*(1-$C$4))))</f>
        <v>0.442042042042042</v>
      </c>
      <c r="H214" s="210" t="n">
        <f aca="false">IF($C$216=1,H210/H213,(($C$6-$C$5+$C$7)/($C$211*(1-$C$4))))</f>
        <v>0.442042042042042</v>
      </c>
      <c r="I214" s="210" t="n">
        <f aca="false">IF($C$216=1,I210/I213,(($C$6-$C$5+$C$7)/($C$211*(1-$C$4))))</f>
        <v>0.442042042042042</v>
      </c>
      <c r="J214" s="210" t="n">
        <f aca="false">IF($C$216=1,J210/J213,(($C$6-$C$5+$C$7)/($C$211*(1-$C$4))))</f>
        <v>0.442042042042042</v>
      </c>
      <c r="K214" s="210" t="n">
        <f aca="false">IF($C$216=1,K210/K213,(($C$6-$C$5+$C$7)/($C$211*(1-$C$4))))</f>
        <v>0.442042042042042</v>
      </c>
      <c r="L214" s="210" t="n">
        <f aca="false">IF($C$216=1,L210/L213,(($C$6-$C$5+$C$7)/($C$211*(1-$C$4))))</f>
        <v>0.442042042042042</v>
      </c>
      <c r="M214" s="210" t="n">
        <f aca="false">IF($C$216=1,M210/M213,(($C$6-$C$5+$C$7)/($C$211*(1-$C$4))))</f>
        <v>0.442042042042042</v>
      </c>
      <c r="N214" s="210" t="n">
        <f aca="false">IF($C$216=1,N210/N213,(($C$6-$C$5+$C$7)/($C$211*(1-$C$4))))</f>
        <v>0.442042042042042</v>
      </c>
      <c r="O214" s="210" t="n">
        <f aca="false">IF($C$216=1,O210/O213,(($C$6-$C$5+$C$7)/($C$211*(1-$C$4))))</f>
        <v>0.442042042042042</v>
      </c>
      <c r="P214" s="210" t="n">
        <f aca="false">$C$213/P213</f>
        <v>0.24390243902439</v>
      </c>
    </row>
    <row r="215" customFormat="false" ht="15" hidden="false" customHeight="true" outlineLevel="0" collapsed="false">
      <c r="B215" s="91" t="s">
        <v>280</v>
      </c>
      <c r="C215" s="209" t="n">
        <v>0</v>
      </c>
      <c r="E215" s="91" t="s">
        <v>281</v>
      </c>
      <c r="F215" s="208" t="n">
        <f aca="false">F212*F214</f>
        <v>1139.536656</v>
      </c>
      <c r="G215" s="208" t="n">
        <f aca="false">G212*G214</f>
        <v>1264.88568816</v>
      </c>
      <c r="H215" s="208" t="n">
        <f aca="false">H212*H214</f>
        <v>1404.0231138576</v>
      </c>
      <c r="I215" s="208" t="n">
        <f aca="false">I212*I214</f>
        <v>1558.46565638194</v>
      </c>
      <c r="J215" s="208" t="n">
        <f aca="false">J212*J214</f>
        <v>1729.89687858395</v>
      </c>
      <c r="K215" s="208" t="n">
        <f aca="false">K212*K214</f>
        <v>1920.18553522818</v>
      </c>
      <c r="L215" s="208" t="n">
        <f aca="false">L212*L214</f>
        <v>2131.40594410328</v>
      </c>
      <c r="M215" s="208" t="n">
        <f aca="false">M212*M214</f>
        <v>2365.86059795465</v>
      </c>
      <c r="N215" s="208" t="n">
        <f aca="false">N212*N214</f>
        <v>2626.10526372966</v>
      </c>
      <c r="O215" s="208" t="n">
        <f aca="false">O212*O214</f>
        <v>2914.97684273992</v>
      </c>
    </row>
    <row r="216" customFormat="false" ht="15" hidden="false" customHeight="true" outlineLevel="0" collapsed="false">
      <c r="B216" s="91" t="s">
        <v>282</v>
      </c>
      <c r="C216" s="209" t="n">
        <v>0</v>
      </c>
      <c r="E216" s="90" t="s">
        <v>47</v>
      </c>
      <c r="F216" s="211" t="n">
        <f aca="false">F212-F215</f>
        <v>1438.3553715</v>
      </c>
      <c r="G216" s="211" t="n">
        <f aca="false">G212-G215</f>
        <v>1596.574462365</v>
      </c>
      <c r="H216" s="211" t="n">
        <f aca="false">H212-H215</f>
        <v>1772.19765322515</v>
      </c>
      <c r="I216" s="211" t="n">
        <f aca="false">I212-I215</f>
        <v>1967.13939507992</v>
      </c>
      <c r="J216" s="211" t="n">
        <f aca="false">J212-J215</f>
        <v>2183.52472853871</v>
      </c>
      <c r="K216" s="211" t="n">
        <f aca="false">K212-K215</f>
        <v>2423.71244867797</v>
      </c>
      <c r="L216" s="211" t="n">
        <f aca="false">L212-L215</f>
        <v>2690.32081803254</v>
      </c>
      <c r="M216" s="211" t="n">
        <f aca="false">M212-M215</f>
        <v>2986.25610801612</v>
      </c>
      <c r="N216" s="211" t="n">
        <f aca="false">N212-N215</f>
        <v>3314.7442798979</v>
      </c>
      <c r="O216" s="211" t="n">
        <f aca="false">O212-O215</f>
        <v>3679.36615068667</v>
      </c>
      <c r="P216" s="211" t="n">
        <f aca="false">IF($C$215=1,P212*(1-P214),O216*(1+$C$213))</f>
        <v>3752.9534737004</v>
      </c>
    </row>
    <row r="217" customFormat="false" ht="15" hidden="false" customHeight="true" outlineLevel="0" collapsed="false">
      <c r="B217" s="91" t="s">
        <v>101</v>
      </c>
      <c r="C217" s="96" t="n">
        <f aca="false">SUM(F218:O218)</f>
        <v>16684.3795279921</v>
      </c>
      <c r="E217" s="91" t="s">
        <v>283</v>
      </c>
      <c r="F217" s="212" t="n">
        <f aca="false">DCF!O$71</f>
        <v>0.0347222222222222</v>
      </c>
      <c r="G217" s="212" t="n">
        <f aca="false">DCF!P$71</f>
        <v>0.569444444444444</v>
      </c>
      <c r="H217" s="212" t="n">
        <f aca="false">DCF!Q$71</f>
        <v>1.56944444444444</v>
      </c>
      <c r="I217" s="212" t="n">
        <f aca="false">DCF!R$71</f>
        <v>2.56944444444444</v>
      </c>
      <c r="J217" s="212" t="n">
        <f aca="false">DCF!S$71</f>
        <v>3.56944444444444</v>
      </c>
      <c r="K217" s="212" t="n">
        <f aca="false">DCF!T$71</f>
        <v>4.56944444444445</v>
      </c>
      <c r="L217" s="212" t="n">
        <f aca="false">DCF!U$71</f>
        <v>5.56944444444445</v>
      </c>
      <c r="M217" s="212" t="n">
        <f aca="false">DCF!V$71</f>
        <v>6.56944444444445</v>
      </c>
      <c r="N217" s="212" t="n">
        <f aca="false">DCF!W$71</f>
        <v>7.56944444444445</v>
      </c>
      <c r="O217" s="212" t="n">
        <f aca="false">DCF!X$71</f>
        <v>8.56944444444445</v>
      </c>
    </row>
    <row r="218" customFormat="false" ht="15" hidden="false" customHeight="true" outlineLevel="0" collapsed="false">
      <c r="B218" s="91" t="s">
        <v>99</v>
      </c>
      <c r="C218" s="96" t="n">
        <f aca="false">P216/($C$212-$C$213)</f>
        <v>60531.5076403291</v>
      </c>
      <c r="E218" s="91" t="s">
        <v>284</v>
      </c>
      <c r="F218" s="208" t="n">
        <f aca="false">F216/(1+$C$212)^F217</f>
        <v>1434.42469360514</v>
      </c>
      <c r="G218" s="208" t="n">
        <f aca="false">G216/(1+$C$212)^G217</f>
        <v>1526.50648923376</v>
      </c>
      <c r="H218" s="208" t="n">
        <f aca="false">H216/(1+$C$212)^H217</f>
        <v>1566.00942980543</v>
      </c>
      <c r="I218" s="208" t="n">
        <f aca="false">I216/(1+$C$212)^I217</f>
        <v>1606.53462761924</v>
      </c>
      <c r="J218" s="208" t="n">
        <f aca="false">J216/(1+$C$212)^J217</f>
        <v>1648.1085366519</v>
      </c>
      <c r="K218" s="208" t="n">
        <f aca="false">K216/(1+$C$212)^K217</f>
        <v>1690.75829545621</v>
      </c>
      <c r="L218" s="208" t="n">
        <f aca="false">L216/(1+$C$212)^L217</f>
        <v>1734.51174487651</v>
      </c>
      <c r="M218" s="208" t="n">
        <f aca="false">M216/(1+$C$212)^M217</f>
        <v>1779.39744622267</v>
      </c>
      <c r="N218" s="208" t="n">
        <f aca="false">N216/(1+$C$212)^N217</f>
        <v>1825.4446999142</v>
      </c>
      <c r="O218" s="208" t="n">
        <f aca="false">O216/(1+$C$212)^O217</f>
        <v>1872.68356460699</v>
      </c>
    </row>
    <row r="219" customFormat="false" ht="15" hidden="false" customHeight="true" outlineLevel="0" collapsed="false">
      <c r="B219" s="91" t="s">
        <v>100</v>
      </c>
      <c r="C219" s="96" t="n">
        <f aca="false">C218/(1+$C$212)^O217</f>
        <v>30808.6650951473</v>
      </c>
    </row>
    <row r="220" customFormat="false" ht="15" hidden="false" customHeight="true" outlineLevel="0" collapsed="false">
      <c r="B220" s="91" t="s">
        <v>102</v>
      </c>
      <c r="C220" s="96" t="n">
        <f aca="false">C217+C219</f>
        <v>47493.0446231393</v>
      </c>
    </row>
    <row r="221" customFormat="false" ht="15" hidden="false" customHeight="true" outlineLevel="0" collapsed="false">
      <c r="B221" s="91" t="s">
        <v>285</v>
      </c>
      <c r="C221" s="96" t="n">
        <f aca="false">C220+$C$9-$C$10</f>
        <v>48393.0446231393</v>
      </c>
    </row>
    <row r="222" customFormat="false" ht="15" hidden="false" customHeight="true" outlineLevel="0" collapsed="false">
      <c r="B222" s="205" t="s">
        <v>104</v>
      </c>
      <c r="C222" s="213" t="n">
        <f aca="false">C221/$C$11</f>
        <v>45.3628089830702</v>
      </c>
    </row>
    <row r="223" customFormat="false" ht="15" hidden="false" customHeight="true" outlineLevel="0" collapsed="false">
      <c r="B223" s="91" t="s">
        <v>98</v>
      </c>
      <c r="C223" s="97" t="n">
        <f aca="false">1-P216/P212</f>
        <v>0.442042042042042</v>
      </c>
    </row>
    <row r="224" customFormat="false" ht="15" hidden="false" customHeight="true" outlineLevel="0" collapsed="false">
      <c r="B224" s="91" t="s">
        <v>286</v>
      </c>
      <c r="C224" s="97" t="n">
        <f aca="false">C219/C220</f>
        <v>0.648698463945957</v>
      </c>
    </row>
    <row r="227" customFormat="false" ht="15" hidden="false" customHeight="true" outlineLevel="0" collapsed="false">
      <c r="B227" s="204" t="s">
        <v>295</v>
      </c>
    </row>
    <row r="228" customFormat="false" ht="15" hidden="false" customHeight="true" outlineLevel="0" collapsed="false">
      <c r="B228" s="86" t="s">
        <v>296</v>
      </c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</row>
    <row r="229" customFormat="false" ht="15" hidden="false" customHeight="true" outlineLevel="0" collapsed="false">
      <c r="B229" s="205" t="s">
        <v>272</v>
      </c>
      <c r="C229" s="205" t="s">
        <v>184</v>
      </c>
      <c r="E229" s="205" t="s">
        <v>273</v>
      </c>
      <c r="F229" s="206" t="str">
        <f aca="false">"FY"&amp;RIGHT(DCF!O$38,2)</f>
        <v>FY26</v>
      </c>
      <c r="G229" s="206" t="str">
        <f aca="false">"FY"&amp;RIGHT(DCF!P$38,2)</f>
        <v>FY27</v>
      </c>
      <c r="H229" s="206" t="str">
        <f aca="false">"FY"&amp;RIGHT(DCF!Q$38,2)</f>
        <v>FY28</v>
      </c>
      <c r="I229" s="206" t="str">
        <f aca="false">"FY"&amp;RIGHT(DCF!R$38,2)</f>
        <v>FY29</v>
      </c>
      <c r="J229" s="206" t="str">
        <f aca="false">"FY"&amp;RIGHT(DCF!S$38,2)</f>
        <v>FY30</v>
      </c>
      <c r="K229" s="206" t="str">
        <f aca="false">"FY"&amp;RIGHT(DCF!T$38,2)</f>
        <v>FY31</v>
      </c>
      <c r="L229" s="206" t="str">
        <f aca="false">"FY"&amp;RIGHT(DCF!U$38,2)</f>
        <v>FY32</v>
      </c>
      <c r="M229" s="206" t="str">
        <f aca="false">"FY"&amp;RIGHT(DCF!V$38,2)</f>
        <v>FY33</v>
      </c>
      <c r="N229" s="206" t="str">
        <f aca="false">"FY"&amp;RIGHT(DCF!W$38,2)</f>
        <v>FY34</v>
      </c>
      <c r="O229" s="206" t="str">
        <f aca="false">"FY"&amp;RIGHT(DCF!X$38,2)</f>
        <v>FY35</v>
      </c>
      <c r="P229" s="206" t="s">
        <v>40</v>
      </c>
    </row>
    <row r="230" customFormat="false" ht="15" hidden="false" customHeight="true" outlineLevel="0" collapsed="false">
      <c r="B230" s="91" t="s">
        <v>274</v>
      </c>
      <c r="C230" s="95" t="n">
        <f aca="false">DCF!$L$11</f>
        <v>0.0909</v>
      </c>
      <c r="E230" s="91" t="s">
        <v>275</v>
      </c>
      <c r="F230" s="207" t="n">
        <f aca="false">$C$230</f>
        <v>0.0909</v>
      </c>
      <c r="G230" s="207" t="n">
        <f aca="false">IF($C$234=1,F230-($C$230-$C$233)/$C$12,$C$230)</f>
        <v>0.0813555555555556</v>
      </c>
      <c r="H230" s="207" t="n">
        <f aca="false">IF($C$234=1,G230-($C$230-$C$233)/$C$12,$C$230)</f>
        <v>0.0718111111111111</v>
      </c>
      <c r="I230" s="207" t="n">
        <f aca="false">IF($C$234=1,H230-($C$230-$C$233)/$C$12,$C$230)</f>
        <v>0.0622666666666667</v>
      </c>
      <c r="J230" s="207" t="n">
        <f aca="false">IF($C$234=1,I230-($C$230-$C$233)/$C$12,$C$230)</f>
        <v>0.0527222222222222</v>
      </c>
      <c r="K230" s="207" t="n">
        <f aca="false">IF($C$234=1,J230-($C$230-$C$233)/$C$12,$C$230)</f>
        <v>0.0431777777777778</v>
      </c>
      <c r="L230" s="207" t="n">
        <f aca="false">IF($C$234=1,K230-($C$230-$C$233)/$C$12,$C$230)</f>
        <v>0.0336333333333333</v>
      </c>
      <c r="M230" s="207" t="n">
        <f aca="false">IF($C$234=1,L230-($C$230-$C$233)/$C$12,$C$230)</f>
        <v>0.0240888888888889</v>
      </c>
      <c r="N230" s="207" t="n">
        <f aca="false">IF($C$234=1,M230-($C$230-$C$233)/$C$12,$C$230)</f>
        <v>0.0145444444444444</v>
      </c>
      <c r="O230" s="207" t="n">
        <f aca="false">IF($C$234=1,N230-($C$230-$C$233)/$C$12,$C$230)</f>
        <v>0.005</v>
      </c>
    </row>
    <row r="231" customFormat="false" ht="15" hidden="false" customHeight="true" outlineLevel="0" collapsed="false">
      <c r="B231" s="91" t="s">
        <v>276</v>
      </c>
      <c r="C231" s="95" t="n">
        <f aca="false">DCF!$L$13</f>
        <v>0.1722</v>
      </c>
      <c r="E231" s="91" t="s">
        <v>16</v>
      </c>
      <c r="F231" s="208" t="n">
        <f aca="false">$C$8*(1+F230)</f>
        <v>15216.41865</v>
      </c>
      <c r="G231" s="208" t="n">
        <f aca="false">F231*(1+G230)</f>
        <v>16454.3588428367</v>
      </c>
      <c r="H231" s="208" t="n">
        <f aca="false">G231*(1+H230)</f>
        <v>17635.9646339617</v>
      </c>
      <c r="I231" s="208" t="n">
        <f aca="false">H231*(1+I230)</f>
        <v>18734.0973651697</v>
      </c>
      <c r="J231" s="208" t="n">
        <f aca="false">I231*(1+J230)</f>
        <v>19721.8006095889</v>
      </c>
      <c r="K231" s="208" t="n">
        <f aca="false">J231*(1+K230)</f>
        <v>20573.3441336874</v>
      </c>
      <c r="L231" s="208" t="n">
        <f aca="false">K231*(1+L230)</f>
        <v>21265.2942747171</v>
      </c>
      <c r="M231" s="208" t="n">
        <f aca="false">L231*(1+M230)</f>
        <v>21777.5515856903</v>
      </c>
      <c r="N231" s="208" t="n">
        <f aca="false">M231*(1+N230)</f>
        <v>22094.2939748644</v>
      </c>
      <c r="O231" s="208" t="n">
        <f aca="false">N231*(1+O230)</f>
        <v>22204.7654447387</v>
      </c>
    </row>
    <row r="232" customFormat="false" ht="15" hidden="false" customHeight="true" outlineLevel="0" collapsed="false">
      <c r="B232" s="91" t="s">
        <v>21</v>
      </c>
      <c r="C232" s="93" t="n">
        <f aca="false">DCF!$L$16</f>
        <v>0.0858338239797238</v>
      </c>
      <c r="E232" s="91" t="s">
        <v>277</v>
      </c>
      <c r="F232" s="208" t="n">
        <f aca="false">F231*$C$231*(1-$C$4)</f>
        <v>2358.240562377</v>
      </c>
      <c r="G232" s="208" t="n">
        <f aca="false">G231*$C$231*(1-$C$4)</f>
        <v>2550.09653346283</v>
      </c>
      <c r="H232" s="208" t="n">
        <f aca="false">H231*$C$231*(1-$C$4)</f>
        <v>2733.22179897138</v>
      </c>
      <c r="I232" s="208" t="n">
        <f aca="false">I231*$C$231*(1-$C$4)</f>
        <v>2903.410409654</v>
      </c>
      <c r="J232" s="208" t="n">
        <f aca="false">J231*$C$231*(1-$C$4)</f>
        <v>3056.48465847409</v>
      </c>
      <c r="K232" s="208" t="n">
        <f aca="false">K231*$C$231*(1-$C$4)</f>
        <v>3188.45687383888</v>
      </c>
      <c r="L232" s="208" t="n">
        <f aca="false">L231*$C$231*(1-$C$4)</f>
        <v>3295.69530669566</v>
      </c>
      <c r="M232" s="208" t="n">
        <f aca="false">M231*$C$231*(1-$C$4)</f>
        <v>3375.08494475028</v>
      </c>
      <c r="N232" s="208" t="n">
        <f aca="false">N231*$C$231*(1-$C$4)</f>
        <v>3424.17368022448</v>
      </c>
      <c r="O232" s="208" t="n">
        <f aca="false">O231*$C$231*(1-$C$4)</f>
        <v>3441.2945486256</v>
      </c>
      <c r="P232" s="208" t="n">
        <f aca="false">O232*(1+$C$233)</f>
        <v>3458.50102136873</v>
      </c>
    </row>
    <row r="233" customFormat="false" ht="15" hidden="false" customHeight="true" outlineLevel="0" collapsed="false">
      <c r="B233" s="91" t="s">
        <v>278</v>
      </c>
      <c r="C233" s="95" t="n">
        <f aca="false">DCF!$D$92</f>
        <v>0.005</v>
      </c>
      <c r="E233" s="91" t="s">
        <v>46</v>
      </c>
      <c r="F233" s="207" t="n">
        <f aca="false">$C$230/(($C$6-$C$5+$C$7)/($C$231*(1-$C$4)))</f>
        <v>0.191408722826087</v>
      </c>
      <c r="G233" s="207" t="n">
        <f aca="false">IF($C$236=1,F233-($F233-$C$232)/$C$12,G230/(($C$6-$C$5+$C$7)/($C$231*(1-$C$4))))</f>
        <v>0.179678178509824</v>
      </c>
      <c r="H233" s="207" t="n">
        <f aca="false">IF($C$236=1,G233-($F233-$C$232)/$C$12,H230/(($C$6-$C$5+$C$7)/($C$231*(1-$C$4))))</f>
        <v>0.167947634193562</v>
      </c>
      <c r="I233" s="207" t="n">
        <f aca="false">IF($C$236=1,H233-($F233-$C$232)/$C$12,I230/(($C$6-$C$5+$C$7)/($C$231*(1-$C$4))))</f>
        <v>0.156217089877299</v>
      </c>
      <c r="J233" s="207" t="n">
        <f aca="false">IF($C$236=1,I233-($F233-$C$232)/$C$12,J230/(($C$6-$C$5+$C$7)/($C$231*(1-$C$4))))</f>
        <v>0.144486545561037</v>
      </c>
      <c r="K233" s="207" t="n">
        <f aca="false">IF($C$236=1,J233-($F233-$C$232)/$C$12,K230/(($C$6-$C$5+$C$7)/($C$231*(1-$C$4))))</f>
        <v>0.132756001244774</v>
      </c>
      <c r="L233" s="207" t="n">
        <f aca="false">IF($C$236=1,K233-($F233-$C$232)/$C$12,L230/(($C$6-$C$5+$C$7)/($C$231*(1-$C$4))))</f>
        <v>0.121025456928512</v>
      </c>
      <c r="M233" s="207" t="n">
        <f aca="false">IF($C$236=1,L233-($F233-$C$232)/$C$12,M230/(($C$6-$C$5+$C$7)/($C$231*(1-$C$4))))</f>
        <v>0.109294912612249</v>
      </c>
      <c r="N233" s="207" t="n">
        <f aca="false">IF($C$236=1,M233-($F233-$C$232)/$C$12,N230/(($C$6-$C$5+$C$7)/($C$231*(1-$C$4))))</f>
        <v>0.0975643682959863</v>
      </c>
      <c r="O233" s="207" t="n">
        <f aca="false">IF($C$236=1,N233-($F233-$C$232)/$C$12,O230/(($C$6-$C$5+$C$7)/($C$231*(1-$C$4))))</f>
        <v>0.0858338239797238</v>
      </c>
      <c r="P233" s="207" t="n">
        <f aca="false">$C$232</f>
        <v>0.0858338239797238</v>
      </c>
    </row>
    <row r="234" customFormat="false" ht="15" hidden="false" customHeight="true" outlineLevel="0" collapsed="false">
      <c r="B234" s="91" t="s">
        <v>279</v>
      </c>
      <c r="C234" s="209" t="n">
        <v>1</v>
      </c>
      <c r="E234" s="91" t="s">
        <v>45</v>
      </c>
      <c r="F234" s="210" t="n">
        <f aca="false">IF($C$236=1,F230/F233,(($C$6-$C$5+$C$7)/($C$231*(1-$C$4))))</f>
        <v>0.474899987095109</v>
      </c>
      <c r="G234" s="210" t="n">
        <f aca="false">IF($C$236=1,G230/G233,(($C$6-$C$5+$C$7)/($C$231*(1-$C$4))))</f>
        <v>0.452784841377425</v>
      </c>
      <c r="H234" s="210" t="n">
        <f aca="false">IF($C$236=1,H230/H233,(($C$6-$C$5+$C$7)/($C$231*(1-$C$4))))</f>
        <v>0.427580367272979</v>
      </c>
      <c r="I234" s="210" t="n">
        <f aca="false">IF($C$236=1,I230/I233,(($C$6-$C$5+$C$7)/($C$231*(1-$C$4))))</f>
        <v>0.398590619730364</v>
      </c>
      <c r="J234" s="210" t="n">
        <f aca="false">IF($C$236=1,J230/J233,(($C$6-$C$5+$C$7)/($C$231*(1-$C$4))))</f>
        <v>0.364893644716216</v>
      </c>
      <c r="K234" s="210" t="n">
        <f aca="false">IF($C$236=1,K230/K233,(($C$6-$C$5+$C$7)/($C$231*(1-$C$4))))</f>
        <v>0.325241626539858</v>
      </c>
      <c r="L234" s="210" t="n">
        <f aca="false">IF($C$236=1,L230/L233,(($C$6-$C$5+$C$7)/($C$231*(1-$C$4))))</f>
        <v>0.277902965102625</v>
      </c>
      <c r="M234" s="210" t="n">
        <f aca="false">IF($C$236=1,M230/M233,(($C$6-$C$5+$C$7)/($C$231*(1-$C$4))))</f>
        <v>0.220402654736092</v>
      </c>
      <c r="N234" s="210" t="n">
        <f aca="false">IF($C$236=1,N230/N233,(($C$6-$C$5+$C$7)/($C$231*(1-$C$4))))</f>
        <v>0.149075371454466</v>
      </c>
      <c r="O234" s="210" t="n">
        <f aca="false">IF($C$236=1,O230/O233,(($C$6-$C$5+$C$7)/($C$231*(1-$C$4))))</f>
        <v>0.0582520941998475</v>
      </c>
      <c r="P234" s="210" t="n">
        <f aca="false">$C$233/P233</f>
        <v>0.0582520941998475</v>
      </c>
    </row>
    <row r="235" customFormat="false" ht="15" hidden="false" customHeight="true" outlineLevel="0" collapsed="false">
      <c r="B235" s="91" t="s">
        <v>280</v>
      </c>
      <c r="C235" s="209" t="n">
        <v>1</v>
      </c>
      <c r="E235" s="91" t="s">
        <v>281</v>
      </c>
      <c r="F235" s="208" t="n">
        <f aca="false">F232*F234</f>
        <v>1119.92841264</v>
      </c>
      <c r="G235" s="208" t="n">
        <f aca="false">G232*G234</f>
        <v>1154.64505440109</v>
      </c>
      <c r="H235" s="208" t="n">
        <f aca="false">H232*H234</f>
        <v>1168.6719806427</v>
      </c>
      <c r="I235" s="208" t="n">
        <f aca="false">I232*I234</f>
        <v>1157.27215451558</v>
      </c>
      <c r="J235" s="208" t="n">
        <f aca="false">J232*J234</f>
        <v>1115.29182704981</v>
      </c>
      <c r="K235" s="208" t="n">
        <f aca="false">K232*K234</f>
        <v>1037.01889979955</v>
      </c>
      <c r="L235" s="208" t="n">
        <f aca="false">L232*L234</f>
        <v>915.883497805527</v>
      </c>
      <c r="M235" s="208" t="n">
        <f aca="false">M232*M234</f>
        <v>743.87768178278</v>
      </c>
      <c r="N235" s="208" t="n">
        <f aca="false">N232*N234</f>
        <v>510.459963304069</v>
      </c>
      <c r="O235" s="208" t="n">
        <f aca="false">O232*O234</f>
        <v>200.462614215961</v>
      </c>
    </row>
    <row r="236" customFormat="false" ht="15" hidden="false" customHeight="true" outlineLevel="0" collapsed="false">
      <c r="B236" s="91" t="s">
        <v>282</v>
      </c>
      <c r="C236" s="209" t="n">
        <v>1</v>
      </c>
      <c r="E236" s="90" t="s">
        <v>47</v>
      </c>
      <c r="F236" s="211" t="n">
        <f aca="false">F232-F235</f>
        <v>1238.312149737</v>
      </c>
      <c r="G236" s="211" t="n">
        <f aca="false">G232-G235</f>
        <v>1395.45147906174</v>
      </c>
      <c r="H236" s="211" t="n">
        <f aca="false">H232-H235</f>
        <v>1564.54981832869</v>
      </c>
      <c r="I236" s="211" t="n">
        <f aca="false">I232-I235</f>
        <v>1746.13825513842</v>
      </c>
      <c r="J236" s="211" t="n">
        <f aca="false">J232-J235</f>
        <v>1941.19283142428</v>
      </c>
      <c r="K236" s="211" t="n">
        <f aca="false">K232-K235</f>
        <v>2151.43797403933</v>
      </c>
      <c r="L236" s="211" t="n">
        <f aca="false">L232-L235</f>
        <v>2379.81180889013</v>
      </c>
      <c r="M236" s="211" t="n">
        <f aca="false">M232-M235</f>
        <v>2631.2072629675</v>
      </c>
      <c r="N236" s="211" t="n">
        <f aca="false">N232-N235</f>
        <v>2913.71371692041</v>
      </c>
      <c r="O236" s="211" t="n">
        <f aca="false">O232-O235</f>
        <v>3240.83193440964</v>
      </c>
      <c r="P236" s="211" t="n">
        <f aca="false">IF($C$235=1,P232*(1-P234),O236*(1+$C$233))</f>
        <v>3257.03609408169</v>
      </c>
    </row>
    <row r="237" customFormat="false" ht="15" hidden="false" customHeight="true" outlineLevel="0" collapsed="false">
      <c r="B237" s="91" t="s">
        <v>101</v>
      </c>
      <c r="C237" s="96" t="n">
        <f aca="false">SUM(F238:O238)</f>
        <v>14476.5499935888</v>
      </c>
      <c r="E237" s="91" t="s">
        <v>283</v>
      </c>
      <c r="F237" s="212" t="n">
        <f aca="false">DCF!O$71</f>
        <v>0.0347222222222222</v>
      </c>
      <c r="G237" s="212" t="n">
        <f aca="false">DCF!P$71</f>
        <v>0.569444444444444</v>
      </c>
      <c r="H237" s="212" t="n">
        <f aca="false">DCF!Q$71</f>
        <v>1.56944444444444</v>
      </c>
      <c r="I237" s="212" t="n">
        <f aca="false">DCF!R$71</f>
        <v>2.56944444444444</v>
      </c>
      <c r="J237" s="212" t="n">
        <f aca="false">DCF!S$71</f>
        <v>3.56944444444444</v>
      </c>
      <c r="K237" s="212" t="n">
        <f aca="false">DCF!T$71</f>
        <v>4.56944444444445</v>
      </c>
      <c r="L237" s="212" t="n">
        <f aca="false">DCF!U$71</f>
        <v>5.56944444444445</v>
      </c>
      <c r="M237" s="212" t="n">
        <f aca="false">DCF!V$71</f>
        <v>6.56944444444445</v>
      </c>
      <c r="N237" s="212" t="n">
        <f aca="false">DCF!W$71</f>
        <v>7.56944444444445</v>
      </c>
      <c r="O237" s="212" t="n">
        <f aca="false">DCF!X$71</f>
        <v>8.56944444444445</v>
      </c>
    </row>
    <row r="238" customFormat="false" ht="15" hidden="false" customHeight="true" outlineLevel="0" collapsed="false">
      <c r="B238" s="91" t="s">
        <v>99</v>
      </c>
      <c r="C238" s="96" t="n">
        <f aca="false">P236/($C$232-$C$233)</f>
        <v>40292.985457408</v>
      </c>
      <c r="E238" s="91" t="s">
        <v>284</v>
      </c>
      <c r="F238" s="208" t="n">
        <f aca="false">F236/(1+$C$232)^F237</f>
        <v>1234.77648581277</v>
      </c>
      <c r="G238" s="208" t="n">
        <f aca="false">G236/(1+$C$232)^G237</f>
        <v>1331.52550700677</v>
      </c>
      <c r="H238" s="208" t="n">
        <f aca="false">H236/(1+$C$232)^H237</f>
        <v>1374.86729295653</v>
      </c>
      <c r="I238" s="208" t="n">
        <f aca="false">I236/(1+$C$232)^I237</f>
        <v>1413.14473669847</v>
      </c>
      <c r="J238" s="208" t="n">
        <f aca="false">J236/(1+$C$232)^J237</f>
        <v>1446.81609403814</v>
      </c>
      <c r="K238" s="208" t="n">
        <f aca="false">K236/(1+$C$232)^K237</f>
        <v>1476.76066591036</v>
      </c>
      <c r="L238" s="208" t="n">
        <f aca="false">L236/(1+$C$232)^L237</f>
        <v>1504.39033856842</v>
      </c>
      <c r="M238" s="208" t="n">
        <f aca="false">M236/(1+$C$232)^M237</f>
        <v>1531.82662494585</v>
      </c>
      <c r="N238" s="208" t="n">
        <f aca="false">N236/(1+$C$232)^N237</f>
        <v>1562.20515702673</v>
      </c>
      <c r="O238" s="208" t="n">
        <f aca="false">O236/(1+$C$232)^O237</f>
        <v>1600.23709062471</v>
      </c>
    </row>
    <row r="239" customFormat="false" ht="15" hidden="false" customHeight="true" outlineLevel="0" collapsed="false">
      <c r="B239" s="91" t="s">
        <v>100</v>
      </c>
      <c r="C239" s="96" t="n">
        <f aca="false">C238/(1+$C$232)^O237</f>
        <v>19895.6104870313</v>
      </c>
    </row>
    <row r="240" customFormat="false" ht="15" hidden="false" customHeight="true" outlineLevel="0" collapsed="false">
      <c r="B240" s="91" t="s">
        <v>102</v>
      </c>
      <c r="C240" s="96" t="n">
        <f aca="false">C237+C239</f>
        <v>34372.16048062</v>
      </c>
    </row>
    <row r="241" customFormat="false" ht="15" hidden="false" customHeight="true" outlineLevel="0" collapsed="false">
      <c r="B241" s="91" t="s">
        <v>285</v>
      </c>
      <c r="C241" s="96" t="n">
        <f aca="false">C240+$C$9-$C$10</f>
        <v>35272.16048062</v>
      </c>
    </row>
    <row r="242" customFormat="false" ht="15" hidden="false" customHeight="true" outlineLevel="0" collapsed="false">
      <c r="B242" s="205" t="s">
        <v>104</v>
      </c>
      <c r="C242" s="213" t="n">
        <f aca="false">C241/$C$11</f>
        <v>33.0635175108924</v>
      </c>
    </row>
    <row r="243" customFormat="false" ht="15" hidden="false" customHeight="true" outlineLevel="0" collapsed="false">
      <c r="B243" s="91" t="s">
        <v>98</v>
      </c>
      <c r="C243" s="97" t="n">
        <f aca="false">1-P236/P232</f>
        <v>0.0582520941998476</v>
      </c>
    </row>
    <row r="244" customFormat="false" ht="15" hidden="false" customHeight="true" outlineLevel="0" collapsed="false">
      <c r="B244" s="91" t="s">
        <v>286</v>
      </c>
      <c r="C244" s="97" t="n">
        <f aca="false">C239/C240</f>
        <v>0.578829209710253</v>
      </c>
    </row>
    <row r="247" customFormat="false" ht="15" hidden="false" customHeight="true" outlineLevel="0" collapsed="false">
      <c r="B247" s="86" t="s">
        <v>297</v>
      </c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</row>
    <row r="248" customFormat="false" ht="15" hidden="false" customHeight="true" outlineLevel="0" collapsed="false">
      <c r="B248" s="205" t="s">
        <v>272</v>
      </c>
      <c r="C248" s="205" t="s">
        <v>184</v>
      </c>
      <c r="E248" s="205" t="s">
        <v>273</v>
      </c>
      <c r="F248" s="206" t="str">
        <f aca="false">"FY"&amp;RIGHT(DCF!O$38,2)</f>
        <v>FY26</v>
      </c>
      <c r="G248" s="206" t="str">
        <f aca="false">"FY"&amp;RIGHT(DCF!P$38,2)</f>
        <v>FY27</v>
      </c>
      <c r="H248" s="206" t="str">
        <f aca="false">"FY"&amp;RIGHT(DCF!Q$38,2)</f>
        <v>FY28</v>
      </c>
      <c r="I248" s="206" t="str">
        <f aca="false">"FY"&amp;RIGHT(DCF!R$38,2)</f>
        <v>FY29</v>
      </c>
      <c r="J248" s="206" t="str">
        <f aca="false">"FY"&amp;RIGHT(DCF!S$38,2)</f>
        <v>FY30</v>
      </c>
      <c r="K248" s="206" t="str">
        <f aca="false">"FY"&amp;RIGHT(DCF!T$38,2)</f>
        <v>FY31</v>
      </c>
      <c r="L248" s="206" t="str">
        <f aca="false">"FY"&amp;RIGHT(DCF!U$38,2)</f>
        <v>FY32</v>
      </c>
      <c r="M248" s="206" t="str">
        <f aca="false">"FY"&amp;RIGHT(DCF!V$38,2)</f>
        <v>FY33</v>
      </c>
      <c r="N248" s="206" t="str">
        <f aca="false">"FY"&amp;RIGHT(DCF!W$38,2)</f>
        <v>FY34</v>
      </c>
      <c r="O248" s="206" t="str">
        <f aca="false">"FY"&amp;RIGHT(DCF!X$38,2)</f>
        <v>FY35</v>
      </c>
      <c r="P248" s="206" t="s">
        <v>40</v>
      </c>
    </row>
    <row r="249" customFormat="false" ht="15" hidden="false" customHeight="true" outlineLevel="0" collapsed="false">
      <c r="B249" s="91" t="s">
        <v>274</v>
      </c>
      <c r="C249" s="95" t="n">
        <f aca="false">DCF!$L$11</f>
        <v>0.0909</v>
      </c>
      <c r="E249" s="91" t="s">
        <v>275</v>
      </c>
      <c r="F249" s="207" t="n">
        <f aca="false">$C$249</f>
        <v>0.0909</v>
      </c>
      <c r="G249" s="207" t="n">
        <f aca="false">IF($C$253=1,F249-($C$249-$C$252)/$C$12,$C$249)</f>
        <v>0.0819111111111111</v>
      </c>
      <c r="H249" s="207" t="n">
        <f aca="false">IF($C$253=1,G249-($C$249-$C$252)/$C$12,$C$249)</f>
        <v>0.0729222222222222</v>
      </c>
      <c r="I249" s="207" t="n">
        <f aca="false">IF($C$253=1,H249-($C$249-$C$252)/$C$12,$C$249)</f>
        <v>0.0639333333333333</v>
      </c>
      <c r="J249" s="207" t="n">
        <f aca="false">IF($C$253=1,I249-($C$249-$C$252)/$C$12,$C$249)</f>
        <v>0.0549444444444444</v>
      </c>
      <c r="K249" s="207" t="n">
        <f aca="false">IF($C$253=1,J249-($C$249-$C$252)/$C$12,$C$249)</f>
        <v>0.0459555555555555</v>
      </c>
      <c r="L249" s="207" t="n">
        <f aca="false">IF($C$253=1,K249-($C$249-$C$252)/$C$12,$C$249)</f>
        <v>0.0369666666666667</v>
      </c>
      <c r="M249" s="207" t="n">
        <f aca="false">IF($C$253=1,L249-($C$249-$C$252)/$C$12,$C$249)</f>
        <v>0.0279777777777778</v>
      </c>
      <c r="N249" s="207" t="n">
        <f aca="false">IF($C$253=1,M249-($C$249-$C$252)/$C$12,$C$249)</f>
        <v>0.0189888888888889</v>
      </c>
      <c r="O249" s="207" t="n">
        <f aca="false">IF($C$253=1,N249-($C$249-$C$252)/$C$12,$C$249)</f>
        <v>0.00999999999999999</v>
      </c>
    </row>
    <row r="250" customFormat="false" ht="15" hidden="false" customHeight="true" outlineLevel="0" collapsed="false">
      <c r="B250" s="91" t="s">
        <v>276</v>
      </c>
      <c r="C250" s="95" t="n">
        <f aca="false">DCF!$L$13</f>
        <v>0.1722</v>
      </c>
      <c r="E250" s="91" t="s">
        <v>16</v>
      </c>
      <c r="F250" s="208" t="n">
        <f aca="false">$C$8*(1+F249)</f>
        <v>15216.41865</v>
      </c>
      <c r="G250" s="208" t="n">
        <f aca="false">F250*(1+G249)</f>
        <v>16462.8124087533</v>
      </c>
      <c r="H250" s="208" t="n">
        <f aca="false">G250*(1+H249)</f>
        <v>17663.3172736272</v>
      </c>
      <c r="I250" s="208" t="n">
        <f aca="false">H250*(1+I249)</f>
        <v>18792.5920246544</v>
      </c>
      <c r="J250" s="208" t="n">
        <f aca="false">I250*(1+J249)</f>
        <v>19825.1405531202</v>
      </c>
      <c r="K250" s="208" t="n">
        <f aca="false">J250*(1+K249)</f>
        <v>20736.2159012058</v>
      </c>
      <c r="L250" s="208" t="n">
        <f aca="false">K250*(1+L249)</f>
        <v>21502.7646823537</v>
      </c>
      <c r="M250" s="208" t="n">
        <f aca="false">L250*(1+M249)</f>
        <v>22104.3642542444</v>
      </c>
      <c r="N250" s="208" t="n">
        <f aca="false">M250*(1+N249)</f>
        <v>22524.1015710278</v>
      </c>
      <c r="O250" s="208" t="n">
        <f aca="false">N250*(1+O249)</f>
        <v>22749.3425867381</v>
      </c>
    </row>
    <row r="251" customFormat="false" ht="15" hidden="false" customHeight="true" outlineLevel="0" collapsed="false">
      <c r="B251" s="91" t="s">
        <v>21</v>
      </c>
      <c r="C251" s="93" t="n">
        <f aca="false">DCF!$L$16</f>
        <v>0.0858338239797238</v>
      </c>
      <c r="E251" s="91" t="s">
        <v>277</v>
      </c>
      <c r="F251" s="208" t="n">
        <f aca="false">F250*$C$250*(1-$C$4)</f>
        <v>2358.240562377</v>
      </c>
      <c r="G251" s="208" t="n">
        <f aca="false">G250*$C$250*(1-$C$4)</f>
        <v>2551.40666710859</v>
      </c>
      <c r="H251" s="208" t="n">
        <f aca="false">H250*$C$250*(1-$C$4)</f>
        <v>2737.46091106674</v>
      </c>
      <c r="I251" s="208" t="n">
        <f aca="false">I250*$C$250*(1-$C$4)</f>
        <v>2912.47591198094</v>
      </c>
      <c r="J251" s="208" t="n">
        <f aca="false">J250*$C$250*(1-$C$4)</f>
        <v>3072.50028292256</v>
      </c>
      <c r="K251" s="208" t="n">
        <f aca="false">K250*$C$250*(1-$C$4)</f>
        <v>3213.69874036887</v>
      </c>
      <c r="L251" s="208" t="n">
        <f aca="false">L250*$C$250*(1-$C$4)</f>
        <v>3332.49847047117</v>
      </c>
      <c r="M251" s="208" t="n">
        <f aca="false">M250*$C$250*(1-$C$4)</f>
        <v>3425.7343721228</v>
      </c>
      <c r="N251" s="208" t="n">
        <f aca="false">N250*$C$250*(1-$C$4)</f>
        <v>3490.78526147789</v>
      </c>
      <c r="O251" s="208" t="n">
        <f aca="false">O250*$C$250*(1-$C$4)</f>
        <v>3525.69311409267</v>
      </c>
      <c r="P251" s="208" t="n">
        <f aca="false">O251*(1+$C$252)</f>
        <v>3560.95004523359</v>
      </c>
    </row>
    <row r="252" customFormat="false" ht="15" hidden="false" customHeight="true" outlineLevel="0" collapsed="false">
      <c r="B252" s="91" t="s">
        <v>278</v>
      </c>
      <c r="C252" s="95" t="n">
        <f aca="false">DCF!$F$92</f>
        <v>0.01</v>
      </c>
      <c r="E252" s="91" t="s">
        <v>46</v>
      </c>
      <c r="F252" s="207" t="n">
        <f aca="false">$C$249/(($C$6-$C$5+$C$7)/($C$250*(1-$C$4)))</f>
        <v>0.191408722826087</v>
      </c>
      <c r="G252" s="207" t="n">
        <f aca="false">IF($C$255=1,F252-($F252-$C$251)/$C$12,G249/(($C$6-$C$5+$C$7)/($C$250*(1-$C$4))))</f>
        <v>0.179678178509824</v>
      </c>
      <c r="H252" s="207" t="n">
        <f aca="false">IF($C$255=1,G252-($F252-$C$251)/$C$12,H249/(($C$6-$C$5+$C$7)/($C$250*(1-$C$4))))</f>
        <v>0.167947634193562</v>
      </c>
      <c r="I252" s="207" t="n">
        <f aca="false">IF($C$255=1,H252-($F252-$C$251)/$C$12,I249/(($C$6-$C$5+$C$7)/($C$250*(1-$C$4))))</f>
        <v>0.156217089877299</v>
      </c>
      <c r="J252" s="207" t="n">
        <f aca="false">IF($C$255=1,I252-($F252-$C$251)/$C$12,J249/(($C$6-$C$5+$C$7)/($C$250*(1-$C$4))))</f>
        <v>0.144486545561037</v>
      </c>
      <c r="K252" s="207" t="n">
        <f aca="false">IF($C$255=1,J252-($F252-$C$251)/$C$12,K249/(($C$6-$C$5+$C$7)/($C$250*(1-$C$4))))</f>
        <v>0.132756001244774</v>
      </c>
      <c r="L252" s="207" t="n">
        <f aca="false">IF($C$255=1,K252-($F252-$C$251)/$C$12,L249/(($C$6-$C$5+$C$7)/($C$250*(1-$C$4))))</f>
        <v>0.121025456928512</v>
      </c>
      <c r="M252" s="207" t="n">
        <f aca="false">IF($C$255=1,L252-($F252-$C$251)/$C$12,M249/(($C$6-$C$5+$C$7)/($C$250*(1-$C$4))))</f>
        <v>0.109294912612249</v>
      </c>
      <c r="N252" s="207" t="n">
        <f aca="false">IF($C$255=1,M252-($F252-$C$251)/$C$12,N249/(($C$6-$C$5+$C$7)/($C$250*(1-$C$4))))</f>
        <v>0.0975643682959863</v>
      </c>
      <c r="O252" s="207" t="n">
        <f aca="false">IF($C$255=1,N252-($F252-$C$251)/$C$12,O249/(($C$6-$C$5+$C$7)/($C$250*(1-$C$4))))</f>
        <v>0.0858338239797238</v>
      </c>
      <c r="P252" s="207" t="n">
        <f aca="false">$C$251</f>
        <v>0.0858338239797238</v>
      </c>
    </row>
    <row r="253" customFormat="false" ht="15" hidden="false" customHeight="true" outlineLevel="0" collapsed="false">
      <c r="B253" s="91" t="s">
        <v>279</v>
      </c>
      <c r="C253" s="209" t="n">
        <v>1</v>
      </c>
      <c r="E253" s="91" t="s">
        <v>45</v>
      </c>
      <c r="F253" s="210" t="n">
        <f aca="false">IF($C$255=1,F249/F252,(($C$6-$C$5+$C$7)/($C$250*(1-$C$4))))</f>
        <v>0.474899987095109</v>
      </c>
      <c r="G253" s="210" t="n">
        <f aca="false">IF($C$255=1,G249/G252,(($C$6-$C$5+$C$7)/($C$250*(1-$C$4))))</f>
        <v>0.455876789215294</v>
      </c>
      <c r="H253" s="210" t="n">
        <f aca="false">IF($C$255=1,H249/H252,(($C$6-$C$5+$C$7)/($C$250*(1-$C$4))))</f>
        <v>0.434196186045577</v>
      </c>
      <c r="I253" s="210" t="n">
        <f aca="false">IF($C$255=1,I249/I252,(($C$6-$C$5+$C$7)/($C$250*(1-$C$4))))</f>
        <v>0.40925953353471</v>
      </c>
      <c r="J253" s="210" t="n">
        <f aca="false">IF($C$255=1,J249/J252,(($C$6-$C$5+$C$7)/($C$250*(1-$C$4))))</f>
        <v>0.380273777264844</v>
      </c>
      <c r="K253" s="210" t="n">
        <f aca="false">IF($C$255=1,K249/K252,(($C$6-$C$5+$C$7)/($C$250*(1-$C$4))))</f>
        <v>0.346165560311079</v>
      </c>
      <c r="L253" s="210" t="n">
        <f aca="false">IF($C$255=1,L249/L252,(($C$6-$C$5+$C$7)/($C$250*(1-$C$4))))</f>
        <v>0.305445379879892</v>
      </c>
      <c r="M253" s="210" t="n">
        <f aca="false">IF($C$255=1,M249/M252,(($C$6-$C$5+$C$7)/($C$250*(1-$C$4))))</f>
        <v>0.255984264126144</v>
      </c>
      <c r="N253" s="210" t="n">
        <f aca="false">IF($C$255=1,N249/N252,(($C$6-$C$5+$C$7)/($C$250*(1-$C$4))))</f>
        <v>0.194629342869123</v>
      </c>
      <c r="O253" s="210" t="n">
        <f aca="false">IF($C$255=1,O249/O252,(($C$6-$C$5+$C$7)/($C$250*(1-$C$4))))</f>
        <v>0.116504188399695</v>
      </c>
      <c r="P253" s="210" t="n">
        <f aca="false">$C$252/P252</f>
        <v>0.116504188399695</v>
      </c>
    </row>
    <row r="254" customFormat="false" ht="15" hidden="false" customHeight="true" outlineLevel="0" collapsed="false">
      <c r="B254" s="91" t="s">
        <v>280</v>
      </c>
      <c r="C254" s="209" t="n">
        <v>1</v>
      </c>
      <c r="E254" s="91" t="s">
        <v>281</v>
      </c>
      <c r="F254" s="208" t="n">
        <f aca="false">F251*F253</f>
        <v>1119.92841264</v>
      </c>
      <c r="G254" s="208" t="n">
        <f aca="false">G251*G253</f>
        <v>1163.12707938396</v>
      </c>
      <c r="H254" s="208" t="n">
        <f aca="false">H251*H253</f>
        <v>1188.59508703403</v>
      </c>
      <c r="I254" s="208" t="n">
        <f aca="false">I251*I253</f>
        <v>1191.9585331684</v>
      </c>
      <c r="J254" s="208" t="n">
        <f aca="false">J251*J253</f>
        <v>1168.39128823427</v>
      </c>
      <c r="K254" s="208" t="n">
        <f aca="false">K251*K253</f>
        <v>1112.4718251308</v>
      </c>
      <c r="L254" s="208" t="n">
        <f aca="false">L251*L253</f>
        <v>1017.89626126223</v>
      </c>
      <c r="M254" s="208" t="n">
        <f aca="false">M251*M253</f>
        <v>876.934092339494</v>
      </c>
      <c r="N254" s="208" t="n">
        <f aca="false">N251*N253</f>
        <v>679.40924153866</v>
      </c>
      <c r="O254" s="208" t="n">
        <f aca="false">O251*O253</f>
        <v>410.758014803759</v>
      </c>
    </row>
    <row r="255" customFormat="false" ht="15" hidden="false" customHeight="true" outlineLevel="0" collapsed="false">
      <c r="B255" s="91" t="s">
        <v>282</v>
      </c>
      <c r="C255" s="209" t="n">
        <v>1</v>
      </c>
      <c r="E255" s="90" t="s">
        <v>47</v>
      </c>
      <c r="F255" s="211" t="n">
        <f aca="false">F251-F254</f>
        <v>1238.312149737</v>
      </c>
      <c r="G255" s="211" t="n">
        <f aca="false">G251-G254</f>
        <v>1388.27958772463</v>
      </c>
      <c r="H255" s="211" t="n">
        <f aca="false">H251-H254</f>
        <v>1548.86582403271</v>
      </c>
      <c r="I255" s="211" t="n">
        <f aca="false">I251-I254</f>
        <v>1720.51737881254</v>
      </c>
      <c r="J255" s="211" t="n">
        <f aca="false">J251-J254</f>
        <v>1904.1089946883</v>
      </c>
      <c r="K255" s="211" t="n">
        <f aca="false">K251-K254</f>
        <v>2101.22691523807</v>
      </c>
      <c r="L255" s="211" t="n">
        <f aca="false">L251-L254</f>
        <v>2314.60220920895</v>
      </c>
      <c r="M255" s="211" t="n">
        <f aca="false">M251-M254</f>
        <v>2548.80027978331</v>
      </c>
      <c r="N255" s="211" t="n">
        <f aca="false">N251-N254</f>
        <v>2811.37601993923</v>
      </c>
      <c r="O255" s="211" t="n">
        <f aca="false">O251-O254</f>
        <v>3114.93509928891</v>
      </c>
      <c r="P255" s="211" t="n">
        <f aca="false">IF($C$254=1,P251*(1-P253),O255*(1+$C$252))</f>
        <v>3146.0844502818</v>
      </c>
    </row>
    <row r="256" customFormat="false" ht="15" hidden="false" customHeight="true" outlineLevel="0" collapsed="false">
      <c r="B256" s="91" t="s">
        <v>101</v>
      </c>
      <c r="C256" s="96" t="n">
        <f aca="false">SUM(F257:O257)</f>
        <v>14166.8536766156</v>
      </c>
      <c r="E256" s="91" t="s">
        <v>283</v>
      </c>
      <c r="F256" s="212" t="n">
        <f aca="false">DCF!O$71</f>
        <v>0.0347222222222222</v>
      </c>
      <c r="G256" s="212" t="n">
        <f aca="false">DCF!P$71</f>
        <v>0.569444444444444</v>
      </c>
      <c r="H256" s="212" t="n">
        <f aca="false">DCF!Q$71</f>
        <v>1.56944444444444</v>
      </c>
      <c r="I256" s="212" t="n">
        <f aca="false">DCF!R$71</f>
        <v>2.56944444444444</v>
      </c>
      <c r="J256" s="212" t="n">
        <f aca="false">DCF!S$71</f>
        <v>3.56944444444444</v>
      </c>
      <c r="K256" s="212" t="n">
        <f aca="false">DCF!T$71</f>
        <v>4.56944444444445</v>
      </c>
      <c r="L256" s="212" t="n">
        <f aca="false">DCF!U$71</f>
        <v>5.56944444444445</v>
      </c>
      <c r="M256" s="212" t="n">
        <f aca="false">DCF!V$71</f>
        <v>6.56944444444445</v>
      </c>
      <c r="N256" s="212" t="n">
        <f aca="false">DCF!W$71</f>
        <v>7.56944444444445</v>
      </c>
      <c r="O256" s="212" t="n">
        <f aca="false">DCF!X$71</f>
        <v>8.56944444444445</v>
      </c>
    </row>
    <row r="257" customFormat="false" ht="15" hidden="false" customHeight="true" outlineLevel="0" collapsed="false">
      <c r="B257" s="91" t="s">
        <v>99</v>
      </c>
      <c r="C257" s="96" t="n">
        <f aca="false">P255/($C$251-$C$252)</f>
        <v>41486.5594951797</v>
      </c>
      <c r="E257" s="91" t="s">
        <v>284</v>
      </c>
      <c r="F257" s="208" t="n">
        <f aca="false">F255/(1+$C$251)^F256</f>
        <v>1234.77648581277</v>
      </c>
      <c r="G257" s="208" t="n">
        <f aca="false">G255/(1+$C$251)^G256</f>
        <v>1324.68216175821</v>
      </c>
      <c r="H257" s="208" t="n">
        <f aca="false">H255/(1+$C$251)^H256</f>
        <v>1361.084791097</v>
      </c>
      <c r="I257" s="208" t="n">
        <f aca="false">I255/(1+$C$251)^I256</f>
        <v>1392.40983416543</v>
      </c>
      <c r="J257" s="208" t="n">
        <f aca="false">J255/(1+$C$251)^J256</f>
        <v>1419.17664938856</v>
      </c>
      <c r="K257" s="208" t="n">
        <f aca="false">K255/(1+$C$251)^K256</f>
        <v>1442.29547680142</v>
      </c>
      <c r="L257" s="208" t="n">
        <f aca="false">L255/(1+$C$251)^L256</f>
        <v>1463.16830102083</v>
      </c>
      <c r="M257" s="208" t="n">
        <f aca="false">M255/(1+$C$251)^M256</f>
        <v>1483.85122874667</v>
      </c>
      <c r="N257" s="208" t="n">
        <f aca="false">N255/(1+$C$251)^N256</f>
        <v>1507.33618446644</v>
      </c>
      <c r="O257" s="208" t="n">
        <f aca="false">O255/(1+$C$251)^O256</f>
        <v>1538.0725633583</v>
      </c>
    </row>
    <row r="258" customFormat="false" ht="15" hidden="false" customHeight="true" outlineLevel="0" collapsed="false">
      <c r="B258" s="91" t="s">
        <v>100</v>
      </c>
      <c r="C258" s="96" t="n">
        <f aca="false">C257/(1+$C$251)^O256</f>
        <v>20484.9657773718</v>
      </c>
    </row>
    <row r="259" customFormat="false" ht="15" hidden="false" customHeight="true" outlineLevel="0" collapsed="false">
      <c r="B259" s="91" t="s">
        <v>102</v>
      </c>
      <c r="C259" s="96" t="n">
        <f aca="false">C256+C258</f>
        <v>34651.8194539874</v>
      </c>
    </row>
    <row r="260" customFormat="false" ht="15" hidden="false" customHeight="true" outlineLevel="0" collapsed="false">
      <c r="B260" s="91" t="s">
        <v>285</v>
      </c>
      <c r="C260" s="96" t="n">
        <f aca="false">C259+$C$9-$C$10</f>
        <v>35551.8194539874</v>
      </c>
    </row>
    <row r="261" customFormat="false" ht="15" hidden="false" customHeight="true" outlineLevel="0" collapsed="false">
      <c r="B261" s="205" t="s">
        <v>104</v>
      </c>
      <c r="C261" s="213" t="n">
        <f aca="false">C260/$C$11</f>
        <v>33.3256650299845</v>
      </c>
    </row>
    <row r="262" customFormat="false" ht="15" hidden="false" customHeight="true" outlineLevel="0" collapsed="false">
      <c r="B262" s="91" t="s">
        <v>98</v>
      </c>
      <c r="C262" s="97" t="n">
        <f aca="false">1-P255/P251</f>
        <v>0.116504188399695</v>
      </c>
    </row>
    <row r="263" customFormat="false" ht="15" hidden="false" customHeight="true" outlineLevel="0" collapsed="false">
      <c r="B263" s="91" t="s">
        <v>286</v>
      </c>
      <c r="C263" s="97" t="n">
        <f aca="false">C258/C259</f>
        <v>0.59116566172154</v>
      </c>
    </row>
    <row r="266" customFormat="false" ht="15" hidden="false" customHeight="true" outlineLevel="0" collapsed="false">
      <c r="B266" s="86" t="s">
        <v>298</v>
      </c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</row>
    <row r="267" customFormat="false" ht="15" hidden="false" customHeight="true" outlineLevel="0" collapsed="false">
      <c r="B267" s="205" t="s">
        <v>272</v>
      </c>
      <c r="C267" s="205" t="s">
        <v>184</v>
      </c>
      <c r="E267" s="205" t="s">
        <v>273</v>
      </c>
      <c r="F267" s="206" t="str">
        <f aca="false">"FY"&amp;RIGHT(DCF!O$38,2)</f>
        <v>FY26</v>
      </c>
      <c r="G267" s="206" t="str">
        <f aca="false">"FY"&amp;RIGHT(DCF!P$38,2)</f>
        <v>FY27</v>
      </c>
      <c r="H267" s="206" t="str">
        <f aca="false">"FY"&amp;RIGHT(DCF!Q$38,2)</f>
        <v>FY28</v>
      </c>
      <c r="I267" s="206" t="str">
        <f aca="false">"FY"&amp;RIGHT(DCF!R$38,2)</f>
        <v>FY29</v>
      </c>
      <c r="J267" s="206" t="str">
        <f aca="false">"FY"&amp;RIGHT(DCF!S$38,2)</f>
        <v>FY30</v>
      </c>
      <c r="K267" s="206" t="str">
        <f aca="false">"FY"&amp;RIGHT(DCF!T$38,2)</f>
        <v>FY31</v>
      </c>
      <c r="L267" s="206" t="str">
        <f aca="false">"FY"&amp;RIGHT(DCF!U$38,2)</f>
        <v>FY32</v>
      </c>
      <c r="M267" s="206" t="str">
        <f aca="false">"FY"&amp;RIGHT(DCF!V$38,2)</f>
        <v>FY33</v>
      </c>
      <c r="N267" s="206" t="str">
        <f aca="false">"FY"&amp;RIGHT(DCF!W$38,2)</f>
        <v>FY34</v>
      </c>
      <c r="O267" s="206" t="str">
        <f aca="false">"FY"&amp;RIGHT(DCF!X$38,2)</f>
        <v>FY35</v>
      </c>
      <c r="P267" s="206" t="s">
        <v>40</v>
      </c>
    </row>
    <row r="268" customFormat="false" ht="15" hidden="false" customHeight="true" outlineLevel="0" collapsed="false">
      <c r="B268" s="91" t="s">
        <v>274</v>
      </c>
      <c r="C268" s="95" t="n">
        <f aca="false">DCF!$L$11</f>
        <v>0.0909</v>
      </c>
      <c r="E268" s="91" t="s">
        <v>275</v>
      </c>
      <c r="F268" s="207" t="n">
        <f aca="false">$C$268</f>
        <v>0.0909</v>
      </c>
      <c r="G268" s="207" t="n">
        <f aca="false">IF($C$272=1,F268-($C$268-$C$271)/$C$12,$C$268)</f>
        <v>0.0824666666666667</v>
      </c>
      <c r="H268" s="207" t="n">
        <f aca="false">IF($C$272=1,G268-($C$268-$C$271)/$C$12,$C$268)</f>
        <v>0.0740333333333333</v>
      </c>
      <c r="I268" s="207" t="n">
        <f aca="false">IF($C$272=1,H268-($C$268-$C$271)/$C$12,$C$268)</f>
        <v>0.0656</v>
      </c>
      <c r="J268" s="207" t="n">
        <f aca="false">IF($C$272=1,I268-($C$268-$C$271)/$C$12,$C$268)</f>
        <v>0.0571666666666667</v>
      </c>
      <c r="K268" s="207" t="n">
        <f aca="false">IF($C$272=1,J268-($C$268-$C$271)/$C$12,$C$268)</f>
        <v>0.0487333333333333</v>
      </c>
      <c r="L268" s="207" t="n">
        <f aca="false">IF($C$272=1,K268-($C$268-$C$271)/$C$12,$C$268)</f>
        <v>0.0403</v>
      </c>
      <c r="M268" s="207" t="n">
        <f aca="false">IF($C$272=1,L268-($C$268-$C$271)/$C$12,$C$268)</f>
        <v>0.0318666666666667</v>
      </c>
      <c r="N268" s="207" t="n">
        <f aca="false">IF($C$272=1,M268-($C$268-$C$271)/$C$12,$C$268)</f>
        <v>0.0234333333333333</v>
      </c>
      <c r="O268" s="207" t="n">
        <f aca="false">IF($C$272=1,N268-($C$268-$C$271)/$C$12,$C$268)</f>
        <v>0.015</v>
      </c>
    </row>
    <row r="269" customFormat="false" ht="15" hidden="false" customHeight="true" outlineLevel="0" collapsed="false">
      <c r="B269" s="91" t="s">
        <v>276</v>
      </c>
      <c r="C269" s="95" t="n">
        <f aca="false">DCF!$L$13</f>
        <v>0.1722</v>
      </c>
      <c r="E269" s="91" t="s">
        <v>16</v>
      </c>
      <c r="F269" s="208" t="n">
        <f aca="false">$C$8*(1+F268)</f>
        <v>15216.41865</v>
      </c>
      <c r="G269" s="208" t="n">
        <f aca="false">F269*(1+G268)</f>
        <v>16471.26597467</v>
      </c>
      <c r="H269" s="208" t="n">
        <f aca="false">G269*(1+H268)</f>
        <v>17690.6886989947</v>
      </c>
      <c r="I269" s="208" t="n">
        <f aca="false">H269*(1+I268)</f>
        <v>18851.1978776488</v>
      </c>
      <c r="J269" s="208" t="n">
        <f aca="false">I269*(1+J268)</f>
        <v>19928.8580229877</v>
      </c>
      <c r="K269" s="208" t="n">
        <f aca="false">J269*(1+K268)</f>
        <v>20900.0577039746</v>
      </c>
      <c r="L269" s="208" t="n">
        <f aca="false">K269*(1+L268)</f>
        <v>21742.3300294448</v>
      </c>
      <c r="M269" s="208" t="n">
        <f aca="false">L269*(1+M268)</f>
        <v>22435.1856130498</v>
      </c>
      <c r="N269" s="208" t="n">
        <f aca="false">M269*(1+N268)</f>
        <v>22960.9167959156</v>
      </c>
      <c r="O269" s="208" t="n">
        <f aca="false">N269*(1+O268)</f>
        <v>23305.3305478543</v>
      </c>
    </row>
    <row r="270" customFormat="false" ht="15" hidden="false" customHeight="true" outlineLevel="0" collapsed="false">
      <c r="B270" s="91" t="s">
        <v>21</v>
      </c>
      <c r="C270" s="93" t="n">
        <f aca="false">DCF!$L$16</f>
        <v>0.0858338239797238</v>
      </c>
      <c r="E270" s="91" t="s">
        <v>277</v>
      </c>
      <c r="F270" s="208" t="n">
        <f aca="false">F269*$C$269*(1-$C$4)</f>
        <v>2358.240562377</v>
      </c>
      <c r="G270" s="208" t="n">
        <f aca="false">G269*$C$269*(1-$C$4)</f>
        <v>2552.71680075436</v>
      </c>
      <c r="H270" s="208" t="n">
        <f aca="false">H269*$C$269*(1-$C$4)</f>
        <v>2741.7029345702</v>
      </c>
      <c r="I270" s="208" t="n">
        <f aca="false">I269*$C$269*(1-$C$4)</f>
        <v>2921.55864707801</v>
      </c>
      <c r="J270" s="208" t="n">
        <f aca="false">J269*$C$269*(1-$C$4)</f>
        <v>3088.57441640264</v>
      </c>
      <c r="K270" s="208" t="n">
        <f aca="false">K269*$C$269*(1-$C$4)</f>
        <v>3239.09094296199</v>
      </c>
      <c r="L270" s="208" t="n">
        <f aca="false">L269*$C$269*(1-$C$4)</f>
        <v>3369.62630796336</v>
      </c>
      <c r="M270" s="208" t="n">
        <f aca="false">M269*$C$269*(1-$C$4)</f>
        <v>3477.00506631046</v>
      </c>
      <c r="N270" s="208" t="n">
        <f aca="false">N269*$C$269*(1-$C$4)</f>
        <v>3558.482885031</v>
      </c>
      <c r="O270" s="208" t="n">
        <f aca="false">O269*$C$269*(1-$C$4)</f>
        <v>3611.86012830646</v>
      </c>
      <c r="P270" s="208" t="n">
        <f aca="false">O270*(1+$C$271)</f>
        <v>3666.03803023106</v>
      </c>
    </row>
    <row r="271" customFormat="false" ht="15" hidden="false" customHeight="true" outlineLevel="0" collapsed="false">
      <c r="B271" s="91" t="s">
        <v>278</v>
      </c>
      <c r="C271" s="95" t="n">
        <f aca="false">DCF!$H$92</f>
        <v>0.015</v>
      </c>
      <c r="E271" s="91" t="s">
        <v>46</v>
      </c>
      <c r="F271" s="207" t="n">
        <f aca="false">$C$268/(($C$6-$C$5+$C$7)/($C$269*(1-$C$4)))</f>
        <v>0.191408722826087</v>
      </c>
      <c r="G271" s="207" t="n">
        <f aca="false">IF($C$274=1,F271-($F271-$C$270)/$C$12,G268/(($C$6-$C$5+$C$7)/($C$269*(1-$C$4))))</f>
        <v>0.179678178509824</v>
      </c>
      <c r="H271" s="207" t="n">
        <f aca="false">IF($C$274=1,G271-($F271-$C$270)/$C$12,H268/(($C$6-$C$5+$C$7)/($C$269*(1-$C$4))))</f>
        <v>0.167947634193562</v>
      </c>
      <c r="I271" s="207" t="n">
        <f aca="false">IF($C$274=1,H271-($F271-$C$270)/$C$12,I268/(($C$6-$C$5+$C$7)/($C$269*(1-$C$4))))</f>
        <v>0.156217089877299</v>
      </c>
      <c r="J271" s="207" t="n">
        <f aca="false">IF($C$274=1,I271-($F271-$C$270)/$C$12,J268/(($C$6-$C$5+$C$7)/($C$269*(1-$C$4))))</f>
        <v>0.144486545561037</v>
      </c>
      <c r="K271" s="207" t="n">
        <f aca="false">IF($C$274=1,J271-($F271-$C$270)/$C$12,K268/(($C$6-$C$5+$C$7)/($C$269*(1-$C$4))))</f>
        <v>0.132756001244774</v>
      </c>
      <c r="L271" s="207" t="n">
        <f aca="false">IF($C$274=1,K271-($F271-$C$270)/$C$12,L268/(($C$6-$C$5+$C$7)/($C$269*(1-$C$4))))</f>
        <v>0.121025456928512</v>
      </c>
      <c r="M271" s="207" t="n">
        <f aca="false">IF($C$274=1,L271-($F271-$C$270)/$C$12,M268/(($C$6-$C$5+$C$7)/($C$269*(1-$C$4))))</f>
        <v>0.109294912612249</v>
      </c>
      <c r="N271" s="207" t="n">
        <f aca="false">IF($C$274=1,M271-($F271-$C$270)/$C$12,N268/(($C$6-$C$5+$C$7)/($C$269*(1-$C$4))))</f>
        <v>0.0975643682959863</v>
      </c>
      <c r="O271" s="207" t="n">
        <f aca="false">IF($C$274=1,N271-($F271-$C$270)/$C$12,O268/(($C$6-$C$5+$C$7)/($C$269*(1-$C$4))))</f>
        <v>0.0858338239797238</v>
      </c>
      <c r="P271" s="207" t="n">
        <f aca="false">$C$270</f>
        <v>0.0858338239797238</v>
      </c>
    </row>
    <row r="272" customFormat="false" ht="15" hidden="false" customHeight="true" outlineLevel="0" collapsed="false">
      <c r="B272" s="91" t="s">
        <v>279</v>
      </c>
      <c r="C272" s="209" t="n">
        <v>1</v>
      </c>
      <c r="E272" s="91" t="s">
        <v>45</v>
      </c>
      <c r="F272" s="210" t="n">
        <f aca="false">IF($C$274=1,F268/F271,(($C$6-$C$5+$C$7)/($C$269*(1-$C$4))))</f>
        <v>0.474899987095109</v>
      </c>
      <c r="G272" s="210" t="n">
        <f aca="false">IF($C$274=1,G268/G271,(($C$6-$C$5+$C$7)/($C$269*(1-$C$4))))</f>
        <v>0.458968737053162</v>
      </c>
      <c r="H272" s="210" t="n">
        <f aca="false">IF($C$274=1,H268/H271,(($C$6-$C$5+$C$7)/($C$269*(1-$C$4))))</f>
        <v>0.440812004818174</v>
      </c>
      <c r="I272" s="210" t="n">
        <f aca="false">IF($C$274=1,I268/I271,(($C$6-$C$5+$C$7)/($C$269*(1-$C$4))))</f>
        <v>0.419928447339056</v>
      </c>
      <c r="J272" s="210" t="n">
        <f aca="false">IF($C$274=1,J268/J271,(($C$6-$C$5+$C$7)/($C$269*(1-$C$4))))</f>
        <v>0.395653909813473</v>
      </c>
      <c r="K272" s="210" t="n">
        <f aca="false">IF($C$274=1,K268/K271,(($C$6-$C$5+$C$7)/($C$269*(1-$C$4))))</f>
        <v>0.3670894940823</v>
      </c>
      <c r="L272" s="210" t="n">
        <f aca="false">IF($C$274=1,L268/L271,(($C$6-$C$5+$C$7)/($C$269*(1-$C$4))))</f>
        <v>0.332987794657159</v>
      </c>
      <c r="M272" s="210" t="n">
        <f aca="false">IF($C$274=1,M268/M271,(($C$6-$C$5+$C$7)/($C$269*(1-$C$4))))</f>
        <v>0.291565873516196</v>
      </c>
      <c r="N272" s="210" t="n">
        <f aca="false">IF($C$274=1,N268/N271,(($C$6-$C$5+$C$7)/($C$269*(1-$C$4))))</f>
        <v>0.24018331428378</v>
      </c>
      <c r="O272" s="210" t="n">
        <f aca="false">IF($C$274=1,O268/O271,(($C$6-$C$5+$C$7)/($C$269*(1-$C$4))))</f>
        <v>0.174756282599542</v>
      </c>
      <c r="P272" s="210" t="n">
        <f aca="false">$C$271/P271</f>
        <v>0.174756282599543</v>
      </c>
    </row>
    <row r="273" customFormat="false" ht="15" hidden="false" customHeight="true" outlineLevel="0" collapsed="false">
      <c r="B273" s="91" t="s">
        <v>280</v>
      </c>
      <c r="C273" s="209" t="n">
        <v>1</v>
      </c>
      <c r="E273" s="91" t="s">
        <v>281</v>
      </c>
      <c r="F273" s="208" t="n">
        <f aca="false">F270*F272</f>
        <v>1119.92841264</v>
      </c>
      <c r="G273" s="208" t="n">
        <f aca="false">G270*G272</f>
        <v>1171.61720609661</v>
      </c>
      <c r="H273" s="208" t="n">
        <f aca="false">H270*H272</f>
        <v>1208.57556720376</v>
      </c>
      <c r="I273" s="208" t="n">
        <f aca="false">I270*I272</f>
        <v>1226.84558647746</v>
      </c>
      <c r="J273" s="208" t="n">
        <f aca="false">J270*J272</f>
        <v>1222.00654359957</v>
      </c>
      <c r="K273" s="208" t="n">
        <f aca="false">K270*K272</f>
        <v>1189.03625553848</v>
      </c>
      <c r="L273" s="208" t="n">
        <f aca="false">L270*L272</f>
        <v>1122.04443310746</v>
      </c>
      <c r="M273" s="208" t="n">
        <f aca="false">M270*M272</f>
        <v>1013.77601937905</v>
      </c>
      <c r="N273" s="208" t="n">
        <f aca="false">N270*N272</f>
        <v>854.688213148852</v>
      </c>
      <c r="O273" s="208" t="n">
        <f aca="false">O270*O272</f>
        <v>631.195249292344</v>
      </c>
    </row>
    <row r="274" customFormat="false" ht="15" hidden="false" customHeight="true" outlineLevel="0" collapsed="false">
      <c r="B274" s="91" t="s">
        <v>282</v>
      </c>
      <c r="C274" s="209" t="n">
        <v>1</v>
      </c>
      <c r="E274" s="90" t="s">
        <v>47</v>
      </c>
      <c r="F274" s="211" t="n">
        <f aca="false">F270-F273</f>
        <v>1238.312149737</v>
      </c>
      <c r="G274" s="211" t="n">
        <f aca="false">G270-G273</f>
        <v>1381.09959465774</v>
      </c>
      <c r="H274" s="211" t="n">
        <f aca="false">H270-H273</f>
        <v>1533.12736736644</v>
      </c>
      <c r="I274" s="211" t="n">
        <f aca="false">I270-I273</f>
        <v>1694.71306060055</v>
      </c>
      <c r="J274" s="211" t="n">
        <f aca="false">J270-J273</f>
        <v>1866.56787280307</v>
      </c>
      <c r="K274" s="211" t="n">
        <f aca="false">K270-K273</f>
        <v>2050.05468742351</v>
      </c>
      <c r="L274" s="211" t="n">
        <f aca="false">L270-L273</f>
        <v>2247.5818748559</v>
      </c>
      <c r="M274" s="211" t="n">
        <f aca="false">M270-M273</f>
        <v>2463.22904693141</v>
      </c>
      <c r="N274" s="211" t="n">
        <f aca="false">N270-N273</f>
        <v>2703.79467188215</v>
      </c>
      <c r="O274" s="211" t="n">
        <f aca="false">O270-O273</f>
        <v>2980.66487901412</v>
      </c>
      <c r="P274" s="211" t="n">
        <f aca="false">IF($C$273=1,P270*(1-P272),O274*(1+$C$271))</f>
        <v>3025.37485219933</v>
      </c>
    </row>
    <row r="275" customFormat="false" ht="15" hidden="false" customHeight="true" outlineLevel="0" collapsed="false">
      <c r="B275" s="91" t="s">
        <v>101</v>
      </c>
      <c r="C275" s="96" t="n">
        <f aca="false">SUM(F276:O276)</f>
        <v>13846.0199602466</v>
      </c>
      <c r="E275" s="91" t="s">
        <v>283</v>
      </c>
      <c r="F275" s="212" t="n">
        <f aca="false">DCF!O$71</f>
        <v>0.0347222222222222</v>
      </c>
      <c r="G275" s="212" t="n">
        <f aca="false">DCF!P$71</f>
        <v>0.569444444444444</v>
      </c>
      <c r="H275" s="212" t="n">
        <f aca="false">DCF!Q$71</f>
        <v>1.56944444444444</v>
      </c>
      <c r="I275" s="212" t="n">
        <f aca="false">DCF!R$71</f>
        <v>2.56944444444444</v>
      </c>
      <c r="J275" s="212" t="n">
        <f aca="false">DCF!S$71</f>
        <v>3.56944444444444</v>
      </c>
      <c r="K275" s="212" t="n">
        <f aca="false">DCF!T$71</f>
        <v>4.56944444444445</v>
      </c>
      <c r="L275" s="212" t="n">
        <f aca="false">DCF!U$71</f>
        <v>5.56944444444445</v>
      </c>
      <c r="M275" s="212" t="n">
        <f aca="false">DCF!V$71</f>
        <v>6.56944444444445</v>
      </c>
      <c r="N275" s="212" t="n">
        <f aca="false">DCF!W$71</f>
        <v>7.56944444444445</v>
      </c>
      <c r="O275" s="212" t="n">
        <f aca="false">DCF!X$71</f>
        <v>8.56944444444445</v>
      </c>
    </row>
    <row r="276" customFormat="false" ht="15" hidden="false" customHeight="true" outlineLevel="0" collapsed="false">
      <c r="B276" s="91" t="s">
        <v>99</v>
      </c>
      <c r="C276" s="96" t="n">
        <f aca="false">P274/($C$270-$C$271)</f>
        <v>42710.8785354486</v>
      </c>
      <c r="E276" s="91" t="s">
        <v>284</v>
      </c>
      <c r="F276" s="208" t="n">
        <f aca="false">F274/(1+$C$270)^F275</f>
        <v>1234.77648581277</v>
      </c>
      <c r="G276" s="208" t="n">
        <f aca="false">G274/(1+$C$270)^G275</f>
        <v>1317.83108592208</v>
      </c>
      <c r="H276" s="208" t="n">
        <f aca="false">H274/(1+$C$270)^H275</f>
        <v>1347.25442976329</v>
      </c>
      <c r="I276" s="208" t="n">
        <f aca="false">I274/(1+$C$270)^I275</f>
        <v>1371.52647263431</v>
      </c>
      <c r="J276" s="208" t="n">
        <f aca="false">J274/(1+$C$270)^J275</f>
        <v>1391.19637949855</v>
      </c>
      <c r="K276" s="208" t="n">
        <f aca="false">K274/(1+$C$270)^K275</f>
        <v>1407.17053518776</v>
      </c>
      <c r="L276" s="208" t="n">
        <f aca="false">L274/(1+$C$270)^L275</f>
        <v>1420.8016134064</v>
      </c>
      <c r="M276" s="208" t="n">
        <f aca="false">M274/(1+$C$270)^M275</f>
        <v>1434.03368124411</v>
      </c>
      <c r="N276" s="208" t="n">
        <f aca="false">N274/(1+$C$270)^N275</f>
        <v>1449.65579680217</v>
      </c>
      <c r="O276" s="208" t="n">
        <f aca="false">O274/(1+$C$270)^O275</f>
        <v>1471.77347997519</v>
      </c>
    </row>
    <row r="277" customFormat="false" ht="15" hidden="false" customHeight="true" outlineLevel="0" collapsed="false">
      <c r="B277" s="91" t="s">
        <v>100</v>
      </c>
      <c r="C277" s="96" t="n">
        <f aca="false">C276/(1+$C$270)^O275</f>
        <v>21089.5021367536</v>
      </c>
    </row>
    <row r="278" customFormat="false" ht="15" hidden="false" customHeight="true" outlineLevel="0" collapsed="false">
      <c r="B278" s="91" t="s">
        <v>102</v>
      </c>
      <c r="C278" s="96" t="n">
        <f aca="false">C275+C277</f>
        <v>34935.5220970003</v>
      </c>
    </row>
    <row r="279" customFormat="false" ht="15" hidden="false" customHeight="true" outlineLevel="0" collapsed="false">
      <c r="B279" s="91" t="s">
        <v>285</v>
      </c>
      <c r="C279" s="96" t="n">
        <f aca="false">C278+$C$9-$C$10</f>
        <v>35835.5220970003</v>
      </c>
    </row>
    <row r="280" customFormat="false" ht="15" hidden="false" customHeight="true" outlineLevel="0" collapsed="false">
      <c r="B280" s="205" t="s">
        <v>104</v>
      </c>
      <c r="C280" s="213" t="n">
        <f aca="false">C279/$C$11</f>
        <v>33.5916030155608</v>
      </c>
    </row>
    <row r="281" customFormat="false" ht="15" hidden="false" customHeight="true" outlineLevel="0" collapsed="false">
      <c r="B281" s="91" t="s">
        <v>98</v>
      </c>
      <c r="C281" s="97" t="n">
        <f aca="false">1-P274/P270</f>
        <v>0.174756282599543</v>
      </c>
    </row>
    <row r="282" customFormat="false" ht="15" hidden="false" customHeight="true" outlineLevel="0" collapsed="false">
      <c r="B282" s="91" t="s">
        <v>286</v>
      </c>
      <c r="C282" s="97" t="n">
        <f aca="false">C277/C278</f>
        <v>0.603669299064647</v>
      </c>
    </row>
    <row r="285" customFormat="false" ht="15" hidden="false" customHeight="true" outlineLevel="0" collapsed="false">
      <c r="B285" s="86" t="s">
        <v>299</v>
      </c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</row>
    <row r="286" customFormat="false" ht="15" hidden="false" customHeight="true" outlineLevel="0" collapsed="false">
      <c r="B286" s="205" t="s">
        <v>272</v>
      </c>
      <c r="C286" s="205" t="s">
        <v>184</v>
      </c>
      <c r="E286" s="205" t="s">
        <v>273</v>
      </c>
      <c r="F286" s="206" t="str">
        <f aca="false">"FY"&amp;RIGHT(DCF!O$38,2)</f>
        <v>FY26</v>
      </c>
      <c r="G286" s="206" t="str">
        <f aca="false">"FY"&amp;RIGHT(DCF!P$38,2)</f>
        <v>FY27</v>
      </c>
      <c r="H286" s="206" t="str">
        <f aca="false">"FY"&amp;RIGHT(DCF!Q$38,2)</f>
        <v>FY28</v>
      </c>
      <c r="I286" s="206" t="str">
        <f aca="false">"FY"&amp;RIGHT(DCF!R$38,2)</f>
        <v>FY29</v>
      </c>
      <c r="J286" s="206" t="str">
        <f aca="false">"FY"&amp;RIGHT(DCF!S$38,2)</f>
        <v>FY30</v>
      </c>
      <c r="K286" s="206" t="str">
        <f aca="false">"FY"&amp;RIGHT(DCF!T$38,2)</f>
        <v>FY31</v>
      </c>
      <c r="L286" s="206" t="str">
        <f aca="false">"FY"&amp;RIGHT(DCF!U$38,2)</f>
        <v>FY32</v>
      </c>
      <c r="M286" s="206" t="str">
        <f aca="false">"FY"&amp;RIGHT(DCF!V$38,2)</f>
        <v>FY33</v>
      </c>
      <c r="N286" s="206" t="str">
        <f aca="false">"FY"&amp;RIGHT(DCF!W$38,2)</f>
        <v>FY34</v>
      </c>
      <c r="O286" s="206" t="str">
        <f aca="false">"FY"&amp;RIGHT(DCF!X$38,2)</f>
        <v>FY35</v>
      </c>
      <c r="P286" s="206" t="s">
        <v>40</v>
      </c>
    </row>
    <row r="287" customFormat="false" ht="15" hidden="false" customHeight="true" outlineLevel="0" collapsed="false">
      <c r="B287" s="91" t="s">
        <v>274</v>
      </c>
      <c r="C287" s="95" t="n">
        <f aca="false">DCF!$L$11</f>
        <v>0.0909</v>
      </c>
      <c r="E287" s="91" t="s">
        <v>275</v>
      </c>
      <c r="F287" s="207" t="n">
        <f aca="false">$C$287</f>
        <v>0.0909</v>
      </c>
      <c r="G287" s="207" t="n">
        <f aca="false">IF($C$291=1,F287-($C$287-$C$290)/$C$12,$C$287)</f>
        <v>0.0830222222222222</v>
      </c>
      <c r="H287" s="207" t="n">
        <f aca="false">IF($C$291=1,G287-($C$287-$C$290)/$C$12,$C$287)</f>
        <v>0.0751444444444444</v>
      </c>
      <c r="I287" s="207" t="n">
        <f aca="false">IF($C$291=1,H287-($C$287-$C$290)/$C$12,$C$287)</f>
        <v>0.0672666666666667</v>
      </c>
      <c r="J287" s="207" t="n">
        <f aca="false">IF($C$291=1,I287-($C$287-$C$290)/$C$12,$C$287)</f>
        <v>0.0593888888888889</v>
      </c>
      <c r="K287" s="207" t="n">
        <f aca="false">IF($C$291=1,J287-($C$287-$C$290)/$C$12,$C$287)</f>
        <v>0.0515111111111111</v>
      </c>
      <c r="L287" s="207" t="n">
        <f aca="false">IF($C$291=1,K287-($C$287-$C$290)/$C$12,$C$287)</f>
        <v>0.0436333333333333</v>
      </c>
      <c r="M287" s="207" t="n">
        <f aca="false">IF($C$291=1,L287-($C$287-$C$290)/$C$12,$C$287)</f>
        <v>0.0357555555555556</v>
      </c>
      <c r="N287" s="207" t="n">
        <f aca="false">IF($C$291=1,M287-($C$287-$C$290)/$C$12,$C$287)</f>
        <v>0.0278777777777778</v>
      </c>
      <c r="O287" s="207" t="n">
        <f aca="false">IF($C$291=1,N287-($C$287-$C$290)/$C$12,$C$287)</f>
        <v>0.02</v>
      </c>
    </row>
    <row r="288" customFormat="false" ht="15" hidden="false" customHeight="true" outlineLevel="0" collapsed="false">
      <c r="B288" s="91" t="s">
        <v>276</v>
      </c>
      <c r="C288" s="95" t="n">
        <f aca="false">DCF!$L$13</f>
        <v>0.1722</v>
      </c>
      <c r="E288" s="91" t="s">
        <v>16</v>
      </c>
      <c r="F288" s="208" t="n">
        <f aca="false">$C$8*(1+F287)</f>
        <v>15216.41865</v>
      </c>
      <c r="G288" s="208" t="n">
        <f aca="false">F288*(1+G287)</f>
        <v>16479.7195405867</v>
      </c>
      <c r="H288" s="208" t="n">
        <f aca="false">G288*(1+H287)</f>
        <v>17718.0789100643</v>
      </c>
      <c r="I288" s="208" t="n">
        <f aca="false">H288*(1+I287)</f>
        <v>18909.9150180813</v>
      </c>
      <c r="J288" s="208" t="n">
        <f aca="false">I288*(1+J287)</f>
        <v>20032.9538599885</v>
      </c>
      <c r="K288" s="208" t="n">
        <f aca="false">J288*(1+K287)</f>
        <v>21064.8735721541</v>
      </c>
      <c r="L288" s="208" t="n">
        <f aca="false">K288*(1+L287)</f>
        <v>21984.0042223524</v>
      </c>
      <c r="M288" s="208" t="n">
        <f aca="false">L288*(1+M287)</f>
        <v>22770.0545066583</v>
      </c>
      <c r="N288" s="208" t="n">
        <f aca="false">M288*(1+N287)</f>
        <v>23404.8330261828</v>
      </c>
      <c r="O288" s="208" t="n">
        <f aca="false">N288*(1+O287)</f>
        <v>23872.9296867065</v>
      </c>
    </row>
    <row r="289" customFormat="false" ht="15" hidden="false" customHeight="true" outlineLevel="0" collapsed="false">
      <c r="B289" s="91" t="s">
        <v>21</v>
      </c>
      <c r="C289" s="93" t="n">
        <f aca="false">DCF!$L$16</f>
        <v>0.0858338239797238</v>
      </c>
      <c r="E289" s="91" t="s">
        <v>277</v>
      </c>
      <c r="F289" s="208" t="n">
        <f aca="false">F288*$C$288*(1-$C$4)</f>
        <v>2358.240562377</v>
      </c>
      <c r="G289" s="208" t="n">
        <f aca="false">G288*$C$288*(1-$C$4)</f>
        <v>2554.02693440012</v>
      </c>
      <c r="H289" s="208" t="n">
        <f aca="false">H288*$C$288*(1-$C$4)</f>
        <v>2745.94786948177</v>
      </c>
      <c r="I289" s="208" t="n">
        <f aca="false">I288*$C$288*(1-$C$4)</f>
        <v>2930.65862950224</v>
      </c>
      <c r="J289" s="208" t="n">
        <f aca="false">J288*$C$288*(1-$C$4)</f>
        <v>3104.70718922101</v>
      </c>
      <c r="K289" s="208" t="n">
        <f aca="false">K288*$C$288*(1-$C$4)</f>
        <v>3264.63410621244</v>
      </c>
      <c r="L289" s="208" t="n">
        <f aca="false">L288*$C$288*(1-$C$4)</f>
        <v>3407.08097438018</v>
      </c>
      <c r="M289" s="208" t="n">
        <f aca="false">M288*$C$288*(1-$C$4)</f>
        <v>3528.9030474419</v>
      </c>
      <c r="N289" s="208" t="n">
        <f aca="false">N288*$C$288*(1-$C$4)</f>
        <v>3627.28102239781</v>
      </c>
      <c r="O289" s="208" t="n">
        <f aca="false">O288*$C$288*(1-$C$4)</f>
        <v>3699.82664284577</v>
      </c>
      <c r="P289" s="208" t="n">
        <f aca="false">O289*(1+$C$290)</f>
        <v>3773.82317570268</v>
      </c>
    </row>
    <row r="290" customFormat="false" ht="15" hidden="false" customHeight="true" outlineLevel="0" collapsed="false">
      <c r="B290" s="91" t="s">
        <v>278</v>
      </c>
      <c r="C290" s="95" t="n">
        <f aca="false">DCF!$J$92</f>
        <v>0.02</v>
      </c>
      <c r="E290" s="91" t="s">
        <v>46</v>
      </c>
      <c r="F290" s="207" t="n">
        <f aca="false">$C$287/(($C$6-$C$5+$C$7)/($C$288*(1-$C$4)))</f>
        <v>0.191408722826087</v>
      </c>
      <c r="G290" s="207" t="n">
        <f aca="false">IF($C$293=1,F290-($F290-$C$289)/$C$12,G287/(($C$6-$C$5+$C$7)/($C$288*(1-$C$4))))</f>
        <v>0.179678178509824</v>
      </c>
      <c r="H290" s="207" t="n">
        <f aca="false">IF($C$293=1,G290-($F290-$C$289)/$C$12,H287/(($C$6-$C$5+$C$7)/($C$288*(1-$C$4))))</f>
        <v>0.167947634193562</v>
      </c>
      <c r="I290" s="207" t="n">
        <f aca="false">IF($C$293=1,H290-($F290-$C$289)/$C$12,I287/(($C$6-$C$5+$C$7)/($C$288*(1-$C$4))))</f>
        <v>0.156217089877299</v>
      </c>
      <c r="J290" s="207" t="n">
        <f aca="false">IF($C$293=1,I290-($F290-$C$289)/$C$12,J287/(($C$6-$C$5+$C$7)/($C$288*(1-$C$4))))</f>
        <v>0.144486545561037</v>
      </c>
      <c r="K290" s="207" t="n">
        <f aca="false">IF($C$293=1,J290-($F290-$C$289)/$C$12,K287/(($C$6-$C$5+$C$7)/($C$288*(1-$C$4))))</f>
        <v>0.132756001244774</v>
      </c>
      <c r="L290" s="207" t="n">
        <f aca="false">IF($C$293=1,K290-($F290-$C$289)/$C$12,L287/(($C$6-$C$5+$C$7)/($C$288*(1-$C$4))))</f>
        <v>0.121025456928512</v>
      </c>
      <c r="M290" s="207" t="n">
        <f aca="false">IF($C$293=1,L290-($F290-$C$289)/$C$12,M287/(($C$6-$C$5+$C$7)/($C$288*(1-$C$4))))</f>
        <v>0.109294912612249</v>
      </c>
      <c r="N290" s="207" t="n">
        <f aca="false">IF($C$293=1,M290-($F290-$C$289)/$C$12,N287/(($C$6-$C$5+$C$7)/($C$288*(1-$C$4))))</f>
        <v>0.0975643682959863</v>
      </c>
      <c r="O290" s="207" t="n">
        <f aca="false">IF($C$293=1,N290-($F290-$C$289)/$C$12,O287/(($C$6-$C$5+$C$7)/($C$288*(1-$C$4))))</f>
        <v>0.0858338239797238</v>
      </c>
      <c r="P290" s="207" t="n">
        <f aca="false">$C$289</f>
        <v>0.0858338239797238</v>
      </c>
    </row>
    <row r="291" customFormat="false" ht="15" hidden="false" customHeight="true" outlineLevel="0" collapsed="false">
      <c r="B291" s="91" t="s">
        <v>279</v>
      </c>
      <c r="C291" s="209" t="n">
        <v>1</v>
      </c>
      <c r="E291" s="91" t="s">
        <v>45</v>
      </c>
      <c r="F291" s="210" t="n">
        <f aca="false">IF($C$293=1,F287/F290,(($C$6-$C$5+$C$7)/($C$288*(1-$C$4))))</f>
        <v>0.474899987095109</v>
      </c>
      <c r="G291" s="210" t="n">
        <f aca="false">IF($C$293=1,G287/G290,(($C$6-$C$5+$C$7)/($C$288*(1-$C$4))))</f>
        <v>0.46206068489103</v>
      </c>
      <c r="H291" s="210" t="n">
        <f aca="false">IF($C$293=1,H287/H290,(($C$6-$C$5+$C$7)/($C$288*(1-$C$4))))</f>
        <v>0.447427823590772</v>
      </c>
      <c r="I291" s="210" t="n">
        <f aca="false">IF($C$293=1,I287/I290,(($C$6-$C$5+$C$7)/($C$288*(1-$C$4))))</f>
        <v>0.430597361143402</v>
      </c>
      <c r="J291" s="210" t="n">
        <f aca="false">IF($C$293=1,J287/J290,(($C$6-$C$5+$C$7)/($C$288*(1-$C$4))))</f>
        <v>0.411034042362102</v>
      </c>
      <c r="K291" s="210" t="n">
        <f aca="false">IF($C$293=1,K287/K290,(($C$6-$C$5+$C$7)/($C$288*(1-$C$4))))</f>
        <v>0.388013427853521</v>
      </c>
      <c r="L291" s="210" t="n">
        <f aca="false">IF($C$293=1,L287/L290,(($C$6-$C$5+$C$7)/($C$288*(1-$C$4))))</f>
        <v>0.360530209434426</v>
      </c>
      <c r="M291" s="210" t="n">
        <f aca="false">IF($C$293=1,M287/M290,(($C$6-$C$5+$C$7)/($C$288*(1-$C$4))))</f>
        <v>0.327147482906248</v>
      </c>
      <c r="N291" s="210" t="n">
        <f aca="false">IF($C$293=1,N287/N290,(($C$6-$C$5+$C$7)/($C$288*(1-$C$4))))</f>
        <v>0.285737285698437</v>
      </c>
      <c r="O291" s="210" t="n">
        <f aca="false">IF($C$293=1,O287/O290,(($C$6-$C$5+$C$7)/($C$288*(1-$C$4))))</f>
        <v>0.23300837679939</v>
      </c>
      <c r="P291" s="210" t="n">
        <f aca="false">$C$290/P290</f>
        <v>0.23300837679939</v>
      </c>
    </row>
    <row r="292" customFormat="false" ht="15" hidden="false" customHeight="true" outlineLevel="0" collapsed="false">
      <c r="B292" s="91" t="s">
        <v>280</v>
      </c>
      <c r="C292" s="209" t="n">
        <v>1</v>
      </c>
      <c r="E292" s="91" t="s">
        <v>281</v>
      </c>
      <c r="F292" s="208" t="n">
        <f aca="false">F289*F291</f>
        <v>1119.92841264</v>
      </c>
      <c r="G292" s="208" t="n">
        <f aca="false">G289*G291</f>
        <v>1180.11543453906</v>
      </c>
      <c r="H292" s="208" t="n">
        <f aca="false">H289*H291</f>
        <v>1228.61347893594</v>
      </c>
      <c r="I292" s="208" t="n">
        <f aca="false">I289*I291</f>
        <v>1261.9338722758</v>
      </c>
      <c r="J292" s="208" t="n">
        <f aca="false">J289*J291</f>
        <v>1276.14034633619</v>
      </c>
      <c r="K292" s="208" t="n">
        <f aca="false">K289*K291</f>
        <v>1266.72187023901</v>
      </c>
      <c r="L292" s="208" t="n">
        <f aca="false">L289*L291</f>
        <v>1228.35561725333</v>
      </c>
      <c r="M292" s="208" t="n">
        <f aca="false">M289*M291</f>
        <v>1154.47174939081</v>
      </c>
      <c r="N292" s="208" t="n">
        <f aca="false">N289*N291</f>
        <v>1036.4494338054</v>
      </c>
      <c r="O292" s="208" t="n">
        <f aca="false">O289*O291</f>
        <v>862.09060048863</v>
      </c>
    </row>
    <row r="293" customFormat="false" ht="15" hidden="false" customHeight="true" outlineLevel="0" collapsed="false">
      <c r="B293" s="91" t="s">
        <v>282</v>
      </c>
      <c r="C293" s="209" t="n">
        <v>1</v>
      </c>
      <c r="E293" s="90" t="s">
        <v>47</v>
      </c>
      <c r="F293" s="211" t="n">
        <f aca="false">F289-F292</f>
        <v>1238.312149737</v>
      </c>
      <c r="G293" s="211" t="n">
        <f aca="false">G289-G292</f>
        <v>1373.91149986106</v>
      </c>
      <c r="H293" s="211" t="n">
        <f aca="false">H289-H292</f>
        <v>1517.33439054582</v>
      </c>
      <c r="I293" s="211" t="n">
        <f aca="false">I289-I292</f>
        <v>1668.72475722644</v>
      </c>
      <c r="J293" s="211" t="n">
        <f aca="false">J289-J292</f>
        <v>1828.56684288482</v>
      </c>
      <c r="K293" s="211" t="n">
        <f aca="false">K289-K292</f>
        <v>1997.91223597343</v>
      </c>
      <c r="L293" s="211" t="n">
        <f aca="false">L289-L292</f>
        <v>2178.72535712684</v>
      </c>
      <c r="M293" s="211" t="n">
        <f aca="false">M289-M292</f>
        <v>2374.4312980511</v>
      </c>
      <c r="N293" s="211" t="n">
        <f aca="false">N289-N292</f>
        <v>2590.83158859241</v>
      </c>
      <c r="O293" s="211" t="n">
        <f aca="false">O289-O292</f>
        <v>2837.73604235714</v>
      </c>
      <c r="P293" s="211" t="n">
        <f aca="false">IF($C$292=1,P289*(1-P291),O293*(1+$C$290))</f>
        <v>2894.49076320428</v>
      </c>
    </row>
    <row r="294" customFormat="false" ht="15" hidden="false" customHeight="true" outlineLevel="0" collapsed="false">
      <c r="B294" s="91" t="s">
        <v>101</v>
      </c>
      <c r="C294" s="96" t="n">
        <f aca="false">SUM(F295:O295)</f>
        <v>13513.7729723786</v>
      </c>
      <c r="E294" s="91" t="s">
        <v>283</v>
      </c>
      <c r="F294" s="212" t="n">
        <f aca="false">DCF!O$71</f>
        <v>0.0347222222222222</v>
      </c>
      <c r="G294" s="212" t="n">
        <f aca="false">DCF!P$71</f>
        <v>0.569444444444444</v>
      </c>
      <c r="H294" s="212" t="n">
        <f aca="false">DCF!Q$71</f>
        <v>1.56944444444444</v>
      </c>
      <c r="I294" s="212" t="n">
        <f aca="false">DCF!R$71</f>
        <v>2.56944444444444</v>
      </c>
      <c r="J294" s="212" t="n">
        <f aca="false">DCF!S$71</f>
        <v>3.56944444444444</v>
      </c>
      <c r="K294" s="212" t="n">
        <f aca="false">DCF!T$71</f>
        <v>4.56944444444445</v>
      </c>
      <c r="L294" s="212" t="n">
        <f aca="false">DCF!U$71</f>
        <v>5.56944444444445</v>
      </c>
      <c r="M294" s="212" t="n">
        <f aca="false">DCF!V$71</f>
        <v>6.56944444444445</v>
      </c>
      <c r="N294" s="212" t="n">
        <f aca="false">DCF!W$71</f>
        <v>7.56944444444445</v>
      </c>
      <c r="O294" s="212" t="n">
        <f aca="false">DCF!X$71</f>
        <v>8.56944444444445</v>
      </c>
    </row>
    <row r="295" customFormat="false" ht="15" hidden="false" customHeight="true" outlineLevel="0" collapsed="false">
      <c r="B295" s="91" t="s">
        <v>99</v>
      </c>
      <c r="C295" s="96" t="n">
        <f aca="false">P293/($C$289-$C$290)</f>
        <v>43966.6206249201</v>
      </c>
      <c r="E295" s="91" t="s">
        <v>284</v>
      </c>
      <c r="F295" s="208" t="n">
        <f aca="false">F293/(1+$C$289)^F294</f>
        <v>1234.77648581277</v>
      </c>
      <c r="G295" s="208" t="n">
        <f aca="false">G293/(1+$C$289)^G294</f>
        <v>1310.97227949837</v>
      </c>
      <c r="H295" s="208" t="n">
        <f aca="false">H293/(1+$C$289)^H294</f>
        <v>1333.37615817697</v>
      </c>
      <c r="I295" s="208" t="n">
        <f aca="false">I293/(1+$C$289)^I294</f>
        <v>1350.49421243339</v>
      </c>
      <c r="J295" s="208" t="n">
        <f aca="false">J293/(1+$C$289)^J294</f>
        <v>1362.87332947193</v>
      </c>
      <c r="K295" s="208" t="n">
        <f aca="false">K293/(1+$C$289)^K294</f>
        <v>1371.37962591928</v>
      </c>
      <c r="L295" s="208" t="n">
        <f aca="false">L293/(1+$C$289)^L294</f>
        <v>1377.27418840915</v>
      </c>
      <c r="M295" s="208" t="n">
        <f aca="false">M293/(1+$C$289)^M294</f>
        <v>1382.33773243591</v>
      </c>
      <c r="N295" s="208" t="n">
        <f aca="false">N293/(1+$C$289)^N294</f>
        <v>1389.08995938168</v>
      </c>
      <c r="O295" s="208" t="n">
        <f aca="false">O293/(1+$C$289)^O294</f>
        <v>1401.19900083917</v>
      </c>
    </row>
    <row r="296" customFormat="false" ht="15" hidden="false" customHeight="true" outlineLevel="0" collapsed="false">
      <c r="B296" s="91" t="s">
        <v>100</v>
      </c>
      <c r="C296" s="96" t="n">
        <f aca="false">C295/(1+$C$289)^O294</f>
        <v>21709.5543667058</v>
      </c>
    </row>
    <row r="297" customFormat="false" ht="15" hidden="false" customHeight="true" outlineLevel="0" collapsed="false">
      <c r="B297" s="91" t="s">
        <v>102</v>
      </c>
      <c r="C297" s="96" t="n">
        <f aca="false">C294+C296</f>
        <v>35223.3273390844</v>
      </c>
    </row>
    <row r="298" customFormat="false" ht="15" hidden="false" customHeight="true" outlineLevel="0" collapsed="false">
      <c r="B298" s="91" t="s">
        <v>285</v>
      </c>
      <c r="C298" s="96" t="n">
        <f aca="false">C297+$C$9-$C$10</f>
        <v>36123.3273390844</v>
      </c>
    </row>
    <row r="299" customFormat="false" ht="15" hidden="false" customHeight="true" outlineLevel="0" collapsed="false">
      <c r="B299" s="205" t="s">
        <v>104</v>
      </c>
      <c r="C299" s="213" t="n">
        <f aca="false">C298/$C$11</f>
        <v>33.8613867070532</v>
      </c>
    </row>
    <row r="300" customFormat="false" ht="15" hidden="false" customHeight="true" outlineLevel="0" collapsed="false">
      <c r="B300" s="91" t="s">
        <v>98</v>
      </c>
      <c r="C300" s="97" t="n">
        <f aca="false">1-P293/P289</f>
        <v>0.23300837679939</v>
      </c>
    </row>
    <row r="301" customFormat="false" ht="15" hidden="false" customHeight="true" outlineLevel="0" collapsed="false">
      <c r="B301" s="91" t="s">
        <v>286</v>
      </c>
      <c r="C301" s="97" t="n">
        <f aca="false">C296/C297</f>
        <v>0.616340249679266</v>
      </c>
    </row>
    <row r="304" customFormat="false" ht="15" hidden="false" customHeight="true" outlineLevel="0" collapsed="false">
      <c r="B304" s="86" t="s">
        <v>300</v>
      </c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</row>
    <row r="305" customFormat="false" ht="15" hidden="false" customHeight="true" outlineLevel="0" collapsed="false">
      <c r="B305" s="205" t="s">
        <v>272</v>
      </c>
      <c r="C305" s="205" t="s">
        <v>184</v>
      </c>
      <c r="E305" s="205" t="s">
        <v>273</v>
      </c>
      <c r="F305" s="206" t="str">
        <f aca="false">"FY"&amp;RIGHT(DCF!O$38,2)</f>
        <v>FY26</v>
      </c>
      <c r="G305" s="206" t="str">
        <f aca="false">"FY"&amp;RIGHT(DCF!P$38,2)</f>
        <v>FY27</v>
      </c>
      <c r="H305" s="206" t="str">
        <f aca="false">"FY"&amp;RIGHT(DCF!Q$38,2)</f>
        <v>FY28</v>
      </c>
      <c r="I305" s="206" t="str">
        <f aca="false">"FY"&amp;RIGHT(DCF!R$38,2)</f>
        <v>FY29</v>
      </c>
      <c r="J305" s="206" t="str">
        <f aca="false">"FY"&amp;RIGHT(DCF!S$38,2)</f>
        <v>FY30</v>
      </c>
      <c r="K305" s="206" t="str">
        <f aca="false">"FY"&amp;RIGHT(DCF!T$38,2)</f>
        <v>FY31</v>
      </c>
      <c r="L305" s="206" t="str">
        <f aca="false">"FY"&amp;RIGHT(DCF!U$38,2)</f>
        <v>FY32</v>
      </c>
      <c r="M305" s="206" t="str">
        <f aca="false">"FY"&amp;RIGHT(DCF!V$38,2)</f>
        <v>FY33</v>
      </c>
      <c r="N305" s="206" t="str">
        <f aca="false">"FY"&amp;RIGHT(DCF!W$38,2)</f>
        <v>FY34</v>
      </c>
      <c r="O305" s="206" t="str">
        <f aca="false">"FY"&amp;RIGHT(DCF!X$38,2)</f>
        <v>FY35</v>
      </c>
      <c r="P305" s="206" t="s">
        <v>40</v>
      </c>
    </row>
    <row r="306" customFormat="false" ht="15" hidden="false" customHeight="true" outlineLevel="0" collapsed="false">
      <c r="B306" s="91" t="s">
        <v>274</v>
      </c>
      <c r="C306" s="95" t="n">
        <f aca="false">DCF!$L$11</f>
        <v>0.0909</v>
      </c>
      <c r="E306" s="91" t="s">
        <v>275</v>
      </c>
      <c r="F306" s="207" t="n">
        <f aca="false">$C$306</f>
        <v>0.0909</v>
      </c>
      <c r="G306" s="207" t="n">
        <f aca="false">IF($C$310=1,F306-($C$306-$C$309)/$C$12,$C$306)</f>
        <v>0.0835777777777778</v>
      </c>
      <c r="H306" s="207" t="n">
        <f aca="false">IF($C$310=1,G306-($C$306-$C$309)/$C$12,$C$306)</f>
        <v>0.0762555555555556</v>
      </c>
      <c r="I306" s="207" t="n">
        <f aca="false">IF($C$310=1,H306-($C$306-$C$309)/$C$12,$C$306)</f>
        <v>0.0689333333333334</v>
      </c>
      <c r="J306" s="207" t="n">
        <f aca="false">IF($C$310=1,I306-($C$306-$C$309)/$C$12,$C$306)</f>
        <v>0.0616111111111111</v>
      </c>
      <c r="K306" s="207" t="n">
        <f aca="false">IF($C$310=1,J306-($C$306-$C$309)/$C$12,$C$306)</f>
        <v>0.0542888888888889</v>
      </c>
      <c r="L306" s="207" t="n">
        <f aca="false">IF($C$310=1,K306-($C$306-$C$309)/$C$12,$C$306)</f>
        <v>0.0469666666666667</v>
      </c>
      <c r="M306" s="207" t="n">
        <f aca="false">IF($C$310=1,L306-($C$306-$C$309)/$C$12,$C$306)</f>
        <v>0.0396444444444445</v>
      </c>
      <c r="N306" s="207" t="n">
        <f aca="false">IF($C$310=1,M306-($C$306-$C$309)/$C$12,$C$306)</f>
        <v>0.0323222222222222</v>
      </c>
      <c r="O306" s="207" t="n">
        <f aca="false">IF($C$310=1,N306-($C$306-$C$309)/$C$12,$C$306)</f>
        <v>0.025</v>
      </c>
    </row>
    <row r="307" customFormat="false" ht="15" hidden="false" customHeight="true" outlineLevel="0" collapsed="false">
      <c r="B307" s="91" t="s">
        <v>276</v>
      </c>
      <c r="C307" s="95" t="n">
        <f aca="false">DCF!$L$13</f>
        <v>0.1722</v>
      </c>
      <c r="E307" s="91" t="s">
        <v>16</v>
      </c>
      <c r="F307" s="208" t="n">
        <f aca="false">$C$8*(1+F306)</f>
        <v>15216.41865</v>
      </c>
      <c r="G307" s="208" t="n">
        <f aca="false">F307*(1+G306)</f>
        <v>16488.1731065033</v>
      </c>
      <c r="H307" s="208" t="n">
        <f aca="false">G307*(1+H306)</f>
        <v>17745.4879068359</v>
      </c>
      <c r="I307" s="208" t="n">
        <f aca="false">H307*(1+I306)</f>
        <v>18968.7435398805</v>
      </c>
      <c r="J307" s="208" t="n">
        <f aca="false">I307*(1+J306)</f>
        <v>20137.4289057542</v>
      </c>
      <c r="K307" s="208" t="n">
        <f aca="false">J307*(1+K306)</f>
        <v>21230.6675461266</v>
      </c>
      <c r="L307" s="208" t="n">
        <f aca="false">K307*(1+L306)</f>
        <v>22227.8012318763</v>
      </c>
      <c r="M307" s="208" t="n">
        <f aca="false">L307*(1+M306)</f>
        <v>23109.0100629356</v>
      </c>
      <c r="N307" s="208" t="n">
        <f aca="false">M307*(1+N306)</f>
        <v>23855.9446215254</v>
      </c>
      <c r="O307" s="208" t="n">
        <f aca="false">N307*(1+O306)</f>
        <v>24452.3432370635</v>
      </c>
    </row>
    <row r="308" customFormat="false" ht="15" hidden="false" customHeight="true" outlineLevel="0" collapsed="false">
      <c r="B308" s="91" t="s">
        <v>21</v>
      </c>
      <c r="C308" s="93" t="n">
        <f aca="false">DCF!$L$16</f>
        <v>0.0858338239797238</v>
      </c>
      <c r="E308" s="91" t="s">
        <v>277</v>
      </c>
      <c r="F308" s="208" t="n">
        <f aca="false">F307*$C$307*(1-$C$4)</f>
        <v>2358.240562377</v>
      </c>
      <c r="G308" s="208" t="n">
        <f aca="false">G307*$C$307*(1-$C$4)</f>
        <v>2555.33706804589</v>
      </c>
      <c r="H308" s="208" t="n">
        <f aca="false">H307*$C$307*(1-$C$4)</f>
        <v>2750.19571580143</v>
      </c>
      <c r="I308" s="208" t="n">
        <f aca="false">I307*$C$307*(1-$C$4)</f>
        <v>2939.77587381067</v>
      </c>
      <c r="J308" s="208" t="n">
        <f aca="false">J307*$C$307*(1-$C$4)</f>
        <v>3120.89873181379</v>
      </c>
      <c r="K308" s="208" t="n">
        <f aca="false">K307*$C$307*(1-$C$4)</f>
        <v>3290.3288562987</v>
      </c>
      <c r="L308" s="208" t="n">
        <f aca="false">L307*$C$307*(1-$C$4)</f>
        <v>3444.8646349162</v>
      </c>
      <c r="M308" s="208" t="n">
        <f aca="false">M307*$C$307*(1-$C$4)</f>
        <v>3581.43437955376</v>
      </c>
      <c r="N308" s="208" t="n">
        <f aca="false">N307*$C$307*(1-$C$4)</f>
        <v>3697.19429744401</v>
      </c>
      <c r="O308" s="208" t="n">
        <f aca="false">O307*$C$307*(1-$C$4)</f>
        <v>3789.62415488011</v>
      </c>
      <c r="P308" s="208" t="n">
        <f aca="false">O308*(1+$C$309)</f>
        <v>3884.36475875211</v>
      </c>
    </row>
    <row r="309" customFormat="false" ht="15" hidden="false" customHeight="true" outlineLevel="0" collapsed="false">
      <c r="B309" s="91" t="s">
        <v>278</v>
      </c>
      <c r="C309" s="95" t="n">
        <f aca="false">DCF!$L$92</f>
        <v>0.025</v>
      </c>
      <c r="E309" s="91" t="s">
        <v>46</v>
      </c>
      <c r="F309" s="207" t="n">
        <f aca="false">$C$306/(($C$6-$C$5+$C$7)/($C$307*(1-$C$4)))</f>
        <v>0.191408722826087</v>
      </c>
      <c r="G309" s="207" t="n">
        <f aca="false">IF($C$312=1,F309-($F309-$C$308)/$C$12,G306/(($C$6-$C$5+$C$7)/($C$307*(1-$C$4))))</f>
        <v>0.179678178509824</v>
      </c>
      <c r="H309" s="207" t="n">
        <f aca="false">IF($C$312=1,G309-($F309-$C$308)/$C$12,H306/(($C$6-$C$5+$C$7)/($C$307*(1-$C$4))))</f>
        <v>0.167947634193562</v>
      </c>
      <c r="I309" s="207" t="n">
        <f aca="false">IF($C$312=1,H309-($F309-$C$308)/$C$12,I306/(($C$6-$C$5+$C$7)/($C$307*(1-$C$4))))</f>
        <v>0.156217089877299</v>
      </c>
      <c r="J309" s="207" t="n">
        <f aca="false">IF($C$312=1,I309-($F309-$C$308)/$C$12,J306/(($C$6-$C$5+$C$7)/($C$307*(1-$C$4))))</f>
        <v>0.144486545561037</v>
      </c>
      <c r="K309" s="207" t="n">
        <f aca="false">IF($C$312=1,J309-($F309-$C$308)/$C$12,K306/(($C$6-$C$5+$C$7)/($C$307*(1-$C$4))))</f>
        <v>0.132756001244774</v>
      </c>
      <c r="L309" s="207" t="n">
        <f aca="false">IF($C$312=1,K309-($F309-$C$308)/$C$12,L306/(($C$6-$C$5+$C$7)/($C$307*(1-$C$4))))</f>
        <v>0.121025456928512</v>
      </c>
      <c r="M309" s="207" t="n">
        <f aca="false">IF($C$312=1,L309-($F309-$C$308)/$C$12,M306/(($C$6-$C$5+$C$7)/($C$307*(1-$C$4))))</f>
        <v>0.109294912612249</v>
      </c>
      <c r="N309" s="207" t="n">
        <f aca="false">IF($C$312=1,M309-($F309-$C$308)/$C$12,N306/(($C$6-$C$5+$C$7)/($C$307*(1-$C$4))))</f>
        <v>0.0975643682959863</v>
      </c>
      <c r="O309" s="207" t="n">
        <f aca="false">IF($C$312=1,N309-($F309-$C$308)/$C$12,O306/(($C$6-$C$5+$C$7)/($C$307*(1-$C$4))))</f>
        <v>0.0858338239797238</v>
      </c>
      <c r="P309" s="207" t="n">
        <f aca="false">$C$308</f>
        <v>0.0858338239797238</v>
      </c>
    </row>
    <row r="310" customFormat="false" ht="15" hidden="false" customHeight="true" outlineLevel="0" collapsed="false">
      <c r="B310" s="91" t="s">
        <v>279</v>
      </c>
      <c r="C310" s="209" t="n">
        <v>1</v>
      </c>
      <c r="E310" s="91" t="s">
        <v>45</v>
      </c>
      <c r="F310" s="210" t="n">
        <f aca="false">IF($C$312=1,F306/F309,(($C$6-$C$5+$C$7)/($C$307*(1-$C$4))))</f>
        <v>0.474899987095109</v>
      </c>
      <c r="G310" s="210" t="n">
        <f aca="false">IF($C$312=1,G306/G309,(($C$6-$C$5+$C$7)/($C$307*(1-$C$4))))</f>
        <v>0.465152632728898</v>
      </c>
      <c r="H310" s="210" t="n">
        <f aca="false">IF($C$312=1,H306/H309,(($C$6-$C$5+$C$7)/($C$307*(1-$C$4))))</f>
        <v>0.454043642363369</v>
      </c>
      <c r="I310" s="210" t="n">
        <f aca="false">IF($C$312=1,I306/I309,(($C$6-$C$5+$C$7)/($C$307*(1-$C$4))))</f>
        <v>0.441266274947748</v>
      </c>
      <c r="J310" s="210" t="n">
        <f aca="false">IF($C$312=1,J306/J309,(($C$6-$C$5+$C$7)/($C$307*(1-$C$4))))</f>
        <v>0.426414174910731</v>
      </c>
      <c r="K310" s="210" t="n">
        <f aca="false">IF($C$312=1,K306/K309,(($C$6-$C$5+$C$7)/($C$307*(1-$C$4))))</f>
        <v>0.408937361624742</v>
      </c>
      <c r="L310" s="210" t="n">
        <f aca="false">IF($C$312=1,L306/L309,(($C$6-$C$5+$C$7)/($C$307*(1-$C$4))))</f>
        <v>0.388072624211693</v>
      </c>
      <c r="M310" s="210" t="n">
        <f aca="false">IF($C$312=1,M306/M309,(($C$6-$C$5+$C$7)/($C$307*(1-$C$4))))</f>
        <v>0.3627290922963</v>
      </c>
      <c r="N310" s="210" t="n">
        <f aca="false">IF($C$312=1,N306/N309,(($C$6-$C$5+$C$7)/($C$307*(1-$C$4))))</f>
        <v>0.331291257113094</v>
      </c>
      <c r="O310" s="210" t="n">
        <f aca="false">IF($C$312=1,O306/O309,(($C$6-$C$5+$C$7)/($C$307*(1-$C$4))))</f>
        <v>0.291260470999238</v>
      </c>
      <c r="P310" s="210" t="n">
        <f aca="false">$C$309/P309</f>
        <v>0.291260470999238</v>
      </c>
    </row>
    <row r="311" customFormat="false" ht="15" hidden="false" customHeight="true" outlineLevel="0" collapsed="false">
      <c r="B311" s="91" t="s">
        <v>280</v>
      </c>
      <c r="C311" s="209" t="n">
        <v>1</v>
      </c>
      <c r="E311" s="91" t="s">
        <v>281</v>
      </c>
      <c r="F311" s="208" t="n">
        <f aca="false">F308*F310</f>
        <v>1119.92841264</v>
      </c>
      <c r="G311" s="208" t="n">
        <f aca="false">G308*G310</f>
        <v>1188.62176471129</v>
      </c>
      <c r="H311" s="208" t="n">
        <f aca="false">H308*H310</f>
        <v>1248.70888001461</v>
      </c>
      <c r="I311" s="208" t="n">
        <f aca="false">I308*I310</f>
        <v>1297.2239490177</v>
      </c>
      <c r="J311" s="208" t="n">
        <f aca="false">J308*J310</f>
        <v>1330.79545770632</v>
      </c>
      <c r="K311" s="208" t="n">
        <f aca="false">K308*K310</f>
        <v>1345.53840137255</v>
      </c>
      <c r="L311" s="208" t="n">
        <f aca="false">L308*L310</f>
        <v>1336.85765892598</v>
      </c>
      <c r="M311" s="208" t="n">
        <f aca="false">M308*M310</f>
        <v>1299.0904416143</v>
      </c>
      <c r="N311" s="208" t="n">
        <f aca="false">N308*N310</f>
        <v>1224.84814659159</v>
      </c>
      <c r="O311" s="208" t="n">
        <f aca="false">O308*O310</f>
        <v>1103.76771626047</v>
      </c>
    </row>
    <row r="312" customFormat="false" ht="15" hidden="false" customHeight="true" outlineLevel="0" collapsed="false">
      <c r="B312" s="91" t="s">
        <v>282</v>
      </c>
      <c r="C312" s="209" t="n">
        <v>1</v>
      </c>
      <c r="E312" s="90" t="s">
        <v>47</v>
      </c>
      <c r="F312" s="211" t="n">
        <f aca="false">F308-F311</f>
        <v>1238.312149737</v>
      </c>
      <c r="G312" s="211" t="n">
        <f aca="false">G308-G311</f>
        <v>1366.7153033346</v>
      </c>
      <c r="H312" s="211" t="n">
        <f aca="false">H308-H311</f>
        <v>1501.48683578681</v>
      </c>
      <c r="I312" s="211" t="n">
        <f aca="false">I308-I311</f>
        <v>1642.55192479298</v>
      </c>
      <c r="J312" s="211" t="n">
        <f aca="false">J308-J311</f>
        <v>1790.10327410747</v>
      </c>
      <c r="K312" s="211" t="n">
        <f aca="false">K308-K311</f>
        <v>1944.79045492615</v>
      </c>
      <c r="L312" s="211" t="n">
        <f aca="false">L308-L311</f>
        <v>2108.00697599021</v>
      </c>
      <c r="M312" s="211" t="n">
        <f aca="false">M308-M311</f>
        <v>2282.34393793947</v>
      </c>
      <c r="N312" s="211" t="n">
        <f aca="false">N308-N311</f>
        <v>2472.34615085242</v>
      </c>
      <c r="O312" s="211" t="n">
        <f aca="false">O308-O311</f>
        <v>2685.85643861964</v>
      </c>
      <c r="P312" s="211" t="n">
        <f aca="false">IF($C$311=1,P308*(1-P310),O312*(1+$C$309))</f>
        <v>2753.00284958513</v>
      </c>
    </row>
    <row r="313" customFormat="false" ht="15" hidden="false" customHeight="true" outlineLevel="0" collapsed="false">
      <c r="B313" s="91" t="s">
        <v>101</v>
      </c>
      <c r="C313" s="96" t="n">
        <f aca="false">SUM(F314:O314)</f>
        <v>13169.8313946416</v>
      </c>
      <c r="E313" s="91" t="s">
        <v>283</v>
      </c>
      <c r="F313" s="212" t="n">
        <f aca="false">DCF!O$71</f>
        <v>0.0347222222222222</v>
      </c>
      <c r="G313" s="212" t="n">
        <f aca="false">DCF!P$71</f>
        <v>0.569444444444444</v>
      </c>
      <c r="H313" s="212" t="n">
        <f aca="false">DCF!Q$71</f>
        <v>1.56944444444444</v>
      </c>
      <c r="I313" s="212" t="n">
        <f aca="false">DCF!R$71</f>
        <v>2.56944444444444</v>
      </c>
      <c r="J313" s="212" t="n">
        <f aca="false">DCF!S$71</f>
        <v>3.56944444444444</v>
      </c>
      <c r="K313" s="212" t="n">
        <f aca="false">DCF!T$71</f>
        <v>4.56944444444445</v>
      </c>
      <c r="L313" s="212" t="n">
        <f aca="false">DCF!U$71</f>
        <v>5.56944444444445</v>
      </c>
      <c r="M313" s="212" t="n">
        <f aca="false">DCF!V$71</f>
        <v>6.56944444444445</v>
      </c>
      <c r="N313" s="212" t="n">
        <f aca="false">DCF!W$71</f>
        <v>7.56944444444445</v>
      </c>
      <c r="O313" s="212" t="n">
        <f aca="false">DCF!X$71</f>
        <v>8.56944444444445</v>
      </c>
    </row>
    <row r="314" customFormat="false" ht="15" hidden="false" customHeight="true" outlineLevel="0" collapsed="false">
      <c r="B314" s="91" t="s">
        <v>99</v>
      </c>
      <c r="C314" s="96" t="n">
        <f aca="false">P312/($C$308-$C$309)</f>
        <v>45254.4763666792</v>
      </c>
      <c r="E314" s="91" t="s">
        <v>284</v>
      </c>
      <c r="F314" s="208" t="n">
        <f aca="false">F312/(1+$C$308)^F313</f>
        <v>1234.77648581277</v>
      </c>
      <c r="G314" s="208" t="n">
        <f aca="false">G312/(1+$C$308)^G313</f>
        <v>1304.10574248709</v>
      </c>
      <c r="H314" s="208" t="n">
        <f aca="false">H312/(1+$C$308)^H313</f>
        <v>1319.44992555961</v>
      </c>
      <c r="I314" s="208" t="n">
        <f aca="false">I312/(1+$C$308)^I313</f>
        <v>1329.31261338819</v>
      </c>
      <c r="J314" s="208" t="n">
        <f aca="false">J312/(1+$C$308)^J313</f>
        <v>1334.20553849292</v>
      </c>
      <c r="K314" s="208" t="n">
        <f aca="false">K312/(1+$C$308)^K313</f>
        <v>1334.91649860613</v>
      </c>
      <c r="L314" s="208" t="n">
        <f aca="false">L312/(1+$C$308)^L313</f>
        <v>1332.56979248014</v>
      </c>
      <c r="M314" s="208" t="n">
        <f aca="false">M312/(1+$C$308)^M313</f>
        <v>1328.72664978753</v>
      </c>
      <c r="N314" s="208" t="n">
        <f aca="false">N312/(1+$C$308)^N313</f>
        <v>1325.56327836457</v>
      </c>
      <c r="O314" s="208" t="n">
        <f aca="false">O312/(1+$C$308)^O313</f>
        <v>1326.20486966266</v>
      </c>
    </row>
    <row r="315" customFormat="false" ht="15" hidden="false" customHeight="true" outlineLevel="0" collapsed="false">
      <c r="B315" s="91" t="s">
        <v>100</v>
      </c>
      <c r="C315" s="96" t="n">
        <f aca="false">C314/(1+$C$308)^O313</f>
        <v>22345.4634687655</v>
      </c>
    </row>
    <row r="316" customFormat="false" ht="15" hidden="false" customHeight="true" outlineLevel="0" collapsed="false">
      <c r="B316" s="91" t="s">
        <v>102</v>
      </c>
      <c r="C316" s="96" t="n">
        <f aca="false">C313+C315</f>
        <v>35515.2948634071</v>
      </c>
    </row>
    <row r="317" customFormat="false" ht="15" hidden="false" customHeight="true" outlineLevel="0" collapsed="false">
      <c r="B317" s="91" t="s">
        <v>285</v>
      </c>
      <c r="C317" s="96" t="n">
        <f aca="false">C316+$C$9-$C$10</f>
        <v>36415.2948634071</v>
      </c>
    </row>
    <row r="318" customFormat="false" ht="15" hidden="false" customHeight="true" outlineLevel="0" collapsed="false">
      <c r="B318" s="205" t="s">
        <v>104</v>
      </c>
      <c r="C318" s="213" t="n">
        <f aca="false">C317/$C$11</f>
        <v>34.1350720504379</v>
      </c>
    </row>
    <row r="319" customFormat="false" ht="15" hidden="false" customHeight="true" outlineLevel="0" collapsed="false">
      <c r="B319" s="91" t="s">
        <v>98</v>
      </c>
      <c r="C319" s="97" t="n">
        <f aca="false">1-P312/P308</f>
        <v>0.291260470999238</v>
      </c>
    </row>
    <row r="320" customFormat="false" ht="15" hidden="false" customHeight="true" outlineLevel="0" collapsed="false">
      <c r="B320" s="91" t="s">
        <v>286</v>
      </c>
      <c r="C320" s="97" t="n">
        <f aca="false">C315/C316</f>
        <v>0.629178599099537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LibreOffice/26.2.6.3$MacOSX_X86_64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2026-03-08T16:56:37Z</dcterms:created>
  <dc:creator>Viktorie Kodickova</dc:creator>
  <dc:description/>
  <dc:language>en-US</dc:language>
  <cp:lastModifiedBy>Viktorie Kodickova</cp:lastModifiedBy>
  <dcterms:modified xsi:type="dcterms:W3CDTF">2026-10-18T19:58:42Z</dcterms:modified>
  <cp:revision>1</cp:revision>
  <dc:subject/>
  <dc:title>Ryanair DCF valuation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