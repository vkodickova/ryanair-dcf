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CF" sheetId="1" state="visible" r:id="rId3"/>
    <sheet name="Changes" sheetId="2" state="visible" r:id="rId4"/>
    <sheet name="Valuation" sheetId="3" state="visible" r:id="rId5"/>
    <sheet name="WACC" sheetId="4" state="visible" r:id="rId6"/>
    <sheet name="Sources &amp; Checks" sheetId="5" state="visible" r:id="rId7"/>
    <sheet name="Ratios" sheetId="6" state="visible" r:id="rId8"/>
    <sheet name="Calc" sheetId="7" state="visible" r:id="rId9"/>
  </sheets>
  <definedNames>
    <definedName function="false" hidden="false" localSheetId="0" name="_xlnm.Print_Area" vbProcedure="false">DCF!$A$1:$Y$101</definedName>
    <definedName function="false" hidden="false" localSheetId="5" name="_xlnm.Print_Area" vbProcedure="false">Ratios!$A$1:$E$36</definedName>
    <definedName function="false" hidden="false" localSheetId="4" name="_xlnm.Print_Area" vbProcedure="false">'Sources &amp; Checks'!$A$1:$D$25</definedName>
    <definedName function="false" hidden="false" localSheetId="2" name="_xlnm.Print_Area" vbProcedure="false">Valuation!$A$1:$Z$30</definedName>
    <definedName function="false" hidden="false" localSheetId="3" name="_xlnm.Print_Area" vbProcedure="false">WACC!$A$1:$J$22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  <author>Viktorie Kodickova</author>
  </authors>
  <commentList>
    <comment ref="D6" authorId="0">
      <text>
        <r>
          <rPr>
            <sz val="10"/>
            <rFont val="Arial"/>
            <family val="2"/>
          </rPr>
          <t xml:space="preserve">Valuation date aligned to current market price date.</t>
        </r>
      </text>
    </comment>
    <comment ref="I6" authorId="0">
      <text>
        <r>
          <rPr>
            <sz val="10"/>
            <rFont val="Arial"/>
            <family val="2"/>
          </rPr>
          <t xml:space="preserve">Linked to verified source sheet (market price on 06/03/2026).</t>
        </r>
      </text>
    </comment>
    <comment ref="L16" authorId="0">
      <text>
        <r>
          <rPr>
            <sz val="10"/>
            <rFont val="Arial"/>
            <family val="2"/>
          </rPr>
          <t xml:space="preserve">Base case WACC linked to WACC!F22. Conservative / Optimistic cases use 9.2% / 8.2%.</t>
        </r>
      </text>
    </comment>
    <comment ref="L17" authorId="1">
      <text>
        <r>
          <rPr>
            <sz val="10"/>
            <rFont val="Arial"/>
            <family val="2"/>
          </rPr>
          <t xml:space="preserve">Base terminal growth rate = 1.5% for a mature airline. Scenarios use 1.0% to 2.0%, the sensitivity table 0.5% to 2.5%.</t>
        </r>
      </text>
    </comment>
    <comment ref="O41" authorId="1">
      <text>
        <r>
          <rPr>
            <sz val="10"/>
            <rFont val="Arial"/>
            <family val="2"/>
          </rPr>
          <t xml:space="preserve">Conservative case revenue growth: 7.0% in FY26, falling in equal steps to the 1.0% terminal growth rate in FY35.</t>
        </r>
      </text>
    </comment>
    <comment ref="O42" authorId="1">
      <text>
        <r>
          <rPr>
            <sz val="10"/>
            <rFont val="Arial"/>
            <family val="2"/>
          </rPr>
          <t xml:space="preserve">Base case revenue growth: 9.09% in FY26 (average of FY17-19 and FY24-25), falling in equal steps to the 1.5% terminal growth rate in FY35.</t>
        </r>
      </text>
    </comment>
    <comment ref="O47" authorId="1">
      <text>
        <r>
          <rPr>
            <sz val="10"/>
            <rFont val="Arial"/>
            <family val="2"/>
          </rPr>
          <t xml:space="preserve">Conservative EBIT margin: 16.0%, flat in all years.</t>
        </r>
      </text>
    </comment>
    <comment ref="O48" authorId="1">
      <text>
        <r>
          <rPr>
            <sz val="10"/>
            <rFont val="Arial"/>
            <family val="2"/>
          </rPr>
          <t xml:space="preserve">Base EBIT margin: 17.2% (average of FY17-19 and FY24-25), flat in all years.</t>
        </r>
      </text>
    </comment>
    <comment ref="O57" authorId="1">
      <text>
        <r>
          <rPr>
            <sz val="10"/>
            <rFont val="Arial"/>
            <family val="2"/>
          </rPr>
          <t xml:space="preserve">D&amp;A: 8.05% of sales (average of FY17-19 and FY24-25), flat in all years.</t>
        </r>
      </text>
    </comment>
    <comment ref="O60" authorId="1">
      <text>
        <r>
          <rPr>
            <sz val="10"/>
            <rFont val="Arial"/>
            <family val="2"/>
          </rPr>
          <t xml:space="preserve">CapEx: 18.28% of sales in FY26 (average of FY17-19 and FY24-25). From FY27 CapEx = D&amp;A + net reinvestment (rows 64 and 65), so it follows growth.</t>
        </r>
      </text>
    </comment>
    <comment ref="O63" authorId="1">
      <text>
        <r>
          <rPr>
            <sz val="10"/>
            <rFont val="Arial"/>
            <family val="2"/>
          </rPr>
          <t xml:space="preserve">Change in NWC: -2.87% of sales in FY26 (average of FY17-19 and FY24-25). Negative means a cash source. From FY27 it keeps its share of net reinvestment, so the inflow shrinks with growth.</t>
        </r>
      </text>
    </comment>
    <comment ref="O67" authorId="1">
      <text>
        <r>
          <rPr>
            <sz val="10"/>
            <rFont val="Arial"/>
            <family val="2"/>
          </rPr>
          <t xml:space="preserve">FY26 FCF is prorated for the 25 days between the valuation date and the FY26 year end.</t>
        </r>
      </text>
    </comment>
    <comment ref="S76" authorId="0">
      <text>
        <r>
          <rPr>
            <sz val="10"/>
            <rFont val="Arial"/>
            <family val="2"/>
          </rPr>
          <t xml:space="preserve">Linked to verified source sheet (gross cash at 31 Dec 2025).</t>
        </r>
      </text>
    </comment>
    <comment ref="S77" authorId="1">
      <text>
        <r>
          <rPr>
            <sz val="10"/>
            <rFont val="Arial"/>
            <family val="2"/>
          </rPr>
          <t xml:space="preserve">Gross debt (1,500) plus lease liabilities (111.2) at 31 Dec 2025, linked to the Sources &amp; Checks sheet.</t>
        </r>
      </text>
    </comment>
    <comment ref="S78" authorId="0">
      <text>
        <r>
          <rPr>
            <sz val="10"/>
            <rFont val="Arial"/>
            <family val="2"/>
          </rPr>
          <t xml:space="preserve">Equity value = enterprise value + cash - debt.</t>
        </r>
      </text>
    </comment>
    <comment ref="S80" authorId="0">
      <text>
        <r>
          <rPr>
            <sz val="10"/>
            <rFont val="Arial"/>
            <family val="2"/>
          </rPr>
          <t xml:space="preserve">Linked to verified source sheet (diluted shares).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Arial"/>
            <family val="2"/>
          </rPr>
          <t xml:space="preserve">Linked to verified current share price.</t>
        </r>
      </text>
    </comment>
    <comment ref="J8" authorId="0">
      <text>
        <r>
          <rPr>
            <sz val="10"/>
            <rFont val="Arial"/>
            <family val="2"/>
          </rPr>
          <t xml:space="preserve">Market cap calculated using basic shares outstanding (not diluted).</t>
        </r>
      </text>
    </comment>
    <comment ref="L8" authorId="0">
      <text>
        <r>
          <rPr>
            <sz val="10"/>
            <rFont val="Arial"/>
            <family val="2"/>
          </rPr>
          <t xml:space="preserve">Enterprise value calculated as market cap - cash + debt using verified latest balance sheet inputs.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Market cap now linked to verified share price and basic shares outstanding.</t>
        </r>
      </text>
    </comment>
    <comment ref="F11" authorId="0">
      <text>
        <r>
          <rPr>
            <sz val="10"/>
            <rFont val="Arial"/>
            <family val="2"/>
          </rPr>
          <t xml:space="preserve">Source: https://www.ecb.europa.eu/stats/html/index.en.html (10-year AAA government bond yield 2.89% on 05-Mar-2026).</t>
        </r>
      </text>
    </comment>
    <comment ref="F12" authorId="0">
      <text>
        <r>
          <rPr>
            <sz val="10"/>
            <rFont val="Arial"/>
            <family val="2"/>
          </rPr>
          <t xml:space="preserve">Source: https://finance.yahoo.com/quote/RYA.IR/ (Beta (5Y Monthly) = 1.01, accessed Mar-2026).</t>
        </r>
      </text>
    </comment>
    <comment ref="F13" authorId="0">
      <text>
        <r>
          <rPr>
            <sz val="10"/>
            <rFont val="Arial"/>
            <family val="2"/>
          </rPr>
          <t xml:space="preserve">Source: https://www.kroll.com/en/reports/cost-of-capital/recommended-eurozone-equity-risk-premium-corresponding-risk-free-rates (Kroll notes a Eurozone ERP range of 5.5% to 6.0%; model uses 6.0% as a prudent upper-end assumption).</t>
        </r>
      </text>
    </comment>
    <comment ref="F15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 (gross debt c. €1.5bn at 31-Dec-2025).</t>
        </r>
      </text>
    </comment>
    <comment ref="F17" authorId="0">
      <text>
        <r>
          <rPr>
            <sz val="10"/>
            <rFont val="Arial"/>
            <family val="2"/>
          </rPr>
          <t xml:space="preserve">Analyst assumption: 3.0% pre-tax cost of debt. Ryanair is close to debt-free after the final bond maturity due May-2026; debt weighting in WACC is small.</t>
        </r>
      </text>
    </comment>
    <comment ref="F18" authorId="0">
      <text>
        <r>
          <rPr>
            <sz val="10"/>
            <rFont val="Arial"/>
            <family val="2"/>
          </rPr>
          <t xml:space="preserve">Source: https://investor.ryanair.com/wp-content/uploads/2025/05/Ryanair-2025-Annual-Report.pdf (FY25 effective tax rate ~10%).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https://live.euronext.com/en/product/equities/IE00BYTBXV33-XMSM
Cross-check: https://www.marketscreener.com/quote/stock/RYANAIR-HOLDINGS-PLC-1412410/quotes/</t>
        </r>
      </text>
    </comment>
    <comment ref="B6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7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8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9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10" authorId="0">
      <text>
        <r>
          <rPr>
            <sz val="10"/>
            <rFont val="Arial"/>
            <family val="2"/>
          </rPr>
          <t xml:space="preserve">Source: https://www.investing.com/rates-bonds/germany-10-year-bond-yield-forecasts</t>
        </r>
      </text>
    </comment>
  </commentList>
</comments>
</file>

<file path=xl/sharedStrings.xml><?xml version="1.0" encoding="utf-8"?>
<sst xmlns="http://schemas.openxmlformats.org/spreadsheetml/2006/main" count="907" uniqueCount="322">
  <si>
    <t xml:space="preserve">DCF Model - Ryanair</t>
  </si>
  <si>
    <t xml:space="preserve">Ticker</t>
  </si>
  <si>
    <t xml:space="preserve">RYA.IR</t>
  </si>
  <si>
    <t xml:space="preserve">Implied Price Per Share</t>
  </si>
  <si>
    <t xml:space="preserve">Low-end</t>
  </si>
  <si>
    <t xml:space="preserve">Date</t>
  </si>
  <si>
    <t xml:space="preserve">Current Share Price</t>
  </si>
  <si>
    <t xml:space="preserve">High-end</t>
  </si>
  <si>
    <t xml:space="preserve">Year end</t>
  </si>
  <si>
    <t xml:space="preserve">Implied Upside/Downside</t>
  </si>
  <si>
    <t xml:space="preserve">X</t>
  </si>
  <si>
    <t xml:space="preserve">Assumption</t>
  </si>
  <si>
    <t xml:space="preserve">Switches</t>
  </si>
  <si>
    <t xml:space="preserve">Conservative</t>
  </si>
  <si>
    <t xml:space="preserve">Street/Base</t>
  </si>
  <si>
    <t xml:space="preserve">Optimistic</t>
  </si>
  <si>
    <t xml:space="preserve">Revenue</t>
  </si>
  <si>
    <t xml:space="preserve">Revenue Growth (Norm.)</t>
  </si>
  <si>
    <t xml:space="preserve">EBIT</t>
  </si>
  <si>
    <t xml:space="preserve">Norm. Years: FY17-19, FY24-25</t>
  </si>
  <si>
    <t xml:space="preserve">Fades to TGR</t>
  </si>
  <si>
    <t xml:space="preserve">WACC</t>
  </si>
  <si>
    <t xml:space="preserve">EBIT Margin (Norm.)</t>
  </si>
  <si>
    <t xml:space="preserve">TGR</t>
  </si>
  <si>
    <t xml:space="preserve">D&amp;A 8.0% | CapEx 18.3% | WC -2.9%</t>
  </si>
  <si>
    <t xml:space="preserve">Normalized avg</t>
  </si>
  <si>
    <t xml:space="preserve">Fade steps (FY27-FY35)</t>
  </si>
  <si>
    <t xml:space="preserve">Income Statement </t>
  </si>
  <si>
    <t xml:space="preserve">% growth</t>
  </si>
  <si>
    <t xml:space="preserve"> </t>
  </si>
  <si>
    <t xml:space="preserve">EBITDA</t>
  </si>
  <si>
    <t xml:space="preserve">% of Sales</t>
  </si>
  <si>
    <t xml:space="preserve">Taxes</t>
  </si>
  <si>
    <t xml:space="preserve">Tax rate</t>
  </si>
  <si>
    <t xml:space="preserve">Cash Flow Items</t>
  </si>
  <si>
    <t xml:space="preserve">D&amp;A</t>
  </si>
  <si>
    <t xml:space="preserve">CapEx</t>
  </si>
  <si>
    <t xml:space="preserve">Change in NW</t>
  </si>
  <si>
    <t xml:space="preserve">% of Change in Sales</t>
  </si>
  <si>
    <t xml:space="preserve">DCF</t>
  </si>
  <si>
    <t xml:space="preserve">TV year</t>
  </si>
  <si>
    <t xml:space="preserve">Conservative Case</t>
  </si>
  <si>
    <t xml:space="preserve">Street Case</t>
  </si>
  <si>
    <t xml:space="preserve">Optimistic Case</t>
  </si>
  <si>
    <t xml:space="preserve">EBIAT</t>
  </si>
  <si>
    <t xml:space="preserve">Reinvestment rate (% of NOPAT)</t>
  </si>
  <si>
    <t xml:space="preserve">RONIC</t>
  </si>
  <si>
    <t xml:space="preserve">Unlevered FCF</t>
  </si>
  <si>
    <t xml:space="preserve">Present Value of FCF</t>
  </si>
  <si>
    <t xml:space="preserve">Period</t>
  </si>
  <si>
    <t xml:space="preserve">Discount Period</t>
  </si>
  <si>
    <t xml:space="preserve">Terminal Value</t>
  </si>
  <si>
    <t xml:space="preserve">Present Value of Terminal Value</t>
  </si>
  <si>
    <t xml:space="preserve">Enterprise Value</t>
  </si>
  <si>
    <t xml:space="preserve">(+) Cash</t>
  </si>
  <si>
    <t xml:space="preserve">(-) Debt and leases</t>
  </si>
  <si>
    <t xml:space="preserve">Equity Value</t>
  </si>
  <si>
    <t xml:space="preserve">Diluted Shares</t>
  </si>
  <si>
    <t xml:space="preserve">Implied Stock Price</t>
  </si>
  <si>
    <t xml:space="preserve">Scenario Analysis — Implied Share Price (€)</t>
  </si>
  <si>
    <t xml:space="preserve">Scenario</t>
  </si>
  <si>
    <t xml:space="preserve">Rev Growth</t>
  </si>
  <si>
    <t xml:space="preserve">EBIT Margin</t>
  </si>
  <si>
    <t xml:space="preserve">Implied Price</t>
  </si>
  <si>
    <t xml:space="preserve">Upside / Downside</t>
  </si>
  <si>
    <t xml:space="preserve">Base / Street</t>
  </si>
  <si>
    <t xml:space="preserve">Current Market Price (€26.19)</t>
  </si>
  <si>
    <t xml:space="preserve">Sensitivity Analysis - Implied Price (€)  |  Base-case drivers (Street: 9.1% growth fading to the TGR of each column, 17.2% EBIT margin)</t>
  </si>
  <si>
    <t xml:space="preserve">WACC \ TGR →</t>
  </si>
  <si>
    <t xml:space="preserve">Changes in v2</t>
  </si>
  <si>
    <t xml:space="preserve">Green cells = new or changed in v2</t>
  </si>
  <si>
    <t xml:space="preserve">1. Changes made</t>
  </si>
  <si>
    <t xml:space="preserve">Change</t>
  </si>
  <si>
    <t xml:space="preserve">Cells</t>
  </si>
  <si>
    <t xml:space="preserve">Explanation</t>
  </si>
  <si>
    <t xml:space="preserve">1. Blume adjusted beta</t>
  </si>
  <si>
    <t xml:space="preserve">WACC!F14, F10</t>
  </si>
  <si>
    <t xml:space="preserve">Adjusted beta = 1/3 x 1 + 2/3 x raw beta, used in the cost of equity</t>
  </si>
  <si>
    <t xml:space="preserve">2. Terminal FCF tied to growth</t>
  </si>
  <si>
    <t xml:space="preserve">DCF!Y54:Y66, X73</t>
  </si>
  <si>
    <t xml:space="preserve">Terminal FCF = NOPAT FY35 x (1+g) x (1 - g/WACC), TV = FCF / (WACC - g)</t>
  </si>
  <si>
    <t xml:space="preserve">3. Growth fades to terminal rate</t>
  </si>
  <si>
    <t xml:space="preserve">DCF!P41:X43, D18</t>
  </si>
  <si>
    <t xml:space="preserve">From FY27 growth falls by (start growth - TGR) / 9 a year, FY35 growth = TGR</t>
  </si>
  <si>
    <t xml:space="preserve">4. Reinvestment follows growth</t>
  </si>
  <si>
    <t xml:space="preserve">DCF!P60:X65</t>
  </si>
  <si>
    <t xml:space="preserve">Reinvestment rate = growth / RONIC, RONIC fades from its FY26 implied level to WACC; CapEx and working capital follow</t>
  </si>
  <si>
    <t xml:space="preserve">5. Tax rate 12%</t>
  </si>
  <si>
    <t xml:space="preserve">Sources &amp; Checks!B14</t>
  </si>
  <si>
    <t xml:space="preserve">Effective tax rate reported in the Q3 FY26 results (note 4), was 10%</t>
  </si>
  <si>
    <t xml:space="preserve">6. FY26 cash flow prorated</t>
  </si>
  <si>
    <t xml:space="preserve">DCF!O67</t>
  </si>
  <si>
    <t xml:space="preserve">Only the 25 days after the valuation date are counted</t>
  </si>
  <si>
    <t xml:space="preserve">7. Leases added to debt</t>
  </si>
  <si>
    <t xml:space="preserve">Sources &amp; Checks!B24, DCF!S77</t>
  </si>
  <si>
    <t xml:space="preserve">Lease liabilities of 111.2 are deducted with gross debt in the equity bridge</t>
  </si>
  <si>
    <t xml:space="preserve">8. Ratios label</t>
  </si>
  <si>
    <t xml:space="preserve">Ratios!B19, B30</t>
  </si>
  <si>
    <t xml:space="preserve">"Total Debt" renamed Total Liabilities</t>
  </si>
  <si>
    <t xml:space="preserve">2. Before and after (base case)</t>
  </si>
  <si>
    <t xml:space="preserve">Before</t>
  </si>
  <si>
    <t xml:space="preserve">After</t>
  </si>
  <si>
    <t xml:space="preserve">Beta used in cost of equity</t>
  </si>
  <si>
    <t xml:space="preserve">Cost of equity</t>
  </si>
  <si>
    <t xml:space="preserve">Revenue growth FY26</t>
  </si>
  <si>
    <t xml:space="preserve">Revenue growth FY35</t>
  </si>
  <si>
    <t xml:space="preserve">NOPAT FY35</t>
  </si>
  <si>
    <t xml:space="preserve">Reinvestment rate FY35 (% of NOPAT)</t>
  </si>
  <si>
    <t xml:space="preserve">Unlevered FCF FY35</t>
  </si>
  <si>
    <t xml:space="preserve">Terminal-year FCF</t>
  </si>
  <si>
    <t xml:space="preserve">Terminal reinvestment (% of NOPAT)</t>
  </si>
  <si>
    <t xml:space="preserve">Terminal value</t>
  </si>
  <si>
    <t xml:space="preserve">PV of terminal value</t>
  </si>
  <si>
    <t xml:space="preserve">Sum of PV of FCF FY26 to FY35</t>
  </si>
  <si>
    <t xml:space="preserve">Enterprise value</t>
  </si>
  <si>
    <t xml:space="preserve">Debt and leases</t>
  </si>
  <si>
    <t xml:space="preserve">Equity value</t>
  </si>
  <si>
    <t xml:space="preserve">Implied price per share (EUR)</t>
  </si>
  <si>
    <t xml:space="preserve">Upside against current price</t>
  </si>
  <si>
    <t xml:space="preserve">Conservative scenario price (EUR)</t>
  </si>
  <si>
    <t xml:space="preserve">Optimistic scenario price (EUR)</t>
  </si>
  <si>
    <t xml:space="preserve">3. Checkpoint reconciliation (EUR per share)</t>
  </si>
  <si>
    <t xml:space="preserve">Step</t>
  </si>
  <si>
    <t xml:space="preserve">Model</t>
  </si>
  <si>
    <t xml:space="preserve">Reference</t>
  </si>
  <si>
    <t xml:space="preserve">Difference</t>
  </si>
  <si>
    <t xml:space="preserve">Status</t>
  </si>
  <si>
    <t xml:space="preserve">Original model</t>
  </si>
  <si>
    <t xml:space="preserve">Change 1 only</t>
  </si>
  <si>
    <t xml:space="preserve">Change 2 only, growth flat</t>
  </si>
  <si>
    <t xml:space="preserve">Changes 1 and 2, growth flat</t>
  </si>
  <si>
    <t xml:space="preserve">Changes 1, 2 and 3</t>
  </si>
  <si>
    <t xml:space="preserve">Changes 1 to 4, original tax, FY26 not prorated, no leases</t>
  </si>
  <si>
    <t xml:space="preserve">Final model (all changes)</t>
  </si>
  <si>
    <t xml:space="preserve">Tolerance</t>
  </si>
  <si>
    <t xml:space="preserve">Comps</t>
  </si>
  <si>
    <t xml:space="preserve">Financial Data</t>
  </si>
  <si>
    <t xml:space="preserve">Multiples</t>
  </si>
  <si>
    <t xml:space="preserve">Multiples (EBIT basis)</t>
  </si>
  <si>
    <t xml:space="preserve">Price</t>
  </si>
  <si>
    <t xml:space="preserve">Market Cap</t>
  </si>
  <si>
    <t xml:space="preserve">EV</t>
  </si>
  <si>
    <t xml:space="preserve">Growth 24</t>
  </si>
  <si>
    <t xml:space="preserve">Growth 25</t>
  </si>
  <si>
    <t xml:space="preserve">EBIT Margin 24</t>
  </si>
  <si>
    <t xml:space="preserve">EBIT Margin 25</t>
  </si>
  <si>
    <t xml:space="preserve">EV/EBITDA 24</t>
  </si>
  <si>
    <t xml:space="preserve">EV/EBITDA 25</t>
  </si>
  <si>
    <t xml:space="preserve">EV/Sales 24</t>
  </si>
  <si>
    <t xml:space="preserve">EV/Sales 25</t>
  </si>
  <si>
    <t xml:space="preserve">EV/EBIT 24</t>
  </si>
  <si>
    <t xml:space="preserve">EV/EBIT 25</t>
  </si>
  <si>
    <t xml:space="preserve">Name</t>
  </si>
  <si>
    <t xml:space="preserve">(Local CCY)</t>
  </si>
  <si>
    <t xml:space="preserve">(Local CCY M)</t>
  </si>
  <si>
    <t xml:space="preserve">(%)</t>
  </si>
  <si>
    <t xml:space="preserve">(x)</t>
  </si>
  <si>
    <t xml:space="preserve">EUR / GBP</t>
  </si>
  <si>
    <t xml:space="preserve">EUR M / GBP M</t>
  </si>
  <si>
    <t xml:space="preserve">Ryanair Holdings plc</t>
  </si>
  <si>
    <t xml:space="preserve">EZJ.L</t>
  </si>
  <si>
    <t xml:space="preserve">easyJet plc</t>
  </si>
  <si>
    <t xml:space="preserve">WIZZ.L</t>
  </si>
  <si>
    <t xml:space="preserve">Wizz Air Holdings plc</t>
  </si>
  <si>
    <t xml:space="preserve">IAG.MC</t>
  </si>
  <si>
    <t xml:space="preserve">International Airlines Group</t>
  </si>
  <si>
    <t xml:space="preserve">LHA.DE</t>
  </si>
  <si>
    <t xml:space="preserve">Deutsche Lufthansa AG</t>
  </si>
  <si>
    <t xml:space="preserve">AF.PA</t>
  </si>
  <si>
    <t xml:space="preserve">Air France-KLM</t>
  </si>
  <si>
    <t xml:space="preserve">PEER AVG (EX-RYA)</t>
  </si>
  <si>
    <t xml:space="preserve">PEER MEDIAN (EX-RYA)</t>
  </si>
  <si>
    <t xml:space="preserve">Implied Valuation from Peer Medians (Ryanair)</t>
  </si>
  <si>
    <t xml:space="preserve">Metric</t>
  </si>
  <si>
    <t xml:space="preserve">Peer Median Multiple (FY25)</t>
  </si>
  <si>
    <t xml:space="preserve">Ryanair Metric (FY25, EUR M)</t>
  </si>
  <si>
    <t xml:space="preserve">Implied EV (EUR M)</t>
  </si>
  <si>
    <t xml:space="preserve">(-) Debt</t>
  </si>
  <si>
    <t xml:space="preserve">Implied Equity (EUR M)</t>
  </si>
  <si>
    <t xml:space="preserve">Implied Price (€)</t>
  </si>
  <si>
    <t xml:space="preserve">vs. Mkt €26.19</t>
  </si>
  <si>
    <t xml:space="preserve">EV/EBITDA (FY25)</t>
  </si>
  <si>
    <t xml:space="preserve">EV/Sales (FY25)</t>
  </si>
  <si>
    <t xml:space="preserve">EV/EBIT (FY25)</t>
  </si>
  <si>
    <t xml:space="preserve">Note: Peer medians exclude Ryanair (EX-RYA). Implied EV = Multiple × Ryanair metric. Net Debt Bridge: (+) Cash €2,400M, (−) Debt €1,500M and leases €111M. Shares: 1,066.8M diluted. Large discount vs DCF reflects Ryanair's structurally superior margins vs legacy carriers — direct comps multiples understate intrinsic value.</t>
  </si>
  <si>
    <t xml:space="preserve">WACC = % of equity x cost of equity + % of debt x cost of debt x (1- Tax Rate)</t>
  </si>
  <si>
    <t xml:space="preserve">Cost of equity = Risk Free rate + Adjusted Beta x Market Risk Premium</t>
  </si>
  <si>
    <t xml:space="preserve">% of Equity</t>
  </si>
  <si>
    <t xml:space="preserve">Cost of Equity</t>
  </si>
  <si>
    <t xml:space="preserve">Risk Free Rate</t>
  </si>
  <si>
    <t xml:space="preserve">Beta (raw)</t>
  </si>
  <si>
    <t xml:space="preserve">Market Risk Premium</t>
  </si>
  <si>
    <t xml:space="preserve">Adjusted Beta (Blume: 1/3 x 1.0 + 2/3 x raw beta)</t>
  </si>
  <si>
    <t xml:space="preserve">Debt</t>
  </si>
  <si>
    <t xml:space="preserve">% of Debt</t>
  </si>
  <si>
    <t xml:space="preserve">Cost of Debt</t>
  </si>
  <si>
    <t xml:space="preserve">Tax Rate</t>
  </si>
  <si>
    <t xml:space="preserve">Total</t>
  </si>
  <si>
    <t xml:space="preserve">Verified Inputs &amp; Sources</t>
  </si>
  <si>
    <t xml:space="preserve">Value</t>
  </si>
  <si>
    <t xml:space="preserve">Units</t>
  </si>
  <si>
    <t xml:space="preserve">Source / Note</t>
  </si>
  <si>
    <t xml:space="preserve">Valuation date</t>
  </si>
  <si>
    <t xml:space="preserve">date</t>
  </si>
  <si>
    <t xml:space="preserve">Aligned to market price date used in the model.</t>
  </si>
  <si>
    <t xml:space="preserve">Current share price</t>
  </si>
  <si>
    <t xml:space="preserve">EUR/share</t>
  </si>
  <si>
    <t xml:space="preserve">Euronext Dublin last traded price on 06/03/2026.</t>
  </si>
  <si>
    <t xml:space="preserve">Gross cash</t>
  </si>
  <si>
    <t xml:space="preserve">EUR m</t>
  </si>
  <si>
    <t xml:space="preserve">Ryanair Q3 FY26 results: gross cash at 31 Dec 2025.</t>
  </si>
  <si>
    <t xml:space="preserve">Gross debt</t>
  </si>
  <si>
    <t xml:space="preserve">Ryanair Q3 FY26 results: gross debt at 31 Dec 2025.</t>
  </si>
  <si>
    <t xml:space="preserve">Basic shares outstanding</t>
  </si>
  <si>
    <t xml:space="preserve">m shares</t>
  </si>
  <si>
    <t xml:space="preserve">Balance at 31 Dec 2025; used for market cap and EV bridge.</t>
  </si>
  <si>
    <t xml:space="preserve">Diluted shares</t>
  </si>
  <si>
    <t xml:space="preserve">9M FY26 diluted weighted average shares; used for per-share DCF.</t>
  </si>
  <si>
    <t xml:space="preserve">Risk-free rate</t>
  </si>
  <si>
    <t xml:space="preserve">%</t>
  </si>
  <si>
    <t xml:space="preserve">Germany 10Y government bond yield on 06/03/2026.</t>
  </si>
  <si>
    <t xml:space="preserve">Beta</t>
  </si>
  <si>
    <t xml:space="preserve">x</t>
  </si>
  <si>
    <t xml:space="preserve">Analyst assumption retained from original model.</t>
  </si>
  <si>
    <t xml:space="preserve">Market risk premium</t>
  </si>
  <si>
    <t xml:space="preserve">Pre-tax cost of debt</t>
  </si>
  <si>
    <t xml:space="preserve">Q3 FY26 results, note 4: effective tax rate approx. 12% for the nine months to 31 Dec 2025 (prior year approx. 12%).</t>
  </si>
  <si>
    <t xml:space="preserve">Control note</t>
  </si>
  <si>
    <t xml:space="preserve">Market cap uses basic shares; DCF per-share output uses diluted shares.</t>
  </si>
  <si>
    <t xml:space="preserve">DCF Forecast Methodology</t>
  </si>
  <si>
    <t xml:space="preserve">Normalized Historical Average</t>
  </si>
  <si>
    <t xml:space="preserve">-</t>
  </si>
  <si>
    <t xml:space="preserve">All forecast drivers (revenue growth, EBIT margin, D&amp;A, CapEx, ΔWC) use flat normalized avg. Normal years: FY2017-2019 + FY2024-2025. Excluded: FY2020-2023 (Covid disruption + rebound distortion). Revenue growth starts at the normalised rate in FY26 and fades in equal steps to the terminal growth rate by FY35. From FY27 the reinvestment rate equals growth / RONIC, with RONIC fading from its FY26 implied level to WACC.</t>
  </si>
  <si>
    <t xml:space="preserve">Normalized Revenue Growth</t>
  </si>
  <si>
    <t xml:space="preserve">Avg of FY17(1.7%), FY18(7.6%), FY19(7.6%), FY24(24.8%), FY25(3.8%) excl. Covid years</t>
  </si>
  <si>
    <t xml:space="preserve">Normalized EBIT Margin</t>
  </si>
  <si>
    <t xml:space="preserve">Avg of FY17(23.1%), FY18(23.3%), FY19(13.2%), FY24(15.3%), FY25(11.2%) excl. Covid years</t>
  </si>
  <si>
    <t xml:space="preserve">Normalized D&amp;A %</t>
  </si>
  <si>
    <t xml:space="preserve">Avg of FY17-FY19 + FY24-FY25 D&amp;A as % of Revenue</t>
  </si>
  <si>
    <t xml:space="preserve">Normalized CapEx %</t>
  </si>
  <si>
    <t xml:space="preserve">Avg of FY17-FY19 + FY24-FY25 CapEx as % of Revenue</t>
  </si>
  <si>
    <t xml:space="preserve">Normalized ΔWC %</t>
  </si>
  <si>
    <t xml:space="preserve">Avg of FY17-FY19 + FY24-FY25 change in net working capital as % of Revenue (negative = cash source, typical for airlines)</t>
  </si>
  <si>
    <t xml:space="preserve">Lease liabilities</t>
  </si>
  <si>
    <t xml:space="preserve">Q3 FY26 results balance sheet at 31 Dec 2025: current 35.3 + non-current 75.9. Added to gross debt in the equity bridge.</t>
  </si>
  <si>
    <t xml:space="preserve">⚠ Data Note</t>
  </si>
  <si>
    <t xml:space="preserve">FY2016 historical revenue (€6,535.8M) should be verified against Ryanair's FY2016 Annual Report (year ended 31 March 2016). Some databases report FY2016 total revenues as ~€5,654M (ex-ancillary supplements). If restated, the normalized growth average would adjust from 9.09% to approx. 9.5%.</t>
  </si>
  <si>
    <t xml:space="preserve">Income Statement Data (€ million)</t>
  </si>
  <si>
    <t xml:space="preserve">FY23</t>
  </si>
  <si>
    <t xml:space="preserve">FY24</t>
  </si>
  <si>
    <t xml:space="preserve">FY25</t>
  </si>
  <si>
    <t xml:space="preserve">Total Revenue1</t>
  </si>
  <si>
    <t xml:space="preserve">Total Operating Costs1</t>
  </si>
  <si>
    <t xml:space="preserve">Profit Before Tax1</t>
  </si>
  <si>
    <t xml:space="preserve">Profit After Tax (Net Income)1</t>
  </si>
  <si>
    <t xml:space="preserve">Balance Sheet Data (€ million)</t>
  </si>
  <si>
    <t xml:space="preserve">Total Assets1</t>
  </si>
  <si>
    <t xml:space="preserve">Shareholder Equity1</t>
  </si>
  <si>
    <t xml:space="preserve">Gross Cash1</t>
  </si>
  <si>
    <t xml:space="preserve">Current Liabilities1</t>
  </si>
  <si>
    <t xml:space="preserve">Non-Current Liabilities1</t>
  </si>
  <si>
    <t xml:space="preserve">Total Liabilities</t>
  </si>
  <si>
    <t xml:space="preserve">Ratio</t>
  </si>
  <si>
    <t xml:space="preserve">Revenue Growth</t>
  </si>
  <si>
    <t xml:space="preserve">Net Income Growth</t>
  </si>
  <si>
    <t xml:space="preserve">n.m</t>
  </si>
  <si>
    <t xml:space="preserve">Net Profit Margin</t>
  </si>
  <si>
    <t xml:space="preserve">Operating Margin</t>
  </si>
  <si>
    <t xml:space="preserve">Cost-to-Revenue</t>
  </si>
  <si>
    <t xml:space="preserve">ROA</t>
  </si>
  <si>
    <t xml:space="preserve">ROE</t>
  </si>
  <si>
    <t xml:space="preserve">Liabilities Ratio</t>
  </si>
  <si>
    <t xml:space="preserve">Equity Ratio</t>
  </si>
  <si>
    <t xml:space="preserve">1 Ryanair Holdings plc. (2025). Ryanair 2025 annual report. Retrieved 6 March 2026</t>
  </si>
  <si>
    <t xml:space="preserve">Note: Revenue Growth (FY23) - Calculated using FY22 revenue of €4,800.9m and FY23 revenue of €10,775m, resulting in growth of 124.40%. FY22 is used only as a base year.</t>
  </si>
  <si>
    <t xml:space="preserve">Note: Net Income Growth (FY23) - FY22 net income was a loss of €240.8m, while FY23 net income was €1,313.8m. Because the base year is negative, the growth rate is not meaningful and reflects a turnaround from loss to profit.</t>
  </si>
  <si>
    <t xml:space="preserve">Calc</t>
  </si>
  <si>
    <t xml:space="preserve">Inputs</t>
  </si>
  <si>
    <t xml:space="preserve">D&amp;A (% of sales)</t>
  </si>
  <si>
    <t xml:space="preserve">CapEx (% of sales, FY26 level)</t>
  </si>
  <si>
    <t xml:space="preserve">Change in NWC (% of sales, FY26 level, negative = cash source)</t>
  </si>
  <si>
    <t xml:space="preserve">Revenue FY25 (base year, EUR m)</t>
  </si>
  <si>
    <t xml:space="preserve">Cash (EUR m)</t>
  </si>
  <si>
    <t xml:space="preserve">Debt and leases (EUR m)</t>
  </si>
  <si>
    <t xml:space="preserve">Diluted shares (m)</t>
  </si>
  <si>
    <t xml:space="preserve">Cost of equity with raw beta</t>
  </si>
  <si>
    <t xml:space="preserve">WACC with raw beta, original tax rate (before change 1)</t>
  </si>
  <si>
    <t xml:space="preserve">Original tax rate (before change 5)</t>
  </si>
  <si>
    <t xml:space="preserve">WACC with Blume beta, original tax rate</t>
  </si>
  <si>
    <t xml:space="preserve">Checkpoint steps</t>
  </si>
  <si>
    <t xml:space="preserve">Step 0. Original model</t>
  </si>
  <si>
    <t xml:space="preserve">Parameter</t>
  </si>
  <si>
    <t xml:space="preserve">Line</t>
  </si>
  <si>
    <t xml:space="preserve">Start growth (FY26)</t>
  </si>
  <si>
    <t xml:space="preserve">Revenue growth</t>
  </si>
  <si>
    <t xml:space="preserve">EBIT margin</t>
  </si>
  <si>
    <t xml:space="preserve">NOPAT = EBIT x (1 - tax)</t>
  </si>
  <si>
    <t xml:space="preserve">Terminal growth rate</t>
  </si>
  <si>
    <t xml:space="preserve">Growth fade (1 = yes, 0 = flat)</t>
  </si>
  <si>
    <t xml:space="preserve">Terminal FCF with g/WACC reinvestment (1 = yes, 0 = old)</t>
  </si>
  <si>
    <t xml:space="preserve">Net reinvestment (CapEx - D&amp;A + change in NWC)</t>
  </si>
  <si>
    <t xml:space="preserve">Reinvestment follows growth / RONIC (1 = yes, 0 = flat % of sales)</t>
  </si>
  <si>
    <t xml:space="preserve">Original assumptions (1 = 10% tax, FY26 not prorated, no leases)</t>
  </si>
  <si>
    <t xml:space="preserve">Discount period (years)</t>
  </si>
  <si>
    <t xml:space="preserve">PV of FCF</t>
  </si>
  <si>
    <t xml:space="preserve">Equity value (EV + cash - debt and leases)</t>
  </si>
  <si>
    <t xml:space="preserve">PV of terminal value (% of EV)</t>
  </si>
  <si>
    <t xml:space="preserve">Step 1. Change 1 only</t>
  </si>
  <si>
    <t xml:space="preserve">Step 2. Change 2 only, growth flat</t>
  </si>
  <si>
    <t xml:space="preserve">Step 3. Changes 1 and 2, growth flat</t>
  </si>
  <si>
    <t xml:space="preserve">Step 4. Changes 1, 2 and 3</t>
  </si>
  <si>
    <t xml:space="preserve">Step 5. Changes 1 to 4, original tax, FY26 not prorated, no leases</t>
  </si>
  <si>
    <t xml:space="preserve">Step 6. Final model (all changes)</t>
  </si>
  <si>
    <t xml:space="preserve">Scenarios</t>
  </si>
  <si>
    <t xml:space="preserve">Conservative, original method</t>
  </si>
  <si>
    <t xml:space="preserve">Optimistic, original method</t>
  </si>
  <si>
    <t xml:space="preserve">Sensitivity table cash flows</t>
  </si>
  <si>
    <t xml:space="preserve">Sensitivity, terminal growth from DCF!D92</t>
  </si>
  <si>
    <t xml:space="preserve">Sensitivity, terminal growth from DCF!F92</t>
  </si>
  <si>
    <t xml:space="preserve">Sensitivity, terminal growth from DCF!H92</t>
  </si>
  <si>
    <t xml:space="preserve">Sensitivity, terminal growth from DCF!J92</t>
  </si>
  <si>
    <t xml:space="preserve">Sensitivity, terminal growth from DCF!L92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</si>
</sst>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_(* #,##0.00_);_(* \(#,##0.00\);_(* \-??_);_(@_)"/>
    <numFmt numFmtId="166" formatCode="0%"/>
    <numFmt numFmtId="167" formatCode="\€#,##0.00"/>
    <numFmt numFmtId="168" formatCode="m/d/yyyy"/>
    <numFmt numFmtId="169" formatCode="dd\-mmm\-yyyy"/>
    <numFmt numFmtId="170" formatCode="\+0.0%;\(0.0%\)"/>
    <numFmt numFmtId="171" formatCode="0.0%"/>
    <numFmt numFmtId="172" formatCode="0.00%"/>
    <numFmt numFmtId="173" formatCode="0"/>
    <numFmt numFmtId="174" formatCode="#,##0.0;\(#,##0.0\);\-"/>
    <numFmt numFmtId="175" formatCode="0.0%;\(0.0%\);\-"/>
    <numFmt numFmtId="176" formatCode="_(* #,##0_);_(* \(#,##0\);_(* \-??_);_(@_)"/>
    <numFmt numFmtId="177" formatCode="0.00"/>
    <numFmt numFmtId="178" formatCode="0.000"/>
    <numFmt numFmtId="179" formatCode="#,##0;\(#,##0\);\-"/>
    <numFmt numFmtId="180" formatCode="_-* #,##0.00_-;\-* #,##0.00_-;_-* \-??_-;_-@_-"/>
    <numFmt numFmtId="181" formatCode="0.0000"/>
    <numFmt numFmtId="182" formatCode="0.00%;\-0.00%;\-"/>
    <numFmt numFmtId="183" formatCode="0.000%"/>
    <numFmt numFmtId="184" formatCode="0.00;\-0.00;0.00"/>
    <numFmt numFmtId="185" formatCode="#,##0"/>
    <numFmt numFmtId="186" formatCode="0.00\x"/>
    <numFmt numFmtId="187" formatCode="0.000\x"/>
    <numFmt numFmtId="188" formatCode="0.0"/>
    <numFmt numFmtId="189" formatCode="0.0\x"/>
    <numFmt numFmtId="190" formatCode="0.0000\x"/>
    <numFmt numFmtId="191" formatCode="#,##0.0"/>
    <numFmt numFmtId="192" formatCode="_-* #,##0_-;\-* #,##0_-;_-* \-??_-;_-@_-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9"/>
      <color theme="1"/>
      <name val="Calibri"/>
      <family val="2"/>
      <charset val="1"/>
    </font>
    <font>
      <i val="true"/>
      <sz val="10"/>
      <color rgb="FF0015FF"/>
      <name val="Arial"/>
      <family val="2"/>
      <charset val="1"/>
    </font>
    <font>
      <i val="true"/>
      <sz val="10"/>
      <color theme="1"/>
      <name val="Arial"/>
      <family val="2"/>
      <charset val="1"/>
    </font>
    <font>
      <b val="true"/>
      <sz val="1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u val="single"/>
      <sz val="10"/>
      <color rgb="FF0015FF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9C57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sz val="8"/>
      <color rgb="FF0015FF"/>
      <name val="Calibri"/>
      <family val="2"/>
      <charset val="1"/>
    </font>
    <font>
      <b val="true"/>
      <sz val="9"/>
      <color theme="1"/>
      <name val="Arial"/>
      <family val="2"/>
      <charset val="1"/>
    </font>
    <font>
      <sz val="14"/>
      <color theme="1"/>
      <name val="Calibri"/>
      <family val="2"/>
      <charset val="1"/>
    </font>
    <font>
      <sz val="9"/>
      <color theme="1"/>
      <name val="Arial"/>
      <family val="2"/>
      <charset val="1"/>
    </font>
    <font>
      <sz val="9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9"/>
      <color rgb="FF00800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9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0"/>
      <color rgb="FF14181F"/>
      <name val="Calibri"/>
      <family val="2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8"/>
      <color theme="0"/>
      <name val="Arial"/>
      <family val="2"/>
      <charset val="1"/>
    </font>
    <font>
      <sz val="9"/>
      <color rgb="FFFF0000"/>
      <name val="Arial"/>
      <family val="2"/>
      <charset val="1"/>
    </font>
    <font>
      <i val="true"/>
      <sz val="8"/>
      <name val="Arial"/>
      <family val="2"/>
      <charset val="1"/>
    </font>
    <font>
      <sz val="6"/>
      <color rgb="FF232A31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rgb="FFFF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FCC99"/>
        <bgColor rgb="FFFFEB9C"/>
      </patternFill>
    </fill>
    <fill>
      <patternFill patternType="solid">
        <fgColor rgb="FFFFEB9C"/>
        <bgColor rgb="FFFFCC99"/>
      </patternFill>
    </fill>
    <fill>
      <patternFill patternType="solid">
        <fgColor rgb="FFD6E4F0"/>
        <bgColor rgb="FFDEEBF7"/>
      </patternFill>
    </fill>
    <fill>
      <patternFill patternType="solid">
        <fgColor rgb="FF1F3864"/>
        <bgColor rgb="FF333F4F"/>
      </patternFill>
    </fill>
    <fill>
      <patternFill patternType="solid">
        <fgColor theme="3" tint="-0.25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FBFBF"/>
      </patternFill>
    </fill>
    <fill>
      <patternFill patternType="solid">
        <fgColor rgb="FF2F75B6"/>
        <bgColor rgb="FF008080"/>
      </patternFill>
    </fill>
    <fill>
      <patternFill patternType="solid">
        <fgColor rgb="FFF2F2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theme="2"/>
        <bgColor rgb="FFDEEBF7"/>
      </patternFill>
    </fill>
    <fill>
      <patternFill patternType="solid">
        <fgColor rgb="FF1F4E78"/>
        <bgColor rgb="FF1F3864"/>
      </patternFill>
    </fill>
    <fill>
      <patternFill patternType="solid">
        <fgColor theme="8" tint="0.3999"/>
        <bgColor rgb="FFB7C9D6"/>
      </patternFill>
    </fill>
    <fill>
      <patternFill patternType="solid">
        <fgColor theme="8" tint="0.7999"/>
        <bgColor rgb="FFD6E4F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4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</cellStyleXfs>
  <cellXfs count="2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2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1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6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6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0" fontId="2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1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1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4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1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3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lDataCopyrightStyle" xfId="20"/>
    <cellStyle name="amountsStyle" xfId="21"/>
    <cellStyle name="Arial10ItalicBlueStyle" xfId="22"/>
    <cellStyle name="Arial10ItalicStyle" xfId="23"/>
    <cellStyle name="bondFinValueStyle" xfId="24"/>
    <cellStyle name="Comma 2" xfId="25"/>
    <cellStyle name="companyNameStyle" xfId="26"/>
    <cellStyle name="downloadOnStyle" xfId="27"/>
    <cellStyle name="filedDateStyle" xfId="28"/>
    <cellStyle name="finCategoryStyle" xfId="29"/>
    <cellStyle name="finHeaderTitleStyle" xfId="30"/>
    <cellStyle name="finItemStyle" xfId="31"/>
    <cellStyle name="finValueStyle" xfId="32"/>
    <cellStyle name="FooterStyle" xfId="33"/>
    <cellStyle name="headerLinkStyle" xfId="34"/>
    <cellStyle name="hyperLinkStyle" xfId="35"/>
    <cellStyle name="Input" xfId="36"/>
    <cellStyle name="Neutrale" xfId="37"/>
    <cellStyle name="Normal 2" xfId="38"/>
    <cellStyle name="Normal 3" xfId="39"/>
    <cellStyle name="Percent 2" xfId="40"/>
    <cellStyle name="SourcingSheetBaseStyle" xfId="41"/>
    <cellStyle name="summaryStatsHeaderStyle" xfId="42"/>
    <cellStyle name="summaryStatsHeaderTitleStyle" xfId="43"/>
    <cellStyle name="viewHeaderStyle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EEBF7"/>
      <rgbColor rgb="FF660066"/>
      <rgbColor rgb="FFFF8080"/>
      <rgbColor rgb="FF1F4E78"/>
      <rgbColor rgb="FFB7C9D6"/>
      <rgbColor rgb="FF000080"/>
      <rgbColor rgb="FFFF00FF"/>
      <rgbColor rgb="FFFFFF00"/>
      <rgbColor rgb="FF00FFFF"/>
      <rgbColor rgb="FF800080"/>
      <rgbColor rgb="FF800000"/>
      <rgbColor rgb="FF008080"/>
      <rgbColor rgb="FF0015FF"/>
      <rgbColor rgb="FF00CCFF"/>
      <rgbColor rgb="FFD6E4F0"/>
      <rgbColor rgb="FFE7E6E6"/>
      <rgbColor rgb="FFFFEB9C"/>
      <rgbColor rgb="FF9DC3E6"/>
      <rgbColor rgb="FFFF99CC"/>
      <rgbColor rgb="FFCC99FF"/>
      <rgbColor rgb="FFFFCC99"/>
      <rgbColor rgb="FF2F75B6"/>
      <rgbColor rgb="FF33CCCC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14181F"/>
      <rgbColor rgb="FF333F4F"/>
      <rgbColor rgb="FF9C5700"/>
      <rgbColor rgb="FF993366"/>
      <rgbColor rgb="FF3F3F76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Y101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1" activeCellId="0" sqref="F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4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27.5"/>
    <col collapsed="false" customWidth="true" hidden="false" outlineLevel="0" max="7" min="7" style="1" width="11"/>
    <col collapsed="false" customWidth="true" hidden="false" outlineLevel="0" max="8" min="8" style="1" width="14.33"/>
    <col collapsed="false" customWidth="true" hidden="false" outlineLevel="0" max="9" min="9" style="1" width="11"/>
    <col collapsed="false" customWidth="true" hidden="false" outlineLevel="0" max="10" min="10" style="1" width="27.5"/>
    <col collapsed="false" customWidth="true" hidden="false" outlineLevel="0" max="11" min="11" style="1" width="11"/>
    <col collapsed="false" customWidth="true" hidden="false" outlineLevel="0" max="12" min="12" style="1" width="14.33"/>
    <col collapsed="false" customWidth="true" hidden="false" outlineLevel="0" max="13" min="13" style="1" width="24.83"/>
    <col collapsed="false" customWidth="true" hidden="false" outlineLevel="0" max="14" min="14" style="1" width="27.5"/>
    <col collapsed="false" customWidth="true" hidden="false" outlineLevel="0" max="15" min="15" style="1" width="11"/>
    <col collapsed="false" customWidth="true" hidden="false" outlineLevel="0" max="16" min="16" style="1" width="14.33"/>
    <col collapsed="false" customWidth="true" hidden="false" outlineLevel="0" max="25" min="17" style="1" width="11"/>
  </cols>
  <sheetData>
    <row r="3" s="2" customFormat="true" ht="21" hidden="false" customHeight="true" outlineLevel="0" collapsed="false">
      <c r="B3" s="3" t="s">
        <v>0</v>
      </c>
      <c r="C3" s="4"/>
    </row>
    <row r="4" customFormat="false" ht="18.75" hidden="false" customHeight="true" outlineLevel="0" collapsed="false">
      <c r="B4" s="5"/>
      <c r="C4" s="5"/>
    </row>
    <row r="5" customFormat="false" ht="18.75" hidden="false" customHeight="true" outlineLevel="0" collapsed="false">
      <c r="B5" s="6" t="s">
        <v>1</v>
      </c>
      <c r="C5" s="5"/>
      <c r="D5" s="7" t="s">
        <v>2</v>
      </c>
      <c r="F5" s="8" t="s">
        <v>3</v>
      </c>
      <c r="I5" s="9" t="n">
        <f aca="false">S81</f>
        <v>31.6198010060632</v>
      </c>
      <c r="K5" s="8" t="s">
        <v>4</v>
      </c>
    </row>
    <row r="6" customFormat="false" ht="18.75" hidden="false" customHeight="true" outlineLevel="0" collapsed="false">
      <c r="B6" s="6" t="s">
        <v>5</v>
      </c>
      <c r="C6" s="5"/>
      <c r="D6" s="10" t="n">
        <f aca="false">'Sources &amp; Checks'!$B$4</f>
        <v>46087</v>
      </c>
      <c r="F6" s="8" t="s">
        <v>6</v>
      </c>
      <c r="I6" s="9" t="n">
        <f aca="false">'Sources &amp; Checks'!$B$5</f>
        <v>26.19</v>
      </c>
      <c r="K6" s="8" t="s">
        <v>7</v>
      </c>
    </row>
    <row r="7" customFormat="false" ht="18.75" hidden="false" customHeight="true" outlineLevel="0" collapsed="false">
      <c r="B7" s="6" t="s">
        <v>8</v>
      </c>
      <c r="C7" s="5"/>
      <c r="D7" s="11" t="n">
        <v>46112</v>
      </c>
      <c r="F7" s="8" t="s">
        <v>9</v>
      </c>
      <c r="I7" s="12" t="n">
        <f aca="false">I5/I6-1</f>
        <v>0.207323444294127</v>
      </c>
    </row>
    <row r="9" customFormat="false" ht="15" hidden="false" customHeight="true" outlineLevel="0" collapsed="false">
      <c r="A9" s="13" t="s">
        <v>10</v>
      </c>
      <c r="B9" s="14" t="s">
        <v>11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true" outlineLevel="0" collapsed="false">
      <c r="B10" s="8" t="s">
        <v>12</v>
      </c>
      <c r="F10" s="8" t="s">
        <v>13</v>
      </c>
      <c r="J10" s="8" t="s">
        <v>14</v>
      </c>
      <c r="N10" s="8" t="s">
        <v>15</v>
      </c>
    </row>
    <row r="11" customFormat="false" ht="15" hidden="false" customHeight="true" outlineLevel="0" collapsed="false">
      <c r="B11" s="8" t="s">
        <v>16</v>
      </c>
      <c r="D11" s="16" t="n">
        <v>2</v>
      </c>
      <c r="F11" s="8" t="s">
        <v>17</v>
      </c>
      <c r="H11" s="17" t="n">
        <v>0.07</v>
      </c>
      <c r="J11" s="8" t="s">
        <v>17</v>
      </c>
      <c r="L11" s="17" t="n">
        <f aca="false">'Sources &amp; Checks'!$B$19</f>
        <v>0.0909</v>
      </c>
      <c r="N11" s="8" t="s">
        <v>17</v>
      </c>
      <c r="P11" s="17" t="n">
        <v>0.11</v>
      </c>
    </row>
    <row r="12" customFormat="false" ht="15" hidden="false" customHeight="true" outlineLevel="0" collapsed="false">
      <c r="B12" s="8" t="s">
        <v>18</v>
      </c>
      <c r="D12" s="16" t="n">
        <v>2</v>
      </c>
      <c r="F12" s="8" t="s">
        <v>19</v>
      </c>
      <c r="H12" s="18" t="s">
        <v>20</v>
      </c>
      <c r="J12" s="8" t="s">
        <v>19</v>
      </c>
      <c r="L12" s="18" t="s">
        <v>20</v>
      </c>
      <c r="N12" s="8" t="s">
        <v>19</v>
      </c>
      <c r="P12" s="18" t="s">
        <v>20</v>
      </c>
    </row>
    <row r="13" customFormat="false" ht="15" hidden="false" customHeight="true" outlineLevel="0" collapsed="false">
      <c r="B13" s="8" t="s">
        <v>21</v>
      </c>
      <c r="D13" s="16" t="n">
        <v>2</v>
      </c>
      <c r="F13" s="8" t="s">
        <v>22</v>
      </c>
      <c r="H13" s="17" t="n">
        <v>0.16</v>
      </c>
      <c r="J13" s="8" t="s">
        <v>22</v>
      </c>
      <c r="L13" s="17" t="n">
        <f aca="false">'Sources &amp; Checks'!$B$20</f>
        <v>0.1722</v>
      </c>
      <c r="N13" s="8" t="s">
        <v>22</v>
      </c>
      <c r="P13" s="17" t="n">
        <v>0.185</v>
      </c>
    </row>
    <row r="14" customFormat="false" ht="15" hidden="false" customHeight="true" outlineLevel="0" collapsed="false">
      <c r="B14" s="8" t="s">
        <v>23</v>
      </c>
      <c r="D14" s="16" t="n">
        <v>2</v>
      </c>
      <c r="F14" s="8" t="s">
        <v>24</v>
      </c>
      <c r="H14" s="17" t="s">
        <v>25</v>
      </c>
      <c r="J14" s="8" t="s">
        <v>24</v>
      </c>
      <c r="L14" s="17" t="s">
        <v>25</v>
      </c>
      <c r="N14" s="8" t="s">
        <v>24</v>
      </c>
      <c r="P14" s="17" t="s">
        <v>25</v>
      </c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B16" s="8" t="s">
        <v>21</v>
      </c>
      <c r="D16" s="19" t="n">
        <f aca="false">CHOOSE(D13,H16,L16,P16)</f>
        <v>0.0858027889618787</v>
      </c>
      <c r="F16" s="8" t="s">
        <v>21</v>
      </c>
      <c r="H16" s="20" t="n">
        <v>0.092</v>
      </c>
      <c r="J16" s="8" t="s">
        <v>21</v>
      </c>
      <c r="L16" s="19" t="n">
        <f aca="false">WACC!F22</f>
        <v>0.0858027889618787</v>
      </c>
      <c r="N16" s="8" t="s">
        <v>21</v>
      </c>
      <c r="P16" s="20" t="n">
        <v>0.082</v>
      </c>
    </row>
    <row r="17" customFormat="false" ht="15" hidden="false" customHeight="true" outlineLevel="0" collapsed="false">
      <c r="B17" s="8" t="s">
        <v>23</v>
      </c>
      <c r="D17" s="20" t="n">
        <f aca="false">CHOOSE(D14,H17,L17,P17)</f>
        <v>0.015</v>
      </c>
      <c r="F17" s="8" t="s">
        <v>23</v>
      </c>
      <c r="H17" s="20" t="n">
        <v>0.01</v>
      </c>
      <c r="J17" s="8" t="s">
        <v>23</v>
      </c>
      <c r="L17" s="20" t="n">
        <v>0.015</v>
      </c>
      <c r="N17" s="8" t="s">
        <v>23</v>
      </c>
      <c r="P17" s="20" t="n">
        <v>0.02</v>
      </c>
    </row>
    <row r="18" customFormat="false" ht="15" hidden="false" customHeight="true" outlineLevel="0" collapsed="false">
      <c r="B18" s="8" t="s">
        <v>26</v>
      </c>
      <c r="D18" s="21" t="n">
        <f aca="false">COLUMNS(P40:X40)</f>
        <v>9</v>
      </c>
    </row>
    <row r="19" customFormat="false" ht="15" hidden="false" customHeight="true" outlineLevel="0" collapsed="false">
      <c r="A19" s="22" t="s">
        <v>10</v>
      </c>
      <c r="B19" s="23" t="s">
        <v>27</v>
      </c>
      <c r="C19" s="15"/>
      <c r="D19" s="15"/>
      <c r="E19" s="24" t="n">
        <v>2016</v>
      </c>
      <c r="F19" s="24" t="n">
        <f aca="false">E19+1</f>
        <v>2017</v>
      </c>
      <c r="G19" s="24" t="n">
        <f aca="false">F19+1</f>
        <v>2018</v>
      </c>
      <c r="H19" s="24" t="n">
        <f aca="false">G19+1</f>
        <v>2019</v>
      </c>
      <c r="I19" s="24" t="n">
        <f aca="false">H19+1</f>
        <v>2020</v>
      </c>
      <c r="J19" s="24" t="n">
        <f aca="false">I19+1</f>
        <v>2021</v>
      </c>
      <c r="K19" s="24" t="n">
        <f aca="false">J19+1</f>
        <v>2022</v>
      </c>
      <c r="L19" s="24" t="n">
        <f aca="false">K19+1</f>
        <v>2023</v>
      </c>
      <c r="M19" s="24" t="n">
        <f aca="false">L19+1</f>
        <v>2024</v>
      </c>
      <c r="N19" s="24" t="n">
        <f aca="false">M19+1</f>
        <v>2025</v>
      </c>
      <c r="O19" s="24" t="n">
        <f aca="false">N19+1</f>
        <v>2026</v>
      </c>
      <c r="P19" s="24" t="n">
        <f aca="false">O19+1</f>
        <v>2027</v>
      </c>
      <c r="Q19" s="24" t="n">
        <f aca="false">P19+1</f>
        <v>2028</v>
      </c>
      <c r="R19" s="24" t="n">
        <f aca="false">Q19+1</f>
        <v>2029</v>
      </c>
      <c r="S19" s="24" t="n">
        <f aca="false">R19+1</f>
        <v>2030</v>
      </c>
      <c r="T19" s="24" t="n">
        <f aca="false">S19+1</f>
        <v>2031</v>
      </c>
      <c r="U19" s="24" t="n">
        <f aca="false">T19+1</f>
        <v>2032</v>
      </c>
      <c r="V19" s="24" t="n">
        <f aca="false">U19+1</f>
        <v>2033</v>
      </c>
      <c r="W19" s="24" t="n">
        <f aca="false">V19+1</f>
        <v>2034</v>
      </c>
      <c r="X19" s="24" t="n">
        <f aca="false">W19+1</f>
        <v>2035</v>
      </c>
    </row>
    <row r="20" customFormat="false" ht="15" hidden="false" customHeight="true" outlineLevel="0" collapsed="false">
      <c r="B20" s="25" t="s">
        <v>16</v>
      </c>
      <c r="E20" s="26" t="n">
        <v>6535.8</v>
      </c>
      <c r="F20" s="26" t="n">
        <v>6647.8</v>
      </c>
      <c r="G20" s="26" t="n">
        <v>7151</v>
      </c>
      <c r="H20" s="26" t="n">
        <v>7697.4</v>
      </c>
      <c r="I20" s="26" t="n">
        <v>8494.8</v>
      </c>
      <c r="J20" s="26" t="n">
        <v>1635.8</v>
      </c>
      <c r="K20" s="26" t="n">
        <v>4800.9</v>
      </c>
      <c r="L20" s="26" t="n">
        <v>10775.2</v>
      </c>
      <c r="M20" s="26" t="n">
        <v>13443.8</v>
      </c>
      <c r="N20" s="26" t="n">
        <v>13948.5</v>
      </c>
      <c r="O20" s="26" t="n">
        <f aca="false">N20*(1+O21)</f>
        <v>15216.41865</v>
      </c>
      <c r="P20" s="26" t="n">
        <f aca="false">O20*(1+P21)</f>
        <v>16471.26597467</v>
      </c>
      <c r="Q20" s="26" t="n">
        <f aca="false">P20*(1+Q21)</f>
        <v>17690.6886989947</v>
      </c>
      <c r="R20" s="26" t="n">
        <f aca="false">Q20*(1+R21)</f>
        <v>18851.1978776488</v>
      </c>
      <c r="S20" s="26" t="n">
        <f aca="false">R20*(1+S21)</f>
        <v>19928.8580229877</v>
      </c>
      <c r="T20" s="26" t="n">
        <f aca="false">T39</f>
        <v>20900.0577039746</v>
      </c>
      <c r="U20" s="26" t="n">
        <f aca="false">U39</f>
        <v>21742.3300294448</v>
      </c>
      <c r="V20" s="26" t="n">
        <f aca="false">V39</f>
        <v>22435.1856130498</v>
      </c>
      <c r="W20" s="26" t="n">
        <f aca="false">W39</f>
        <v>22960.9167959156</v>
      </c>
      <c r="X20" s="27" t="n">
        <f aca="false">X39</f>
        <v>23305.3305478543</v>
      </c>
    </row>
    <row r="21" customFormat="false" ht="15" hidden="false" customHeight="true" outlineLevel="0" collapsed="false">
      <c r="B21" s="28" t="s">
        <v>28</v>
      </c>
      <c r="C21" s="29"/>
      <c r="D21" s="29"/>
      <c r="E21" s="28" t="s">
        <v>29</v>
      </c>
      <c r="F21" s="28" t="n">
        <f aca="false">F20/E20-1</f>
        <v>0.0171363872823527</v>
      </c>
      <c r="G21" s="28" t="n">
        <f aca="false">G20/F20-1</f>
        <v>0.0756942146273956</v>
      </c>
      <c r="H21" s="28" t="n">
        <f aca="false">H20/G20-1</f>
        <v>0.0764088938609984</v>
      </c>
      <c r="I21" s="28" t="n">
        <f aca="false">I20/H20-1</f>
        <v>0.103593421155195</v>
      </c>
      <c r="J21" s="28" t="n">
        <f aca="false">J20/I20-1</f>
        <v>-0.807435136789565</v>
      </c>
      <c r="K21" s="28" t="n">
        <f aca="false">K20/J20-1</f>
        <v>1.9348942413498</v>
      </c>
      <c r="L21" s="28" t="n">
        <f aca="false">L20/K20-1</f>
        <v>1.24441250598846</v>
      </c>
      <c r="M21" s="28" t="n">
        <f aca="false">M20/L20-1</f>
        <v>0.247661296310045</v>
      </c>
      <c r="N21" s="28" t="n">
        <f aca="false">N20/M20-1</f>
        <v>0.0375414689299156</v>
      </c>
      <c r="O21" s="28" t="n">
        <f aca="false">O40</f>
        <v>0.0909</v>
      </c>
      <c r="P21" s="28" t="n">
        <f aca="false">P40</f>
        <v>0.0824666666666667</v>
      </c>
      <c r="Q21" s="28" t="n">
        <f aca="false">Q40</f>
        <v>0.0740333333333333</v>
      </c>
      <c r="R21" s="28" t="n">
        <f aca="false">R40</f>
        <v>0.0656</v>
      </c>
      <c r="S21" s="28" t="n">
        <f aca="false">S40</f>
        <v>0.0571666666666667</v>
      </c>
      <c r="T21" s="28" t="n">
        <f aca="false">T40</f>
        <v>0.0487333333333333</v>
      </c>
      <c r="U21" s="28" t="n">
        <f aca="false">U40</f>
        <v>0.0403</v>
      </c>
      <c r="V21" s="28" t="n">
        <f aca="false">V40</f>
        <v>0.0318666666666667</v>
      </c>
      <c r="W21" s="28" t="n">
        <f aca="false">W40</f>
        <v>0.0234333333333333</v>
      </c>
      <c r="X21" s="30" t="n">
        <f aca="false">X40</f>
        <v>0.015</v>
      </c>
    </row>
    <row r="22" customFormat="false" ht="15" hidden="false" customHeight="true" outlineLevel="0" collapsed="false">
      <c r="B22" s="25" t="s">
        <v>30</v>
      </c>
      <c r="E22" s="26" t="n">
        <f aca="false">E23+E28</f>
        <v>1887.4</v>
      </c>
      <c r="F22" s="26" t="n">
        <f aca="false">F23+F28</f>
        <v>2031.5</v>
      </c>
      <c r="G22" s="26" t="n">
        <f aca="false">G23+G28</f>
        <v>2228.3</v>
      </c>
      <c r="H22" s="26" t="n">
        <f aca="false">H23+H28</f>
        <v>1657.3</v>
      </c>
      <c r="I22" s="26" t="n">
        <f aca="false">I23+I28</f>
        <v>1876.1</v>
      </c>
      <c r="J22" s="26" t="n">
        <f aca="false">J23+J28</f>
        <v>-268.4</v>
      </c>
      <c r="K22" s="26" t="n">
        <f aca="false">K23+K28</f>
        <v>379.8</v>
      </c>
      <c r="L22" s="26" t="n">
        <f aca="false">L23+L28</f>
        <v>2365.8</v>
      </c>
      <c r="M22" s="26" t="n">
        <f aca="false">M23+M28</f>
        <v>3120.2</v>
      </c>
      <c r="N22" s="26" t="n">
        <f aca="false">N23+N28</f>
        <v>2772.4</v>
      </c>
      <c r="O22" s="26" t="n">
        <f aca="false">O45+O56</f>
        <v>3845.188992855</v>
      </c>
      <c r="P22" s="26" t="n">
        <f aca="false">P45+P56</f>
        <v>4162.28891179911</v>
      </c>
      <c r="Q22" s="26" t="n">
        <f aca="false">Q45+Q56</f>
        <v>4470.43703423597</v>
      </c>
      <c r="R22" s="26" t="n">
        <f aca="false">R45+R56</f>
        <v>4763.69770368185</v>
      </c>
      <c r="S22" s="26" t="n">
        <f aca="false">S45+S56</f>
        <v>5036.02242240899</v>
      </c>
      <c r="T22" s="26" t="n">
        <f aca="false">T45+T56</f>
        <v>5281.44458179439</v>
      </c>
      <c r="U22" s="26" t="n">
        <f aca="false">U45+U56</f>
        <v>5494.28679844071</v>
      </c>
      <c r="V22" s="26" t="n">
        <f aca="false">V45+V56</f>
        <v>5669.37140441768</v>
      </c>
      <c r="W22" s="26" t="n">
        <f aca="false">W45+W56</f>
        <v>5802.22367432787</v>
      </c>
      <c r="X22" s="27" t="n">
        <f aca="false">X45+X56</f>
        <v>5889.25702944279</v>
      </c>
    </row>
    <row r="23" customFormat="false" ht="15" hidden="false" customHeight="true" outlineLevel="0" collapsed="false">
      <c r="B23" s="25" t="s">
        <v>18</v>
      </c>
      <c r="E23" s="26" t="n">
        <v>1460.1</v>
      </c>
      <c r="F23" s="26" t="n">
        <v>1534</v>
      </c>
      <c r="G23" s="26" t="n">
        <v>1667.3</v>
      </c>
      <c r="H23" s="26" t="n">
        <v>1016.8</v>
      </c>
      <c r="I23" s="26" t="n">
        <v>1127.4</v>
      </c>
      <c r="J23" s="26" t="n">
        <v>-839.4</v>
      </c>
      <c r="K23" s="26" t="n">
        <v>-339.6</v>
      </c>
      <c r="L23" s="26" t="n">
        <v>1442.6</v>
      </c>
      <c r="M23" s="26" t="n">
        <v>2060.7</v>
      </c>
      <c r="N23" s="26" t="n">
        <v>1558</v>
      </c>
      <c r="O23" s="26" t="n">
        <f aca="false">O20*O24</f>
        <v>2620.26729153</v>
      </c>
      <c r="P23" s="26" t="n">
        <f aca="false">P20*P24</f>
        <v>2836.35200083817</v>
      </c>
      <c r="Q23" s="26" t="n">
        <f aca="false">Q20*Q24</f>
        <v>3046.33659396689</v>
      </c>
      <c r="R23" s="26" t="n">
        <f aca="false">R20*R24</f>
        <v>3246.17627453112</v>
      </c>
      <c r="S23" s="26" t="n">
        <f aca="false">S20*S24</f>
        <v>3431.74935155848</v>
      </c>
      <c r="T23" s="26" t="n">
        <f aca="false">T45</f>
        <v>3598.98993662443</v>
      </c>
      <c r="U23" s="26" t="n">
        <f aca="false">U45</f>
        <v>3744.0292310704</v>
      </c>
      <c r="V23" s="26" t="n">
        <f aca="false">V45</f>
        <v>3863.33896256718</v>
      </c>
      <c r="W23" s="26" t="n">
        <f aca="false">W45</f>
        <v>3953.86987225667</v>
      </c>
      <c r="X23" s="27" t="n">
        <f aca="false">X45</f>
        <v>4013.17792034052</v>
      </c>
    </row>
    <row r="24" customFormat="false" ht="15" hidden="false" customHeight="true" outlineLevel="0" collapsed="false">
      <c r="B24" s="28" t="s">
        <v>31</v>
      </c>
      <c r="C24" s="29"/>
      <c r="D24" s="29"/>
      <c r="E24" s="28" t="n">
        <f aca="false">E23/E20</f>
        <v>0.223400348847884</v>
      </c>
      <c r="F24" s="28" t="n">
        <f aca="false">F23/F20</f>
        <v>0.230753031077951</v>
      </c>
      <c r="G24" s="28" t="n">
        <f aca="false">G23/G20</f>
        <v>0.2331562019298</v>
      </c>
      <c r="H24" s="28" t="n">
        <f aca="false">H23/H20</f>
        <v>0.132096552082521</v>
      </c>
      <c r="I24" s="28" t="n">
        <f aca="false">I23/I20</f>
        <v>0.132716485379291</v>
      </c>
      <c r="J24" s="28" t="n">
        <f aca="false">J23/J20</f>
        <v>-0.513143416065534</v>
      </c>
      <c r="K24" s="28" t="n">
        <f aca="false">K23/K20</f>
        <v>-0.0707367368618384</v>
      </c>
      <c r="L24" s="28" t="n">
        <f aca="false">L23/L20</f>
        <v>0.133881505679709</v>
      </c>
      <c r="M24" s="28" t="n">
        <f aca="false">M23/M20</f>
        <v>0.15328255403978</v>
      </c>
      <c r="N24" s="28" t="n">
        <f aca="false">N23/N20</f>
        <v>0.111696598200523</v>
      </c>
      <c r="O24" s="28" t="n">
        <f aca="false">O46</f>
        <v>0.1722</v>
      </c>
      <c r="P24" s="28" t="n">
        <f aca="false">P46</f>
        <v>0.1722</v>
      </c>
      <c r="Q24" s="28" t="n">
        <f aca="false">Q46</f>
        <v>0.1722</v>
      </c>
      <c r="R24" s="28" t="n">
        <f aca="false">R46</f>
        <v>0.1722</v>
      </c>
      <c r="S24" s="28" t="n">
        <f aca="false">S46</f>
        <v>0.1722</v>
      </c>
      <c r="T24" s="28" t="n">
        <f aca="false">T46</f>
        <v>0.1722</v>
      </c>
      <c r="U24" s="28" t="n">
        <f aca="false">U46</f>
        <v>0.1722</v>
      </c>
      <c r="V24" s="28" t="n">
        <f aca="false">V46</f>
        <v>0.1722</v>
      </c>
      <c r="W24" s="28" t="n">
        <f aca="false">W46</f>
        <v>0.1722</v>
      </c>
      <c r="X24" s="30" t="n">
        <f aca="false">X46</f>
        <v>0.1722</v>
      </c>
    </row>
    <row r="25" customFormat="false" ht="15" hidden="false" customHeight="true" outlineLevel="0" collapsed="false">
      <c r="B25" s="25" t="s">
        <v>32</v>
      </c>
      <c r="E25" s="26" t="n">
        <v>162.8</v>
      </c>
      <c r="F25" s="26" t="n">
        <v>154.4</v>
      </c>
      <c r="G25" s="26" t="n">
        <v>161.1</v>
      </c>
      <c r="H25" s="26" t="n">
        <v>63.1</v>
      </c>
      <c r="I25" s="26" t="n">
        <v>21.6</v>
      </c>
      <c r="J25" s="26" t="n">
        <v>-93.6</v>
      </c>
      <c r="K25" s="26" t="n">
        <v>-189</v>
      </c>
      <c r="L25" s="26" t="n">
        <v>128.7</v>
      </c>
      <c r="M25" s="26" t="n">
        <v>210.9</v>
      </c>
      <c r="N25" s="26" t="n">
        <v>172.8</v>
      </c>
      <c r="O25" s="26" t="n">
        <f aca="false">O23*O26</f>
        <v>314.4320749836</v>
      </c>
      <c r="P25" s="26" t="n">
        <f aca="false">P23*P26</f>
        <v>340.362240100581</v>
      </c>
      <c r="Q25" s="26" t="n">
        <f aca="false">Q23*Q26</f>
        <v>365.560391276027</v>
      </c>
      <c r="R25" s="26" t="n">
        <f aca="false">R23*R26</f>
        <v>389.541152943735</v>
      </c>
      <c r="S25" s="26" t="n">
        <f aca="false">S23*S26</f>
        <v>411.809922187018</v>
      </c>
      <c r="T25" s="26" t="n">
        <f aca="false">T51</f>
        <v>431.878792394932</v>
      </c>
      <c r="U25" s="26" t="n">
        <f aca="false">U51</f>
        <v>449.283507728448</v>
      </c>
      <c r="V25" s="26" t="n">
        <f aca="false">V51</f>
        <v>463.600675508061</v>
      </c>
      <c r="W25" s="26" t="n">
        <f aca="false">W51</f>
        <v>474.4643846708</v>
      </c>
      <c r="X25" s="27" t="n">
        <f aca="false">X51</f>
        <v>481.581350440862</v>
      </c>
    </row>
    <row r="26" customFormat="false" ht="15" hidden="false" customHeight="true" outlineLevel="0" collapsed="false">
      <c r="B26" s="28" t="s">
        <v>33</v>
      </c>
      <c r="C26" s="29"/>
      <c r="D26" s="29"/>
      <c r="E26" s="28" t="n">
        <f aca="false">E25/E23</f>
        <v>0.111499212382714</v>
      </c>
      <c r="F26" s="28" t="n">
        <f aca="false">F25/F23</f>
        <v>0.100651890482399</v>
      </c>
      <c r="G26" s="28" t="n">
        <f aca="false">G25/G23</f>
        <v>0.0966232831524021</v>
      </c>
      <c r="H26" s="28" t="n">
        <f aca="false">H25/H23</f>
        <v>0.0620574350904799</v>
      </c>
      <c r="I26" s="28" t="n">
        <f aca="false">I25/I23</f>
        <v>0.0191591271953167</v>
      </c>
      <c r="J26" s="28" t="n">
        <f aca="false">J25/J23</f>
        <v>0.111508220157255</v>
      </c>
      <c r="K26" s="28" t="n">
        <f aca="false">K25/K23</f>
        <v>0.556537102473498</v>
      </c>
      <c r="L26" s="28" t="n">
        <f aca="false">L25/L23</f>
        <v>0.0892139193123527</v>
      </c>
      <c r="M26" s="28" t="n">
        <f aca="false">M25/M23</f>
        <v>0.102343863735624</v>
      </c>
      <c r="N26" s="28" t="n">
        <f aca="false">N25/N23</f>
        <v>0.110911424903723</v>
      </c>
      <c r="O26" s="28" t="n">
        <f aca="false">O52</f>
        <v>0.12</v>
      </c>
      <c r="P26" s="28" t="n">
        <f aca="false">P52</f>
        <v>0.12</v>
      </c>
      <c r="Q26" s="28" t="n">
        <f aca="false">Q52</f>
        <v>0.12</v>
      </c>
      <c r="R26" s="28" t="n">
        <f aca="false">R52</f>
        <v>0.12</v>
      </c>
      <c r="S26" s="28" t="n">
        <f aca="false">S52</f>
        <v>0.12</v>
      </c>
      <c r="T26" s="28" t="n">
        <f aca="false">T52</f>
        <v>0.12</v>
      </c>
      <c r="U26" s="28" t="n">
        <f aca="false">U52</f>
        <v>0.12</v>
      </c>
      <c r="V26" s="28" t="n">
        <f aca="false">V52</f>
        <v>0.12</v>
      </c>
      <c r="W26" s="28" t="n">
        <f aca="false">W52</f>
        <v>0.12</v>
      </c>
      <c r="X26" s="30" t="n">
        <f aca="false">X52</f>
        <v>0.12</v>
      </c>
    </row>
    <row r="27" customFormat="false" ht="15" hidden="false" customHeight="true" outlineLevel="0" collapsed="false">
      <c r="A27" s="22" t="s">
        <v>10</v>
      </c>
      <c r="B27" s="23" t="s">
        <v>34</v>
      </c>
      <c r="C27" s="15"/>
      <c r="D27" s="24"/>
      <c r="E27" s="24" t="n">
        <f aca="false">E19</f>
        <v>2016</v>
      </c>
      <c r="F27" s="24" t="n">
        <f aca="false">F19</f>
        <v>2017</v>
      </c>
      <c r="G27" s="24" t="n">
        <f aca="false">G19</f>
        <v>2018</v>
      </c>
      <c r="H27" s="24" t="n">
        <f aca="false">H19</f>
        <v>2019</v>
      </c>
      <c r="I27" s="24" t="n">
        <f aca="false">I19</f>
        <v>2020</v>
      </c>
      <c r="J27" s="24" t="n">
        <f aca="false">J19</f>
        <v>2021</v>
      </c>
      <c r="K27" s="24" t="n">
        <f aca="false">K19</f>
        <v>2022</v>
      </c>
      <c r="L27" s="24" t="n">
        <f aca="false">L19</f>
        <v>2023</v>
      </c>
      <c r="M27" s="24" t="n">
        <f aca="false">M19</f>
        <v>2024</v>
      </c>
      <c r="N27" s="24" t="n">
        <f aca="false">N19</f>
        <v>2025</v>
      </c>
      <c r="O27" s="24" t="n">
        <f aca="false">O19</f>
        <v>2026</v>
      </c>
      <c r="P27" s="24" t="n">
        <f aca="false">P19</f>
        <v>2027</v>
      </c>
      <c r="Q27" s="24" t="n">
        <f aca="false">Q19</f>
        <v>2028</v>
      </c>
      <c r="R27" s="24" t="n">
        <f aca="false">R19</f>
        <v>2029</v>
      </c>
      <c r="S27" s="24" t="n">
        <f aca="false">S19</f>
        <v>2030</v>
      </c>
      <c r="T27" s="24" t="n">
        <f aca="false">T38</f>
        <v>2031</v>
      </c>
      <c r="U27" s="24" t="n">
        <f aca="false">U38</f>
        <v>2032</v>
      </c>
      <c r="V27" s="24" t="n">
        <f aca="false">V38</f>
        <v>2033</v>
      </c>
      <c r="W27" s="24" t="n">
        <f aca="false">W38</f>
        <v>2034</v>
      </c>
      <c r="X27" s="24" t="n">
        <f aca="false">X38</f>
        <v>2035</v>
      </c>
    </row>
    <row r="28" customFormat="false" ht="15" hidden="false" customHeight="true" outlineLevel="0" collapsed="false">
      <c r="B28" s="25" t="s">
        <v>35</v>
      </c>
      <c r="E28" s="26" t="n">
        <v>427.3</v>
      </c>
      <c r="F28" s="26" t="n">
        <v>497.5</v>
      </c>
      <c r="G28" s="26" t="n">
        <v>561</v>
      </c>
      <c r="H28" s="26" t="n">
        <v>640.5</v>
      </c>
      <c r="I28" s="26" t="n">
        <v>748.7</v>
      </c>
      <c r="J28" s="26" t="n">
        <v>571</v>
      </c>
      <c r="K28" s="26" t="n">
        <v>719.4</v>
      </c>
      <c r="L28" s="26" t="n">
        <v>923.2</v>
      </c>
      <c r="M28" s="26" t="n">
        <v>1059.5</v>
      </c>
      <c r="N28" s="26" t="n">
        <v>1214.4</v>
      </c>
      <c r="O28" s="26" t="n">
        <f aca="false">O20*O29</f>
        <v>1224.921701325</v>
      </c>
      <c r="P28" s="26" t="n">
        <f aca="false">P20*P29</f>
        <v>1325.93691096094</v>
      </c>
      <c r="Q28" s="26" t="n">
        <f aca="false">Q20*Q29</f>
        <v>1424.10044026908</v>
      </c>
      <c r="R28" s="26" t="n">
        <f aca="false">R20*R29</f>
        <v>1517.52142915073</v>
      </c>
      <c r="S28" s="26" t="n">
        <f aca="false">S20*S29</f>
        <v>1604.27307085051</v>
      </c>
      <c r="T28" s="26" t="n">
        <f aca="false">T56</f>
        <v>1682.45464516996</v>
      </c>
      <c r="U28" s="26" t="n">
        <f aca="false">U56</f>
        <v>1750.25756737031</v>
      </c>
      <c r="V28" s="26" t="n">
        <f aca="false">V56</f>
        <v>1806.03244185051</v>
      </c>
      <c r="W28" s="26" t="n">
        <f aca="false">W56</f>
        <v>1848.35380207121</v>
      </c>
      <c r="X28" s="26" t="n">
        <f aca="false">X56</f>
        <v>1876.07910910227</v>
      </c>
    </row>
    <row r="29" customFormat="false" ht="15" hidden="false" customHeight="true" outlineLevel="0" collapsed="false">
      <c r="B29" s="28" t="s">
        <v>31</v>
      </c>
      <c r="C29" s="31"/>
      <c r="D29" s="31"/>
      <c r="E29" s="28" t="n">
        <f aca="false">E28/E20</f>
        <v>0.0653783775513327</v>
      </c>
      <c r="F29" s="28" t="n">
        <f aca="false">F28/F20</f>
        <v>0.0748367881103523</v>
      </c>
      <c r="G29" s="28" t="n">
        <f aca="false">G28/G20</f>
        <v>0.078450566354356</v>
      </c>
      <c r="H29" s="28" t="n">
        <f aca="false">H28/H20</f>
        <v>0.083209915036246</v>
      </c>
      <c r="I29" s="28" t="n">
        <f aca="false">I28/I20</f>
        <v>0.0881362716014503</v>
      </c>
      <c r="J29" s="28" t="n">
        <f aca="false">J28/J20</f>
        <v>0.349064677833476</v>
      </c>
      <c r="K29" s="28" t="n">
        <f aca="false">K28/K20</f>
        <v>0.149846903705555</v>
      </c>
      <c r="L29" s="28" t="n">
        <f aca="false">L28/L20</f>
        <v>0.0856782240700869</v>
      </c>
      <c r="M29" s="28" t="n">
        <f aca="false">M28/M20</f>
        <v>0.0788095627724304</v>
      </c>
      <c r="N29" s="28" t="n">
        <f aca="false">N28/N20</f>
        <v>0.0870631250672115</v>
      </c>
      <c r="O29" s="28" t="n">
        <f aca="false">O57</f>
        <v>0.0805</v>
      </c>
      <c r="P29" s="28" t="n">
        <f aca="false">P57</f>
        <v>0.0805</v>
      </c>
      <c r="Q29" s="28" t="n">
        <f aca="false">Q57</f>
        <v>0.0805</v>
      </c>
      <c r="R29" s="28" t="n">
        <f aca="false">R57</f>
        <v>0.0805</v>
      </c>
      <c r="S29" s="28" t="n">
        <f aca="false">S57</f>
        <v>0.0805</v>
      </c>
      <c r="T29" s="28" t="n">
        <f aca="false">T57</f>
        <v>0.0805</v>
      </c>
      <c r="U29" s="28" t="n">
        <f aca="false">U57</f>
        <v>0.0805</v>
      </c>
      <c r="V29" s="28" t="n">
        <f aca="false">V57</f>
        <v>0.0805</v>
      </c>
      <c r="W29" s="28" t="n">
        <f aca="false">W57</f>
        <v>0.0805</v>
      </c>
      <c r="X29" s="28" t="n">
        <f aca="false">X57</f>
        <v>0.0805</v>
      </c>
    </row>
    <row r="30" customFormat="false" ht="15" hidden="false" customHeight="true" outlineLevel="0" collapsed="false">
      <c r="C30" s="31"/>
      <c r="D30" s="31"/>
      <c r="E30" s="31"/>
    </row>
    <row r="31" customFormat="false" ht="15" hidden="false" customHeight="true" outlineLevel="0" collapsed="false">
      <c r="B31" s="25" t="s">
        <v>36</v>
      </c>
      <c r="E31" s="26" t="n">
        <v>1217.7</v>
      </c>
      <c r="F31" s="26" t="n">
        <v>1449.8</v>
      </c>
      <c r="G31" s="26" t="n">
        <v>1470.6</v>
      </c>
      <c r="H31" s="26" t="n">
        <v>1546.7</v>
      </c>
      <c r="I31" s="26" t="n">
        <v>578.8</v>
      </c>
      <c r="J31" s="26" t="n">
        <v>294.7</v>
      </c>
      <c r="K31" s="26" t="n">
        <v>1181.6</v>
      </c>
      <c r="L31" s="26" t="n">
        <v>1914.7</v>
      </c>
      <c r="M31" s="26" t="n">
        <v>2391.9</v>
      </c>
      <c r="N31" s="26" t="n">
        <v>1552.5</v>
      </c>
      <c r="O31" s="26" t="n">
        <f aca="false">O20*O32</f>
        <v>2781.56132922</v>
      </c>
      <c r="P31" s="26" t="n">
        <f aca="false">P20*P32</f>
        <v>2952.49090937213</v>
      </c>
      <c r="Q31" s="26" t="n">
        <f aca="false">Q20*Q32</f>
        <v>3099.7001312924</v>
      </c>
      <c r="R31" s="26" t="n">
        <f aca="false">R20*R32</f>
        <v>3215.81595910245</v>
      </c>
      <c r="S31" s="26" t="n">
        <f aca="false">S20*S32</f>
        <v>3292.82824205063</v>
      </c>
      <c r="T31" s="26" t="n">
        <f aca="false">T59</f>
        <v>3321.98381179582</v>
      </c>
      <c r="U31" s="26" t="n">
        <f aca="false">U59</f>
        <v>3293.52457342164</v>
      </c>
      <c r="V31" s="26" t="n">
        <f aca="false">V59</f>
        <v>3196.14208617074</v>
      </c>
      <c r="W31" s="26" t="n">
        <f aca="false">W59</f>
        <v>3015.91055429821</v>
      </c>
      <c r="X31" s="26" t="n">
        <f aca="false">X59</f>
        <v>2734.22032285907</v>
      </c>
    </row>
    <row r="32" customFormat="false" ht="15" hidden="false" customHeight="true" outlineLevel="0" collapsed="false">
      <c r="B32" s="28" t="s">
        <v>31</v>
      </c>
      <c r="C32" s="29"/>
      <c r="D32" s="29"/>
      <c r="E32" s="28" t="n">
        <f aca="false">E31/E20</f>
        <v>0.186312310658221</v>
      </c>
      <c r="F32" s="28" t="n">
        <f aca="false">F31/F20</f>
        <v>0.21808718673847</v>
      </c>
      <c r="G32" s="28" t="n">
        <f aca="false">G31/G20</f>
        <v>0.205649559502168</v>
      </c>
      <c r="H32" s="28" t="n">
        <f aca="false">H31/H20</f>
        <v>0.200937979057864</v>
      </c>
      <c r="I32" s="28" t="n">
        <f aca="false">I31/I20</f>
        <v>0.0681358007251495</v>
      </c>
      <c r="J32" s="28" t="n">
        <f aca="false">J31/J20</f>
        <v>0.180156498349431</v>
      </c>
      <c r="K32" s="28" t="n">
        <f aca="false">K31/K20</f>
        <v>0.246120519069341</v>
      </c>
      <c r="L32" s="28" t="n">
        <f aca="false">L31/L20</f>
        <v>0.177695077585567</v>
      </c>
      <c r="M32" s="28" t="n">
        <f aca="false">M31/M20</f>
        <v>0.177918445677561</v>
      </c>
      <c r="N32" s="28" t="n">
        <f aca="false">N31/N20</f>
        <v>0.111302290568878</v>
      </c>
      <c r="O32" s="28" t="n">
        <f aca="false">O60</f>
        <v>0.1828</v>
      </c>
      <c r="P32" s="28" t="n">
        <f aca="false">P60</f>
        <v>0.179251000737439</v>
      </c>
      <c r="Q32" s="28" t="n">
        <f aca="false">Q60</f>
        <v>0.175216475968431</v>
      </c>
      <c r="R32" s="28" t="n">
        <f aca="false">R60</f>
        <v>0.170589475532233</v>
      </c>
      <c r="S32" s="28" t="n">
        <f aca="false">S60</f>
        <v>0.165229148516808</v>
      </c>
      <c r="T32" s="28" t="n">
        <f aca="false">T60</f>
        <v>0.158946155022532</v>
      </c>
      <c r="U32" s="28" t="n">
        <f aca="false">U60</f>
        <v>0.151479835370052</v>
      </c>
      <c r="V32" s="28" t="n">
        <f aca="false">V60</f>
        <v>0.142461138556913</v>
      </c>
      <c r="W32" s="28" t="n">
        <f aca="false">W60</f>
        <v>0.131349744485582</v>
      </c>
      <c r="X32" s="28" t="n">
        <f aca="false">X60</f>
        <v>0.117321670990451</v>
      </c>
    </row>
    <row r="34" customFormat="false" ht="15" hidden="false" customHeight="true" outlineLevel="0" collapsed="false">
      <c r="B34" s="25" t="s">
        <v>37</v>
      </c>
      <c r="E34" s="26" t="n">
        <v>-135.6</v>
      </c>
      <c r="F34" s="26" t="n">
        <v>-113.1</v>
      </c>
      <c r="G34" s="26" t="n">
        <v>-168.9</v>
      </c>
      <c r="H34" s="26" t="n">
        <v>-514.3</v>
      </c>
      <c r="I34" s="26" t="n">
        <v>388.5</v>
      </c>
      <c r="J34" s="26" t="n">
        <v>1703.2</v>
      </c>
      <c r="K34" s="26" t="n">
        <v>-1785.9</v>
      </c>
      <c r="L34" s="26" t="n">
        <v>-1353.9</v>
      </c>
      <c r="M34" s="26" t="n">
        <v>-19</v>
      </c>
      <c r="N34" s="26" t="n">
        <v>-480.3</v>
      </c>
      <c r="O34" s="26" t="n">
        <f aca="false">O20*O35</f>
        <v>-436.711215255</v>
      </c>
      <c r="P34" s="26" t="n">
        <f aca="false">P20*P35</f>
        <v>-456.325510795713</v>
      </c>
      <c r="Q34" s="26" t="n">
        <f aca="false">Q20*Q35</f>
        <v>-470.085152809084</v>
      </c>
      <c r="R34" s="26" t="n">
        <f aca="false">R20*R35</f>
        <v>-476.452131081276</v>
      </c>
      <c r="S34" s="26" t="n">
        <f aca="false">S20*S35</f>
        <v>-473.719779212545</v>
      </c>
      <c r="T34" s="26" t="n">
        <f aca="false">T62</f>
        <v>-459.965660627196</v>
      </c>
      <c r="U34" s="26" t="n">
        <f aca="false">U62</f>
        <v>-432.959560837472</v>
      </c>
      <c r="V34" s="26" t="n">
        <f aca="false">V62</f>
        <v>-389.991659745755</v>
      </c>
      <c r="W34" s="26" t="n">
        <f aca="false">W62</f>
        <v>-327.555022374536</v>
      </c>
      <c r="X34" s="26" t="n">
        <f aca="false">X62</f>
        <v>-240.749294573021</v>
      </c>
    </row>
    <row r="35" customFormat="false" ht="15" hidden="false" customHeight="true" outlineLevel="0" collapsed="false">
      <c r="B35" s="28" t="s">
        <v>31</v>
      </c>
      <c r="C35" s="31"/>
      <c r="D35" s="31"/>
      <c r="E35" s="28" t="n">
        <f aca="false">E34/E20</f>
        <v>-0.0207472688882769</v>
      </c>
      <c r="F35" s="28" t="n">
        <f aca="false">F34/F20</f>
        <v>-0.0170131472065947</v>
      </c>
      <c r="G35" s="28" t="n">
        <f aca="false">G34/G20</f>
        <v>-0.0236190742553489</v>
      </c>
      <c r="H35" s="28" t="n">
        <f aca="false">H34/H20</f>
        <v>-0.0668147686231715</v>
      </c>
      <c r="I35" s="28" t="n">
        <f aca="false">I34/I20</f>
        <v>0.0457338607147902</v>
      </c>
      <c r="J35" s="28" t="n">
        <f aca="false">J34/J20</f>
        <v>1.04120308106125</v>
      </c>
      <c r="K35" s="28" t="n">
        <f aca="false">K34/K20</f>
        <v>-0.37199275135912</v>
      </c>
      <c r="L35" s="28" t="n">
        <f aca="false">L34/L20</f>
        <v>-0.125649639913876</v>
      </c>
      <c r="M35" s="28" t="n">
        <f aca="false">M34/M20</f>
        <v>-0.00141329088501763</v>
      </c>
      <c r="N35" s="28" t="n">
        <f aca="false">N34/N20</f>
        <v>-0.0344338100871061</v>
      </c>
      <c r="O35" s="28" t="n">
        <f aca="false">O63</f>
        <v>-0.0287</v>
      </c>
      <c r="P35" s="28" t="n">
        <f aca="false">P63</f>
        <v>-0.0277043374502885</v>
      </c>
      <c r="Q35" s="28" t="n">
        <f aca="false">Q63</f>
        <v>-0.026572461977458</v>
      </c>
      <c r="R35" s="28" t="n">
        <f aca="false">R63</f>
        <v>-0.0252743689909588</v>
      </c>
      <c r="S35" s="28" t="n">
        <f aca="false">S63</f>
        <v>-0.0237705431322816</v>
      </c>
      <c r="T35" s="28" t="n">
        <f aca="false">T63</f>
        <v>-0.0220078655830564</v>
      </c>
      <c r="U35" s="28" t="n">
        <f aca="false">U63</f>
        <v>-0.0199132089454594</v>
      </c>
      <c r="V35" s="28" t="n">
        <f aca="false">V63</f>
        <v>-0.0173830369167487</v>
      </c>
      <c r="W35" s="28" t="n">
        <f aca="false">W63</f>
        <v>-0.0142657640932179</v>
      </c>
      <c r="X35" s="28" t="n">
        <f aca="false">X63</f>
        <v>-0.0103302244127658</v>
      </c>
    </row>
    <row r="36" customFormat="false" ht="15" hidden="false" customHeight="true" outlineLevel="0" collapsed="false">
      <c r="B36" s="32" t="s">
        <v>38</v>
      </c>
      <c r="C36" s="31"/>
      <c r="D36" s="31"/>
      <c r="E36" s="31"/>
      <c r="F36" s="32" t="n">
        <f aca="false">F34/(F20-E20)</f>
        <v>-1.00982142857143</v>
      </c>
      <c r="G36" s="32" t="n">
        <f aca="false">G34/(G20-F20)</f>
        <v>-0.335651828298887</v>
      </c>
      <c r="H36" s="32" t="n">
        <f aca="false">H34/(H20-G20)</f>
        <v>-0.941251830161055</v>
      </c>
      <c r="I36" s="32" t="n">
        <f aca="false">I34/(I20-H20)</f>
        <v>0.487208427389015</v>
      </c>
      <c r="J36" s="32" t="n">
        <f aca="false">J34/(J20-I20)</f>
        <v>-0.248316081061379</v>
      </c>
      <c r="K36" s="32" t="n">
        <f aca="false">K34/(K20-J20)</f>
        <v>-0.56424757511611</v>
      </c>
      <c r="L36" s="32" t="n">
        <f aca="false">L34/(L20-K20)</f>
        <v>-0.226620691963912</v>
      </c>
      <c r="M36" s="32" t="n">
        <f aca="false">M34/(M20-L20)</f>
        <v>-0.00711983811736491</v>
      </c>
      <c r="N36" s="32" t="n">
        <f aca="false">N34/(N20-M20)</f>
        <v>-0.951654448187041</v>
      </c>
    </row>
    <row r="38" customFormat="false" ht="15" hidden="false" customHeight="true" outlineLevel="0" collapsed="false">
      <c r="A38" s="22" t="s">
        <v>10</v>
      </c>
      <c r="B38" s="33" t="s">
        <v>39</v>
      </c>
      <c r="C38" s="34"/>
      <c r="D38" s="35"/>
      <c r="E38" s="24" t="n">
        <f aca="false">E27</f>
        <v>2016</v>
      </c>
      <c r="F38" s="24" t="n">
        <f aca="false">E38+1</f>
        <v>2017</v>
      </c>
      <c r="G38" s="24" t="n">
        <f aca="false">F38+1</f>
        <v>2018</v>
      </c>
      <c r="H38" s="24" t="n">
        <f aca="false">G38+1</f>
        <v>2019</v>
      </c>
      <c r="I38" s="24" t="n">
        <f aca="false">H38+1</f>
        <v>2020</v>
      </c>
      <c r="J38" s="24" t="n">
        <f aca="false">I38+1</f>
        <v>2021</v>
      </c>
      <c r="K38" s="24" t="n">
        <f aca="false">J38+1</f>
        <v>2022</v>
      </c>
      <c r="L38" s="24" t="n">
        <f aca="false">K38+1</f>
        <v>2023</v>
      </c>
      <c r="M38" s="24" t="n">
        <f aca="false">L38+1</f>
        <v>2024</v>
      </c>
      <c r="N38" s="24" t="n">
        <f aca="false">M38+1</f>
        <v>2025</v>
      </c>
      <c r="O38" s="24" t="n">
        <f aca="false">N38+1</f>
        <v>2026</v>
      </c>
      <c r="P38" s="24" t="n">
        <f aca="false">O38+1</f>
        <v>2027</v>
      </c>
      <c r="Q38" s="24" t="n">
        <f aca="false">P38+1</f>
        <v>2028</v>
      </c>
      <c r="R38" s="24" t="n">
        <f aca="false">Q38+1</f>
        <v>2029</v>
      </c>
      <c r="S38" s="24" t="n">
        <f aca="false">R38+1</f>
        <v>2030</v>
      </c>
      <c r="T38" s="24" t="n">
        <f aca="false">S38+1</f>
        <v>2031</v>
      </c>
      <c r="U38" s="24" t="n">
        <f aca="false">T38+1</f>
        <v>2032</v>
      </c>
      <c r="V38" s="24" t="n">
        <f aca="false">U38+1</f>
        <v>2033</v>
      </c>
      <c r="W38" s="24" t="n">
        <f aca="false">V38+1</f>
        <v>2034</v>
      </c>
      <c r="X38" s="24" t="n">
        <f aca="false">W38+1</f>
        <v>2035</v>
      </c>
      <c r="Y38" s="36" t="s">
        <v>40</v>
      </c>
    </row>
    <row r="39" customFormat="false" ht="15" hidden="false" customHeight="true" outlineLevel="0" collapsed="false">
      <c r="B39" s="25" t="s">
        <v>16</v>
      </c>
      <c r="E39" s="26" t="n">
        <f aca="false">E20</f>
        <v>6535.8</v>
      </c>
      <c r="F39" s="26" t="n">
        <f aca="false">F20</f>
        <v>6647.8</v>
      </c>
      <c r="G39" s="26" t="n">
        <f aca="false">G20</f>
        <v>7151</v>
      </c>
      <c r="H39" s="26" t="n">
        <f aca="false">H20</f>
        <v>7697.4</v>
      </c>
      <c r="I39" s="26" t="n">
        <f aca="false">I20</f>
        <v>8494.8</v>
      </c>
      <c r="J39" s="26" t="n">
        <f aca="false">J20</f>
        <v>1635.8</v>
      </c>
      <c r="K39" s="26" t="n">
        <f aca="false">K20</f>
        <v>4800.9</v>
      </c>
      <c r="L39" s="26" t="n">
        <f aca="false">L20</f>
        <v>10775.2</v>
      </c>
      <c r="M39" s="26" t="n">
        <f aca="false">M20</f>
        <v>13443.8</v>
      </c>
      <c r="N39" s="26" t="n">
        <f aca="false">N20</f>
        <v>13948.5</v>
      </c>
      <c r="O39" s="26" t="n">
        <f aca="false">N39*(1+O40)</f>
        <v>15216.41865</v>
      </c>
      <c r="P39" s="26" t="n">
        <f aca="false">O39*(1+P40)</f>
        <v>16471.26597467</v>
      </c>
      <c r="Q39" s="26" t="n">
        <f aca="false">P39*(1+Q40)</f>
        <v>17690.6886989947</v>
      </c>
      <c r="R39" s="26" t="n">
        <f aca="false">Q39*(1+R40)</f>
        <v>18851.1978776488</v>
      </c>
      <c r="S39" s="26" t="n">
        <f aca="false">R39*(1+S40)</f>
        <v>19928.8580229877</v>
      </c>
      <c r="T39" s="26" t="n">
        <f aca="false">S39*(1+T40)</f>
        <v>20900.0577039746</v>
      </c>
      <c r="U39" s="26" t="n">
        <f aca="false">T39*(1+U40)</f>
        <v>21742.3300294448</v>
      </c>
      <c r="V39" s="26" t="n">
        <f aca="false">U39*(1+V40)</f>
        <v>22435.1856130498</v>
      </c>
      <c r="W39" s="26" t="n">
        <f aca="false">V39*(1+W40)</f>
        <v>22960.9167959156</v>
      </c>
      <c r="X39" s="26" t="n">
        <f aca="false">W39*(1+X40)</f>
        <v>23305.3305478543</v>
      </c>
    </row>
    <row r="40" customFormat="false" ht="15" hidden="false" customHeight="true" outlineLevel="0" collapsed="false">
      <c r="B40" s="28" t="s">
        <v>28</v>
      </c>
      <c r="C40" s="29"/>
      <c r="D40" s="29"/>
      <c r="E40" s="29"/>
      <c r="F40" s="28" t="n">
        <f aca="false">F39/E39-1</f>
        <v>0.0171363872823527</v>
      </c>
      <c r="G40" s="28" t="n">
        <f aca="false">G39/F39-1</f>
        <v>0.0756942146273956</v>
      </c>
      <c r="H40" s="28" t="n">
        <f aca="false">H39/G39-1</f>
        <v>0.0764088938609984</v>
      </c>
      <c r="I40" s="28" t="n">
        <f aca="false">I39/H39-1</f>
        <v>0.103593421155195</v>
      </c>
      <c r="J40" s="28" t="n">
        <f aca="false">J39/I39-1</f>
        <v>-0.807435136789565</v>
      </c>
      <c r="K40" s="28" t="n">
        <f aca="false">K39/J39-1</f>
        <v>1.9348942413498</v>
      </c>
      <c r="L40" s="28" t="n">
        <f aca="false">L39/K39-1</f>
        <v>1.24441250598846</v>
      </c>
      <c r="M40" s="28" t="n">
        <f aca="false">M39/L39-1</f>
        <v>0.247661296310045</v>
      </c>
      <c r="N40" s="28" t="n">
        <f aca="false">N39/M39-1</f>
        <v>0.0375414689299156</v>
      </c>
      <c r="O40" s="28" t="n">
        <f aca="false">INDEX(O41:O43,$D$11)</f>
        <v>0.0909</v>
      </c>
      <c r="P40" s="28" t="n">
        <f aca="false">INDEX(P41:P43,$D$11)</f>
        <v>0.0824666666666667</v>
      </c>
      <c r="Q40" s="28" t="n">
        <f aca="false">INDEX(Q41:Q43,$D$11)</f>
        <v>0.0740333333333333</v>
      </c>
      <c r="R40" s="28" t="n">
        <f aca="false">INDEX(R41:R43,$D$11)</f>
        <v>0.0656</v>
      </c>
      <c r="S40" s="28" t="n">
        <f aca="false">INDEX(S41:S43,$D$11)</f>
        <v>0.0571666666666667</v>
      </c>
      <c r="T40" s="28" t="n">
        <f aca="false">INDEX(T41:T43,$D$11)</f>
        <v>0.0487333333333333</v>
      </c>
      <c r="U40" s="28" t="n">
        <f aca="false">INDEX(U41:U43,$D$11)</f>
        <v>0.0403</v>
      </c>
      <c r="V40" s="28" t="n">
        <f aca="false">INDEX(V41:V43,$D$11)</f>
        <v>0.0318666666666667</v>
      </c>
      <c r="W40" s="28" t="n">
        <f aca="false">INDEX(W41:W43,$D$11)</f>
        <v>0.0234333333333333</v>
      </c>
      <c r="X40" s="28" t="n">
        <f aca="false">INDEX(X41:X43,$D$11)</f>
        <v>0.015</v>
      </c>
      <c r="Y40" s="37" t="n">
        <f aca="false">$D$17</f>
        <v>0.015</v>
      </c>
    </row>
    <row r="41" customFormat="false" ht="15" hidden="false" customHeight="true" outlineLevel="0" collapsed="false">
      <c r="B41" s="38" t="s">
        <v>41</v>
      </c>
      <c r="O41" s="39" t="n">
        <f aca="false">$H$11</f>
        <v>0.07</v>
      </c>
      <c r="P41" s="18" t="n">
        <f aca="false">O41-($H$11-$H$17)/$D$18</f>
        <v>0.0633333333333333</v>
      </c>
      <c r="Q41" s="18" t="n">
        <f aca="false">P41-($H$11-$H$17)/$D$18</f>
        <v>0.0566666666666667</v>
      </c>
      <c r="R41" s="18" t="n">
        <f aca="false">Q41-($H$11-$H$17)/$D$18</f>
        <v>0.05</v>
      </c>
      <c r="S41" s="18" t="n">
        <f aca="false">R41-($H$11-$H$17)/$D$18</f>
        <v>0.0433333333333333</v>
      </c>
      <c r="T41" s="18" t="n">
        <f aca="false">S41-($H$11-$H$17)/$D$18</f>
        <v>0.0366666666666667</v>
      </c>
      <c r="U41" s="18" t="n">
        <f aca="false">T41-($H$11-$H$17)/$D$18</f>
        <v>0.03</v>
      </c>
      <c r="V41" s="18" t="n">
        <f aca="false">U41-($H$11-$H$17)/$D$18</f>
        <v>0.0233333333333333</v>
      </c>
      <c r="W41" s="18" t="n">
        <f aca="false">V41-($H$11-$H$17)/$D$18</f>
        <v>0.0166666666666667</v>
      </c>
      <c r="X41" s="18" t="n">
        <f aca="false">W41-($H$11-$H$17)/$D$18</f>
        <v>0.01</v>
      </c>
    </row>
    <row r="42" customFormat="false" ht="15" hidden="false" customHeight="true" outlineLevel="0" collapsed="false">
      <c r="B42" s="38" t="s">
        <v>42</v>
      </c>
      <c r="O42" s="39" t="n">
        <f aca="false">$L$11</f>
        <v>0.0909</v>
      </c>
      <c r="P42" s="18" t="n">
        <f aca="false">O42-($L$11-$L$17)/$D$18</f>
        <v>0.0824666666666667</v>
      </c>
      <c r="Q42" s="18" t="n">
        <f aca="false">P42-($L$11-$L$17)/$D$18</f>
        <v>0.0740333333333333</v>
      </c>
      <c r="R42" s="18" t="n">
        <f aca="false">Q42-($L$11-$L$17)/$D$18</f>
        <v>0.0656</v>
      </c>
      <c r="S42" s="18" t="n">
        <f aca="false">R42-($L$11-$L$17)/$D$18</f>
        <v>0.0571666666666667</v>
      </c>
      <c r="T42" s="18" t="n">
        <f aca="false">S42-($L$11-$L$17)/$D$18</f>
        <v>0.0487333333333333</v>
      </c>
      <c r="U42" s="18" t="n">
        <f aca="false">T42-($L$11-$L$17)/$D$18</f>
        <v>0.0403</v>
      </c>
      <c r="V42" s="18" t="n">
        <f aca="false">U42-($L$11-$L$17)/$D$18</f>
        <v>0.0318666666666667</v>
      </c>
      <c r="W42" s="18" t="n">
        <f aca="false">V42-($L$11-$L$17)/$D$18</f>
        <v>0.0234333333333333</v>
      </c>
      <c r="X42" s="18" t="n">
        <f aca="false">W42-($L$11-$L$17)/$D$18</f>
        <v>0.015</v>
      </c>
    </row>
    <row r="43" customFormat="false" ht="15" hidden="false" customHeight="true" outlineLevel="0" collapsed="false">
      <c r="B43" s="38" t="s">
        <v>43</v>
      </c>
      <c r="O43" s="39" t="n">
        <f aca="false">$P$11</f>
        <v>0.11</v>
      </c>
      <c r="P43" s="18" t="n">
        <f aca="false">O43-($P$11-$P$17)/$D$18</f>
        <v>0.1</v>
      </c>
      <c r="Q43" s="18" t="n">
        <f aca="false">P43-($P$11-$P$17)/$D$18</f>
        <v>0.09</v>
      </c>
      <c r="R43" s="18" t="n">
        <f aca="false">Q43-($P$11-$P$17)/$D$18</f>
        <v>0.08</v>
      </c>
      <c r="S43" s="18" t="n">
        <f aca="false">R43-($P$11-$P$17)/$D$18</f>
        <v>0.07</v>
      </c>
      <c r="T43" s="18" t="n">
        <f aca="false">S43-($P$11-$P$17)/$D$18</f>
        <v>0.06</v>
      </c>
      <c r="U43" s="18" t="n">
        <f aca="false">T43-($P$11-$P$17)/$D$18</f>
        <v>0.05</v>
      </c>
      <c r="V43" s="18" t="n">
        <f aca="false">U43-($P$11-$P$17)/$D$18</f>
        <v>0.04</v>
      </c>
      <c r="W43" s="18" t="n">
        <f aca="false">V43-($P$11-$P$17)/$D$18</f>
        <v>0.03</v>
      </c>
      <c r="X43" s="18" t="n">
        <f aca="false">W43-($P$11-$P$17)/$D$18</f>
        <v>0.02</v>
      </c>
    </row>
    <row r="45" customFormat="false" ht="15" hidden="false" customHeight="true" outlineLevel="0" collapsed="false">
      <c r="B45" s="25" t="s">
        <v>18</v>
      </c>
      <c r="E45" s="26" t="n">
        <f aca="false">E23</f>
        <v>1460.1</v>
      </c>
      <c r="F45" s="26" t="n">
        <f aca="false">F23</f>
        <v>1534</v>
      </c>
      <c r="G45" s="26" t="n">
        <f aca="false">G23</f>
        <v>1667.3</v>
      </c>
      <c r="H45" s="26" t="n">
        <f aca="false">H23</f>
        <v>1016.8</v>
      </c>
      <c r="I45" s="26" t="n">
        <f aca="false">I23</f>
        <v>1127.4</v>
      </c>
      <c r="J45" s="26" t="n">
        <f aca="false">J23</f>
        <v>-839.4</v>
      </c>
      <c r="K45" s="26" t="n">
        <f aca="false">K23</f>
        <v>-339.6</v>
      </c>
      <c r="L45" s="26" t="n">
        <f aca="false">L23</f>
        <v>1442.6</v>
      </c>
      <c r="M45" s="26" t="n">
        <f aca="false">M23</f>
        <v>2060.7</v>
      </c>
      <c r="N45" s="26" t="n">
        <f aca="false">N23</f>
        <v>1558</v>
      </c>
      <c r="O45" s="26" t="n">
        <f aca="false">O39*O46</f>
        <v>2620.26729153</v>
      </c>
      <c r="P45" s="26" t="n">
        <f aca="false">P39*P46</f>
        <v>2836.35200083817</v>
      </c>
      <c r="Q45" s="26" t="n">
        <f aca="false">Q39*Q46</f>
        <v>3046.33659396689</v>
      </c>
      <c r="R45" s="26" t="n">
        <f aca="false">R39*R46</f>
        <v>3246.17627453112</v>
      </c>
      <c r="S45" s="26" t="n">
        <f aca="false">S39*S46</f>
        <v>3431.74935155848</v>
      </c>
      <c r="T45" s="26" t="n">
        <f aca="false">T39*T46</f>
        <v>3598.98993662443</v>
      </c>
      <c r="U45" s="26" t="n">
        <f aca="false">U39*U46</f>
        <v>3744.0292310704</v>
      </c>
      <c r="V45" s="26" t="n">
        <f aca="false">V39*V46</f>
        <v>3863.33896256718</v>
      </c>
      <c r="W45" s="26" t="n">
        <f aca="false">W39*W46</f>
        <v>3953.86987225667</v>
      </c>
      <c r="X45" s="26" t="n">
        <f aca="false">X39*X46</f>
        <v>4013.17792034052</v>
      </c>
    </row>
    <row r="46" customFormat="false" ht="15" hidden="false" customHeight="true" outlineLevel="0" collapsed="false">
      <c r="B46" s="28" t="s">
        <v>31</v>
      </c>
      <c r="C46" s="29"/>
      <c r="D46" s="29"/>
      <c r="E46" s="28" t="n">
        <f aca="false">E45/E20</f>
        <v>0.223400348847884</v>
      </c>
      <c r="F46" s="28" t="n">
        <f aca="false">F45/F20</f>
        <v>0.230753031077951</v>
      </c>
      <c r="G46" s="28" t="n">
        <f aca="false">G45/G20</f>
        <v>0.2331562019298</v>
      </c>
      <c r="H46" s="28" t="n">
        <f aca="false">H45/H20</f>
        <v>0.132096552082521</v>
      </c>
      <c r="I46" s="28" t="n">
        <f aca="false">I45/I20</f>
        <v>0.132716485379291</v>
      </c>
      <c r="J46" s="28" t="n">
        <f aca="false">J45/J20</f>
        <v>-0.513143416065534</v>
      </c>
      <c r="K46" s="28" t="n">
        <f aca="false">K45/K20</f>
        <v>-0.0707367368618384</v>
      </c>
      <c r="L46" s="28" t="n">
        <f aca="false">L45/L20</f>
        <v>0.133881505679709</v>
      </c>
      <c r="M46" s="28" t="n">
        <f aca="false">M45/M20</f>
        <v>0.15328255403978</v>
      </c>
      <c r="N46" s="28" t="n">
        <f aca="false">N45/N20</f>
        <v>0.111696598200523</v>
      </c>
      <c r="O46" s="28" t="n">
        <f aca="false">INDEX(O47:O49,$D$12)</f>
        <v>0.1722</v>
      </c>
      <c r="P46" s="28" t="n">
        <f aca="false">INDEX(P47:P49,$D$12)</f>
        <v>0.1722</v>
      </c>
      <c r="Q46" s="28" t="n">
        <f aca="false">INDEX(Q47:Q49,$D$12)</f>
        <v>0.1722</v>
      </c>
      <c r="R46" s="28" t="n">
        <f aca="false">INDEX(R47:R49,$D$12)</f>
        <v>0.1722</v>
      </c>
      <c r="S46" s="28" t="n">
        <f aca="false">INDEX(S47:S49,$D$12)</f>
        <v>0.1722</v>
      </c>
      <c r="T46" s="28" t="n">
        <f aca="false">INDEX(T47:T49,$D$12)</f>
        <v>0.1722</v>
      </c>
      <c r="U46" s="28" t="n">
        <f aca="false">INDEX(U47:U49,$D$12)</f>
        <v>0.1722</v>
      </c>
      <c r="V46" s="28" t="n">
        <f aca="false">INDEX(V47:V49,$D$12)</f>
        <v>0.1722</v>
      </c>
      <c r="W46" s="28" t="n">
        <f aca="false">INDEX(W47:W49,$D$12)</f>
        <v>0.1722</v>
      </c>
      <c r="X46" s="28" t="n">
        <f aca="false">INDEX(X47:X49,$D$12)</f>
        <v>0.1722</v>
      </c>
    </row>
    <row r="47" customFormat="false" ht="15" hidden="false" customHeight="true" outlineLevel="0" collapsed="false">
      <c r="B47" s="38" t="s">
        <v>41</v>
      </c>
      <c r="D47" s="29"/>
      <c r="O47" s="39" t="n">
        <f aca="false">$H$13</f>
        <v>0.16</v>
      </c>
      <c r="P47" s="39" t="n">
        <f aca="false">$H$13</f>
        <v>0.16</v>
      </c>
      <c r="Q47" s="39" t="n">
        <f aca="false">$H$13</f>
        <v>0.16</v>
      </c>
      <c r="R47" s="39" t="n">
        <f aca="false">$H$13</f>
        <v>0.16</v>
      </c>
      <c r="S47" s="39" t="n">
        <f aca="false">$H$13</f>
        <v>0.16</v>
      </c>
      <c r="T47" s="39" t="n">
        <f aca="false">$H$13</f>
        <v>0.16</v>
      </c>
      <c r="U47" s="39" t="n">
        <f aca="false">$H$13</f>
        <v>0.16</v>
      </c>
      <c r="V47" s="39" t="n">
        <f aca="false">$H$13</f>
        <v>0.16</v>
      </c>
      <c r="W47" s="39" t="n">
        <f aca="false">$H$13</f>
        <v>0.16</v>
      </c>
      <c r="X47" s="39" t="n">
        <f aca="false">$H$13</f>
        <v>0.16</v>
      </c>
    </row>
    <row r="48" customFormat="false" ht="15" hidden="false" customHeight="true" outlineLevel="0" collapsed="false">
      <c r="B48" s="38" t="s">
        <v>42</v>
      </c>
      <c r="D48" s="29"/>
      <c r="O48" s="39" t="n">
        <f aca="false">$L$13</f>
        <v>0.1722</v>
      </c>
      <c r="P48" s="39" t="n">
        <f aca="false">$L$13</f>
        <v>0.1722</v>
      </c>
      <c r="Q48" s="39" t="n">
        <f aca="false">$L$13</f>
        <v>0.1722</v>
      </c>
      <c r="R48" s="39" t="n">
        <f aca="false">$L$13</f>
        <v>0.1722</v>
      </c>
      <c r="S48" s="39" t="n">
        <f aca="false">$L$13</f>
        <v>0.1722</v>
      </c>
      <c r="T48" s="39" t="n">
        <f aca="false">$L$13</f>
        <v>0.1722</v>
      </c>
      <c r="U48" s="39" t="n">
        <f aca="false">$L$13</f>
        <v>0.1722</v>
      </c>
      <c r="V48" s="39" t="n">
        <f aca="false">$L$13</f>
        <v>0.1722</v>
      </c>
      <c r="W48" s="39" t="n">
        <f aca="false">$L$13</f>
        <v>0.1722</v>
      </c>
      <c r="X48" s="39" t="n">
        <f aca="false">$L$13</f>
        <v>0.1722</v>
      </c>
    </row>
    <row r="49" customFormat="false" ht="15" hidden="false" customHeight="true" outlineLevel="0" collapsed="false">
      <c r="B49" s="38" t="s">
        <v>43</v>
      </c>
      <c r="D49" s="29"/>
      <c r="O49" s="39" t="n">
        <f aca="false">$P$13</f>
        <v>0.185</v>
      </c>
      <c r="P49" s="39" t="n">
        <f aca="false">$P$13</f>
        <v>0.185</v>
      </c>
      <c r="Q49" s="39" t="n">
        <f aca="false">$P$13</f>
        <v>0.185</v>
      </c>
      <c r="R49" s="39" t="n">
        <f aca="false">$P$13</f>
        <v>0.185</v>
      </c>
      <c r="S49" s="39" t="n">
        <f aca="false">$P$13</f>
        <v>0.185</v>
      </c>
      <c r="T49" s="39" t="n">
        <f aca="false">$P$13</f>
        <v>0.185</v>
      </c>
      <c r="U49" s="39" t="n">
        <f aca="false">$P$13</f>
        <v>0.185</v>
      </c>
      <c r="V49" s="39" t="n">
        <f aca="false">$P$13</f>
        <v>0.185</v>
      </c>
      <c r="W49" s="39" t="n">
        <f aca="false">$P$13</f>
        <v>0.185</v>
      </c>
      <c r="X49" s="39" t="n">
        <f aca="false">$P$13</f>
        <v>0.185</v>
      </c>
    </row>
    <row r="51" customFormat="false" ht="15" hidden="false" customHeight="true" outlineLevel="0" collapsed="false">
      <c r="B51" s="25" t="s">
        <v>32</v>
      </c>
      <c r="E51" s="26" t="n">
        <f aca="false">E25</f>
        <v>162.8</v>
      </c>
      <c r="F51" s="26" t="n">
        <f aca="false">F25</f>
        <v>154.4</v>
      </c>
      <c r="G51" s="26" t="n">
        <f aca="false">G25</f>
        <v>161.1</v>
      </c>
      <c r="H51" s="26" t="n">
        <f aca="false">H25</f>
        <v>63.1</v>
      </c>
      <c r="I51" s="26" t="n">
        <f aca="false">I25</f>
        <v>21.6</v>
      </c>
      <c r="J51" s="26" t="n">
        <f aca="false">J25</f>
        <v>-93.6</v>
      </c>
      <c r="K51" s="26" t="n">
        <f aca="false">K25</f>
        <v>-189</v>
      </c>
      <c r="L51" s="26" t="n">
        <f aca="false">L25</f>
        <v>128.7</v>
      </c>
      <c r="M51" s="26" t="n">
        <f aca="false">M25</f>
        <v>210.9</v>
      </c>
      <c r="N51" s="26" t="n">
        <f aca="false">N25</f>
        <v>172.8</v>
      </c>
      <c r="O51" s="26" t="n">
        <f aca="false">O45*O52</f>
        <v>314.4320749836</v>
      </c>
      <c r="P51" s="26" t="n">
        <f aca="false">P45*P52</f>
        <v>340.362240100581</v>
      </c>
      <c r="Q51" s="26" t="n">
        <f aca="false">Q45*Q52</f>
        <v>365.560391276027</v>
      </c>
      <c r="R51" s="26" t="n">
        <f aca="false">R45*R52</f>
        <v>389.541152943735</v>
      </c>
      <c r="S51" s="26" t="n">
        <f aca="false">S45*S52</f>
        <v>411.809922187018</v>
      </c>
      <c r="T51" s="26" t="n">
        <f aca="false">T45*T52</f>
        <v>431.878792394932</v>
      </c>
      <c r="U51" s="26" t="n">
        <f aca="false">U45*U52</f>
        <v>449.283507728448</v>
      </c>
      <c r="V51" s="26" t="n">
        <f aca="false">V45*V52</f>
        <v>463.600675508061</v>
      </c>
      <c r="W51" s="26" t="n">
        <f aca="false">W45*W52</f>
        <v>474.4643846708</v>
      </c>
      <c r="X51" s="26" t="n">
        <f aca="false">X45*X52</f>
        <v>481.581350440862</v>
      </c>
    </row>
    <row r="52" customFormat="false" ht="15" hidden="false" customHeight="true" outlineLevel="0" collapsed="false">
      <c r="B52" s="28" t="s">
        <v>33</v>
      </c>
      <c r="C52" s="29"/>
      <c r="D52" s="29"/>
      <c r="E52" s="28" t="n">
        <f aca="false">E51/E45</f>
        <v>0.111499212382714</v>
      </c>
      <c r="F52" s="28" t="n">
        <f aca="false">F51/F45</f>
        <v>0.100651890482399</v>
      </c>
      <c r="G52" s="28" t="n">
        <f aca="false">G51/G45</f>
        <v>0.0966232831524021</v>
      </c>
      <c r="H52" s="28" t="n">
        <f aca="false">H51/H45</f>
        <v>0.0620574350904799</v>
      </c>
      <c r="I52" s="28" t="n">
        <f aca="false">I51/I45</f>
        <v>0.0191591271953167</v>
      </c>
      <c r="J52" s="28" t="n">
        <f aca="false">J51/J45</f>
        <v>0.111508220157255</v>
      </c>
      <c r="K52" s="28" t="n">
        <f aca="false">K51/K45</f>
        <v>0.556537102473498</v>
      </c>
      <c r="L52" s="28" t="n">
        <f aca="false">L51/L45</f>
        <v>0.0892139193123527</v>
      </c>
      <c r="M52" s="28" t="n">
        <f aca="false">M51/M45</f>
        <v>0.102343863735624</v>
      </c>
      <c r="N52" s="28" t="n">
        <f aca="false">N51/N45</f>
        <v>0.110911424903723</v>
      </c>
      <c r="O52" s="40" t="n">
        <f aca="false">'Sources &amp; Checks'!$B$14</f>
        <v>0.12</v>
      </c>
      <c r="P52" s="40" t="n">
        <f aca="false">'Sources &amp; Checks'!$B$14</f>
        <v>0.12</v>
      </c>
      <c r="Q52" s="40" t="n">
        <f aca="false">'Sources &amp; Checks'!$B$14</f>
        <v>0.12</v>
      </c>
      <c r="R52" s="40" t="n">
        <f aca="false">'Sources &amp; Checks'!$B$14</f>
        <v>0.12</v>
      </c>
      <c r="S52" s="40" t="n">
        <f aca="false">'Sources &amp; Checks'!$B$14</f>
        <v>0.12</v>
      </c>
      <c r="T52" s="40" t="n">
        <f aca="false">'Sources &amp; Checks'!$B$14</f>
        <v>0.12</v>
      </c>
      <c r="U52" s="40" t="n">
        <f aca="false">'Sources &amp; Checks'!$B$14</f>
        <v>0.12</v>
      </c>
      <c r="V52" s="40" t="n">
        <f aca="false">'Sources &amp; Checks'!$B$14</f>
        <v>0.12</v>
      </c>
      <c r="W52" s="40" t="n">
        <f aca="false">'Sources &amp; Checks'!$B$14</f>
        <v>0.12</v>
      </c>
      <c r="X52" s="40" t="n">
        <f aca="false">'Sources &amp; Checks'!$B$14</f>
        <v>0.12</v>
      </c>
    </row>
    <row r="54" customFormat="false" ht="15.75" hidden="false" customHeight="true" outlineLevel="0" collapsed="false">
      <c r="A54" s="41" t="s">
        <v>10</v>
      </c>
      <c r="B54" s="42" t="s">
        <v>44</v>
      </c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4" t="n">
        <f aca="false">O45-O51</f>
        <v>2305.8352165464</v>
      </c>
      <c r="P54" s="44" t="n">
        <f aca="false">P45-P51</f>
        <v>2495.98976073759</v>
      </c>
      <c r="Q54" s="44" t="n">
        <f aca="false">Q45-Q51</f>
        <v>2680.77620269087</v>
      </c>
      <c r="R54" s="44" t="n">
        <f aca="false">R45-R51</f>
        <v>2856.63512158739</v>
      </c>
      <c r="S54" s="44" t="n">
        <f aca="false">S45-S51</f>
        <v>3019.93942937147</v>
      </c>
      <c r="T54" s="44" t="n">
        <f aca="false">T45-T51</f>
        <v>3167.1111442295</v>
      </c>
      <c r="U54" s="44" t="n">
        <f aca="false">U45-U51</f>
        <v>3294.74572334195</v>
      </c>
      <c r="V54" s="44" t="n">
        <f aca="false">V45-V51</f>
        <v>3399.73828705911</v>
      </c>
      <c r="W54" s="44" t="n">
        <f aca="false">W45-W51</f>
        <v>3479.40548758587</v>
      </c>
      <c r="X54" s="44" t="n">
        <f aca="false">X45-X51</f>
        <v>3531.59656989965</v>
      </c>
      <c r="Y54" s="45" t="n">
        <f aca="false">X54*(1+Y40)</f>
        <v>3584.57051844815</v>
      </c>
    </row>
    <row r="55" customFormat="false" ht="15.75" hidden="false" customHeight="true" outlineLevel="0" collapsed="false"/>
    <row r="56" customFormat="false" ht="15" hidden="false" customHeight="true" outlineLevel="0" collapsed="false">
      <c r="B56" s="25" t="s">
        <v>35</v>
      </c>
      <c r="E56" s="26" t="n">
        <f aca="false">E28</f>
        <v>427.3</v>
      </c>
      <c r="F56" s="26" t="n">
        <f aca="false">F28</f>
        <v>497.5</v>
      </c>
      <c r="G56" s="26" t="n">
        <f aca="false">G28</f>
        <v>561</v>
      </c>
      <c r="H56" s="26" t="n">
        <f aca="false">H28</f>
        <v>640.5</v>
      </c>
      <c r="I56" s="26" t="n">
        <f aca="false">I28</f>
        <v>748.7</v>
      </c>
      <c r="J56" s="26" t="n">
        <f aca="false">J28</f>
        <v>571</v>
      </c>
      <c r="K56" s="26" t="n">
        <f aca="false">K28</f>
        <v>719.4</v>
      </c>
      <c r="L56" s="26" t="n">
        <f aca="false">L28</f>
        <v>923.2</v>
      </c>
      <c r="M56" s="26" t="n">
        <f aca="false">M28</f>
        <v>1059.5</v>
      </c>
      <c r="N56" s="26" t="n">
        <f aca="false">N28</f>
        <v>1214.4</v>
      </c>
      <c r="O56" s="26" t="n">
        <f aca="false">O57*O39</f>
        <v>1224.921701325</v>
      </c>
      <c r="P56" s="26" t="n">
        <f aca="false">P57*P39</f>
        <v>1325.93691096094</v>
      </c>
      <c r="Q56" s="26" t="n">
        <f aca="false">Q57*Q39</f>
        <v>1424.10044026908</v>
      </c>
      <c r="R56" s="26" t="n">
        <f aca="false">R57*R39</f>
        <v>1517.52142915073</v>
      </c>
      <c r="S56" s="26" t="n">
        <f aca="false">S57*S39</f>
        <v>1604.27307085051</v>
      </c>
      <c r="T56" s="26" t="n">
        <f aca="false">T57*T39</f>
        <v>1682.45464516996</v>
      </c>
      <c r="U56" s="26" t="n">
        <f aca="false">U57*U39</f>
        <v>1750.25756737031</v>
      </c>
      <c r="V56" s="26" t="n">
        <f aca="false">V57*V39</f>
        <v>1806.03244185051</v>
      </c>
      <c r="W56" s="26" t="n">
        <f aca="false">W57*W39</f>
        <v>1848.35380207121</v>
      </c>
      <c r="X56" s="26" t="n">
        <f aca="false">X57*X39</f>
        <v>1876.07910910227</v>
      </c>
    </row>
    <row r="57" customFormat="false" ht="15" hidden="false" customHeight="true" outlineLevel="0" collapsed="false">
      <c r="B57" s="28" t="s">
        <v>31</v>
      </c>
      <c r="C57" s="31"/>
      <c r="E57" s="28" t="n">
        <f aca="false">E56/E20</f>
        <v>0.0653783775513327</v>
      </c>
      <c r="F57" s="28" t="n">
        <f aca="false">F56/F20</f>
        <v>0.0748367881103523</v>
      </c>
      <c r="G57" s="28" t="n">
        <f aca="false">G56/G20</f>
        <v>0.078450566354356</v>
      </c>
      <c r="H57" s="28" t="n">
        <f aca="false">H56/H20</f>
        <v>0.083209915036246</v>
      </c>
      <c r="I57" s="28" t="n">
        <f aca="false">I56/I20</f>
        <v>0.0881362716014503</v>
      </c>
      <c r="J57" s="28" t="n">
        <f aca="false">J56/J20</f>
        <v>0.349064677833476</v>
      </c>
      <c r="K57" s="28" t="n">
        <f aca="false">K56/K20</f>
        <v>0.149846903705555</v>
      </c>
      <c r="L57" s="28" t="n">
        <f aca="false">L56/L20</f>
        <v>0.0856782240700869</v>
      </c>
      <c r="M57" s="28" t="n">
        <f aca="false">M56/M20</f>
        <v>0.0788095627724304</v>
      </c>
      <c r="N57" s="28" t="n">
        <f aca="false">N56/N20</f>
        <v>0.0870631250672115</v>
      </c>
      <c r="O57" s="40" t="n">
        <f aca="false">'Sources &amp; Checks'!$B$21</f>
        <v>0.0805</v>
      </c>
      <c r="P57" s="40" t="n">
        <f aca="false">'Sources &amp; Checks'!$B$21</f>
        <v>0.0805</v>
      </c>
      <c r="Q57" s="40" t="n">
        <f aca="false">'Sources &amp; Checks'!$B$21</f>
        <v>0.0805</v>
      </c>
      <c r="R57" s="40" t="n">
        <f aca="false">'Sources &amp; Checks'!$B$21</f>
        <v>0.0805</v>
      </c>
      <c r="S57" s="40" t="n">
        <f aca="false">'Sources &amp; Checks'!$B$21</f>
        <v>0.0805</v>
      </c>
      <c r="T57" s="40" t="n">
        <f aca="false">'Sources &amp; Checks'!$B$21</f>
        <v>0.0805</v>
      </c>
      <c r="U57" s="40" t="n">
        <f aca="false">'Sources &amp; Checks'!$B$21</f>
        <v>0.0805</v>
      </c>
      <c r="V57" s="40" t="n">
        <f aca="false">'Sources &amp; Checks'!$B$21</f>
        <v>0.0805</v>
      </c>
      <c r="W57" s="40" t="n">
        <f aca="false">'Sources &amp; Checks'!$B$21</f>
        <v>0.0805</v>
      </c>
      <c r="X57" s="40" t="n">
        <f aca="false">'Sources &amp; Checks'!$B$21</f>
        <v>0.0805</v>
      </c>
    </row>
    <row r="58" customFormat="false" ht="15" hidden="false" customHeight="true" outlineLevel="0" collapsed="false">
      <c r="C58" s="31"/>
    </row>
    <row r="59" customFormat="false" ht="15" hidden="false" customHeight="true" outlineLevel="0" collapsed="false">
      <c r="B59" s="25" t="s">
        <v>36</v>
      </c>
      <c r="E59" s="26" t="n">
        <f aca="false">E31</f>
        <v>1217.7</v>
      </c>
      <c r="F59" s="26" t="n">
        <f aca="false">F31</f>
        <v>1449.8</v>
      </c>
      <c r="G59" s="26" t="n">
        <f aca="false">G31</f>
        <v>1470.6</v>
      </c>
      <c r="H59" s="26" t="n">
        <f aca="false">H31</f>
        <v>1546.7</v>
      </c>
      <c r="I59" s="26" t="n">
        <f aca="false">I31</f>
        <v>578.8</v>
      </c>
      <c r="J59" s="26" t="n">
        <f aca="false">J31</f>
        <v>294.7</v>
      </c>
      <c r="K59" s="26" t="n">
        <f aca="false">K31</f>
        <v>1181.6</v>
      </c>
      <c r="L59" s="26" t="n">
        <f aca="false">L31</f>
        <v>1914.7</v>
      </c>
      <c r="M59" s="26" t="n">
        <f aca="false">M31</f>
        <v>2391.9</v>
      </c>
      <c r="N59" s="26" t="n">
        <f aca="false">N31</f>
        <v>1552.5</v>
      </c>
      <c r="O59" s="26" t="n">
        <f aca="false">O60*O39</f>
        <v>2781.56132922</v>
      </c>
      <c r="P59" s="26" t="n">
        <f aca="false">P60*P39</f>
        <v>2952.49090937213</v>
      </c>
      <c r="Q59" s="26" t="n">
        <f aca="false">Q60*Q39</f>
        <v>3099.7001312924</v>
      </c>
      <c r="R59" s="26" t="n">
        <f aca="false">R60*R39</f>
        <v>3215.81595910245</v>
      </c>
      <c r="S59" s="26" t="n">
        <f aca="false">S60*S39</f>
        <v>3292.82824205063</v>
      </c>
      <c r="T59" s="26" t="n">
        <f aca="false">T60*T39</f>
        <v>3321.98381179582</v>
      </c>
      <c r="U59" s="26" t="n">
        <f aca="false">U60*U39</f>
        <v>3293.52457342164</v>
      </c>
      <c r="V59" s="26" t="n">
        <f aca="false">V60*V39</f>
        <v>3196.14208617074</v>
      </c>
      <c r="W59" s="26" t="n">
        <f aca="false">W60*W39</f>
        <v>3015.91055429821</v>
      </c>
      <c r="X59" s="26" t="n">
        <f aca="false">X60*X39</f>
        <v>2734.22032285907</v>
      </c>
    </row>
    <row r="60" customFormat="false" ht="15" hidden="false" customHeight="true" outlineLevel="0" collapsed="false">
      <c r="B60" s="28" t="s">
        <v>31</v>
      </c>
      <c r="C60" s="29"/>
      <c r="E60" s="28" t="n">
        <f aca="false">E59/E20</f>
        <v>0.186312310658221</v>
      </c>
      <c r="F60" s="28" t="n">
        <f aca="false">F59/F20</f>
        <v>0.21808718673847</v>
      </c>
      <c r="G60" s="28" t="n">
        <f aca="false">G59/G20</f>
        <v>0.205649559502168</v>
      </c>
      <c r="H60" s="28" t="n">
        <f aca="false">H59/H20</f>
        <v>0.200937979057864</v>
      </c>
      <c r="I60" s="28" t="n">
        <f aca="false">I59/I20</f>
        <v>0.0681358007251495</v>
      </c>
      <c r="J60" s="28" t="n">
        <f aca="false">J59/J20</f>
        <v>0.180156498349431</v>
      </c>
      <c r="K60" s="28" t="n">
        <f aca="false">K59/K20</f>
        <v>0.246120519069341</v>
      </c>
      <c r="L60" s="28" t="n">
        <f aca="false">L59/L20</f>
        <v>0.177695077585567</v>
      </c>
      <c r="M60" s="28" t="n">
        <f aca="false">M59/M20</f>
        <v>0.177918445677561</v>
      </c>
      <c r="N60" s="28" t="n">
        <f aca="false">N59/N20</f>
        <v>0.111302290568878</v>
      </c>
      <c r="O60" s="40" t="n">
        <f aca="false">'Sources &amp; Checks'!$B$22</f>
        <v>0.1828</v>
      </c>
      <c r="P60" s="46" t="n">
        <f aca="false">P57+P64*P46*(1-P52)-P63</f>
        <v>0.179251000737439</v>
      </c>
      <c r="Q60" s="46" t="n">
        <f aca="false">Q57+Q64*Q46*(1-Q52)-Q63</f>
        <v>0.175216475968431</v>
      </c>
      <c r="R60" s="46" t="n">
        <f aca="false">R57+R64*R46*(1-R52)-R63</f>
        <v>0.170589475532233</v>
      </c>
      <c r="S60" s="46" t="n">
        <f aca="false">S57+S64*S46*(1-S52)-S63</f>
        <v>0.165229148516808</v>
      </c>
      <c r="T60" s="46" t="n">
        <f aca="false">T57+T64*T46*(1-T52)-T63</f>
        <v>0.158946155022532</v>
      </c>
      <c r="U60" s="46" t="n">
        <f aca="false">U57+U64*U46*(1-U52)-U63</f>
        <v>0.151479835370052</v>
      </c>
      <c r="V60" s="46" t="n">
        <f aca="false">V57+V64*V46*(1-V52)-V63</f>
        <v>0.142461138556913</v>
      </c>
      <c r="W60" s="46" t="n">
        <f aca="false">W57+W64*W46*(1-W52)-W63</f>
        <v>0.131349744485582</v>
      </c>
      <c r="X60" s="46" t="n">
        <f aca="false">X57+X64*X46*(1-X52)-X63</f>
        <v>0.117321670990451</v>
      </c>
    </row>
    <row r="62" customFormat="false" ht="15" hidden="false" customHeight="true" outlineLevel="0" collapsed="false">
      <c r="B62" s="25" t="s">
        <v>37</v>
      </c>
      <c r="E62" s="26" t="n">
        <f aca="false">E34</f>
        <v>-135.6</v>
      </c>
      <c r="F62" s="26" t="n">
        <f aca="false">F34</f>
        <v>-113.1</v>
      </c>
      <c r="G62" s="26" t="n">
        <f aca="false">G34</f>
        <v>-168.9</v>
      </c>
      <c r="H62" s="26" t="n">
        <f aca="false">H34</f>
        <v>-514.3</v>
      </c>
      <c r="I62" s="26" t="n">
        <f aca="false">I34</f>
        <v>388.5</v>
      </c>
      <c r="J62" s="26" t="n">
        <f aca="false">J34</f>
        <v>1703.2</v>
      </c>
      <c r="K62" s="26" t="n">
        <f aca="false">K34</f>
        <v>-1785.9</v>
      </c>
      <c r="L62" s="26" t="n">
        <f aca="false">L34</f>
        <v>-1353.9</v>
      </c>
      <c r="M62" s="26" t="n">
        <f aca="false">M34</f>
        <v>-19</v>
      </c>
      <c r="N62" s="26" t="n">
        <f aca="false">N34</f>
        <v>-480.3</v>
      </c>
      <c r="O62" s="26" t="n">
        <f aca="false">O63*O39</f>
        <v>-436.711215255</v>
      </c>
      <c r="P62" s="26" t="n">
        <f aca="false">P63*P39</f>
        <v>-456.325510795713</v>
      </c>
      <c r="Q62" s="26" t="n">
        <f aca="false">Q63*Q39</f>
        <v>-470.085152809084</v>
      </c>
      <c r="R62" s="26" t="n">
        <f aca="false">R63*R39</f>
        <v>-476.452131081276</v>
      </c>
      <c r="S62" s="26" t="n">
        <f aca="false">S63*S39</f>
        <v>-473.719779212545</v>
      </c>
      <c r="T62" s="26" t="n">
        <f aca="false">T63*T39</f>
        <v>-459.965660627196</v>
      </c>
      <c r="U62" s="26" t="n">
        <f aca="false">U63*U39</f>
        <v>-432.959560837472</v>
      </c>
      <c r="V62" s="26" t="n">
        <f aca="false">V63*V39</f>
        <v>-389.991659745755</v>
      </c>
      <c r="W62" s="26" t="n">
        <f aca="false">W63*W39</f>
        <v>-327.555022374536</v>
      </c>
      <c r="X62" s="26" t="n">
        <f aca="false">X63*X39</f>
        <v>-240.749294573021</v>
      </c>
    </row>
    <row r="63" customFormat="false" ht="15" hidden="false" customHeight="true" outlineLevel="0" collapsed="false">
      <c r="B63" s="28" t="s">
        <v>31</v>
      </c>
      <c r="C63" s="31"/>
      <c r="E63" s="28" t="n">
        <f aca="false">E62/E20</f>
        <v>-0.0207472688882769</v>
      </c>
      <c r="F63" s="28" t="n">
        <f aca="false">F62/F20</f>
        <v>-0.0170131472065947</v>
      </c>
      <c r="G63" s="28" t="n">
        <f aca="false">G62/G20</f>
        <v>-0.0236190742553489</v>
      </c>
      <c r="H63" s="28" t="n">
        <f aca="false">H62/H20</f>
        <v>-0.0668147686231715</v>
      </c>
      <c r="I63" s="28" t="n">
        <f aca="false">I62/I20</f>
        <v>0.0457338607147902</v>
      </c>
      <c r="J63" s="28" t="n">
        <f aca="false">J62/J20</f>
        <v>1.04120308106125</v>
      </c>
      <c r="K63" s="28" t="n">
        <f aca="false">K62/K20</f>
        <v>-0.37199275135912</v>
      </c>
      <c r="L63" s="28" t="n">
        <f aca="false">L62/L20</f>
        <v>-0.125649639913876</v>
      </c>
      <c r="M63" s="28" t="n">
        <f aca="false">M62/M20</f>
        <v>-0.00141329088501763</v>
      </c>
      <c r="N63" s="28" t="n">
        <f aca="false">N62/N20</f>
        <v>-0.0344338100871061</v>
      </c>
      <c r="O63" s="40" t="n">
        <f aca="false">'Sources &amp; Checks'!$B$23</f>
        <v>-0.0287</v>
      </c>
      <c r="P63" s="46" t="n">
        <f aca="false">P64*P46*(1-P52)*'Sources &amp; Checks'!$B$23/('Sources &amp; Checks'!$B$22-'Sources &amp; Checks'!$B$21+'Sources &amp; Checks'!$B$23)</f>
        <v>-0.0277043374502885</v>
      </c>
      <c r="Q63" s="46" t="n">
        <f aca="false">Q64*Q46*(1-Q52)*'Sources &amp; Checks'!$B$23/('Sources &amp; Checks'!$B$22-'Sources &amp; Checks'!$B$21+'Sources &amp; Checks'!$B$23)</f>
        <v>-0.026572461977458</v>
      </c>
      <c r="R63" s="46" t="n">
        <f aca="false">R64*R46*(1-R52)*'Sources &amp; Checks'!$B$23/('Sources &amp; Checks'!$B$22-'Sources &amp; Checks'!$B$21+'Sources &amp; Checks'!$B$23)</f>
        <v>-0.0252743689909588</v>
      </c>
      <c r="S63" s="46" t="n">
        <f aca="false">S64*S46*(1-S52)*'Sources &amp; Checks'!$B$23/('Sources &amp; Checks'!$B$22-'Sources &amp; Checks'!$B$21+'Sources &amp; Checks'!$B$23)</f>
        <v>-0.0237705431322816</v>
      </c>
      <c r="T63" s="46" t="n">
        <f aca="false">T64*T46*(1-T52)*'Sources &amp; Checks'!$B$23/('Sources &amp; Checks'!$B$22-'Sources &amp; Checks'!$B$21+'Sources &amp; Checks'!$B$23)</f>
        <v>-0.0220078655830564</v>
      </c>
      <c r="U63" s="46" t="n">
        <f aca="false">U64*U46*(1-U52)*'Sources &amp; Checks'!$B$23/('Sources &amp; Checks'!$B$22-'Sources &amp; Checks'!$B$21+'Sources &amp; Checks'!$B$23)</f>
        <v>-0.0199132089454594</v>
      </c>
      <c r="V63" s="46" t="n">
        <f aca="false">V64*V46*(1-V52)*'Sources &amp; Checks'!$B$23/('Sources &amp; Checks'!$B$22-'Sources &amp; Checks'!$B$21+'Sources &amp; Checks'!$B$23)</f>
        <v>-0.0173830369167487</v>
      </c>
      <c r="W63" s="46" t="n">
        <f aca="false">W64*W46*(1-W52)*'Sources &amp; Checks'!$B$23/('Sources &amp; Checks'!$B$22-'Sources &amp; Checks'!$B$21+'Sources &amp; Checks'!$B$23)</f>
        <v>-0.0142657640932179</v>
      </c>
      <c r="X63" s="46" t="n">
        <f aca="false">X64*X46*(1-X52)*'Sources &amp; Checks'!$B$23/('Sources &amp; Checks'!$B$22-'Sources &amp; Checks'!$B$21+'Sources &amp; Checks'!$B$23)</f>
        <v>-0.0103302244127658</v>
      </c>
    </row>
    <row r="64" customFormat="false" ht="15" hidden="false" customHeight="true" outlineLevel="0" collapsed="false">
      <c r="B64" s="28" t="s">
        <v>45</v>
      </c>
      <c r="O64" s="46" t="n">
        <f aca="false">O40/O65</f>
        <v>0.485693168619998</v>
      </c>
      <c r="P64" s="46" t="n">
        <f aca="false">P40/P65</f>
        <v>0.468843464834435</v>
      </c>
      <c r="Q64" s="46" t="n">
        <f aca="false">Q40/Q65</f>
        <v>0.449688615186969</v>
      </c>
      <c r="R64" s="46" t="n">
        <f aca="false">R40/R65</f>
        <v>0.427720848783617</v>
      </c>
      <c r="S64" s="46" t="n">
        <f aca="false">S40/S65</f>
        <v>0.402271442987323</v>
      </c>
      <c r="T64" s="46" t="n">
        <f aca="false">T40/T65</f>
        <v>0.372441462355318</v>
      </c>
      <c r="U64" s="46" t="n">
        <f aca="false">U40/U65</f>
        <v>0.33699336411541</v>
      </c>
      <c r="V64" s="46" t="n">
        <f aca="false">V40/V65</f>
        <v>0.294174992346136</v>
      </c>
      <c r="W64" s="46" t="n">
        <f aca="false">W40/W65</f>
        <v>0.241421051052975</v>
      </c>
      <c r="X64" s="46" t="n">
        <f aca="false">X40/X65</f>
        <v>0.174819492250588</v>
      </c>
      <c r="Y64" s="46" t="n">
        <f aca="false">Y40/Y65</f>
        <v>0.174819492250588</v>
      </c>
    </row>
    <row r="65" customFormat="false" ht="15" hidden="false" customHeight="true" outlineLevel="0" collapsed="false">
      <c r="B65" s="28" t="s">
        <v>46</v>
      </c>
      <c r="O65" s="46" t="n">
        <f aca="false">O40/(('Sources &amp; Checks'!$B$22-'Sources &amp; Checks'!$B$21+'Sources &amp; Checks'!$B$23)/(O46*(1-O52)))</f>
        <v>0.187155195652174</v>
      </c>
      <c r="P65" s="46" t="n">
        <f aca="false">O65-($O$65-$D$16)/$D$18</f>
        <v>0.17589381713103</v>
      </c>
      <c r="Q65" s="46" t="n">
        <f aca="false">P65-($O$65-$D$16)/$D$18</f>
        <v>0.164632438609886</v>
      </c>
      <c r="R65" s="46" t="n">
        <f aca="false">Q65-($O$65-$D$16)/$D$18</f>
        <v>0.153371060088742</v>
      </c>
      <c r="S65" s="46" t="n">
        <f aca="false">R65-($O$65-$D$16)/$D$18</f>
        <v>0.142109681567598</v>
      </c>
      <c r="T65" s="46" t="n">
        <f aca="false">S65-($O$65-$D$16)/$D$18</f>
        <v>0.130848303046454</v>
      </c>
      <c r="U65" s="46" t="n">
        <f aca="false">T65-($O$65-$D$16)/$D$18</f>
        <v>0.11958692452531</v>
      </c>
      <c r="V65" s="46" t="n">
        <f aca="false">U65-($O$65-$D$16)/$D$18</f>
        <v>0.108325546004167</v>
      </c>
      <c r="W65" s="46" t="n">
        <f aca="false">V65-($O$65-$D$16)/$D$18</f>
        <v>0.0970641674830226</v>
      </c>
      <c r="X65" s="46" t="n">
        <f aca="false">W65-($O$65-$D$16)/$D$18</f>
        <v>0.0858027889618787</v>
      </c>
      <c r="Y65" s="46" t="n">
        <f aca="false">$D$16</f>
        <v>0.0858027889618787</v>
      </c>
    </row>
    <row r="66" customFormat="false" ht="15" hidden="false" customHeight="true" outlineLevel="0" collapsed="false">
      <c r="A66" s="41" t="s">
        <v>10</v>
      </c>
      <c r="B66" s="47" t="s">
        <v>47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9" t="n">
        <f aca="false">O54+O56-O59-O62</f>
        <v>1185.9068039064</v>
      </c>
      <c r="P66" s="49" t="n">
        <f aca="false">P54+P56-P59-P62</f>
        <v>1325.76127312211</v>
      </c>
      <c r="Q66" s="49" t="n">
        <f aca="false">Q54+Q56-Q59-Q62</f>
        <v>1475.26166447663</v>
      </c>
      <c r="R66" s="49" t="n">
        <f aca="false">R54+R56-R59-R62</f>
        <v>1634.79272271694</v>
      </c>
      <c r="S66" s="49" t="n">
        <f aca="false">S54+S56-S59-S62</f>
        <v>1805.1040373839</v>
      </c>
      <c r="T66" s="49" t="n">
        <f aca="false">T54+T56-T59-T62</f>
        <v>1987.54763823084</v>
      </c>
      <c r="U66" s="49" t="n">
        <f aca="false">U54+U56-U59-U62</f>
        <v>2184.43827812809</v>
      </c>
      <c r="V66" s="49" t="n">
        <f aca="false">V54+V56-V59-V62</f>
        <v>2399.62030248464</v>
      </c>
      <c r="W66" s="49" t="n">
        <f aca="false">W54+W56-W59-W62</f>
        <v>2639.4037577334</v>
      </c>
      <c r="X66" s="49" t="n">
        <f aca="false">X54+X56-X59-X62</f>
        <v>2914.20465071588</v>
      </c>
      <c r="Y66" s="50" t="n">
        <f aca="false">Y54*(1-Y64)</f>
        <v>2957.91772047662</v>
      </c>
    </row>
    <row r="67" customFormat="false" ht="15" hidden="false" customHeight="true" outlineLevel="0" collapsed="false">
      <c r="B67" s="51" t="s">
        <v>48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52" t="n">
        <f aca="false">O66*$O$70/(1+$D$16)^O71</f>
        <v>82.1195793601576</v>
      </c>
      <c r="P67" s="52" t="n">
        <f aca="false">P66/(1+$D$16)^P71</f>
        <v>1265.04841606139</v>
      </c>
      <c r="Q67" s="52" t="n">
        <f aca="false">Q66/(1+$D$16)^Q71</f>
        <v>1296.4623909656</v>
      </c>
      <c r="R67" s="52" t="n">
        <f aca="false">R66/(1+$D$16)^R71</f>
        <v>1323.13028059206</v>
      </c>
      <c r="S67" s="52" t="n">
        <f aca="false">S66/(1+$D$16)^S71</f>
        <v>1345.52322218258</v>
      </c>
      <c r="T67" s="52" t="n">
        <f aca="false">T66/(1+$D$16)^T71</f>
        <v>1364.44349117996</v>
      </c>
      <c r="U67" s="52" t="n">
        <f aca="false">U66/(1+$D$16)^U71</f>
        <v>1381.10542902973</v>
      </c>
      <c r="V67" s="52" t="n">
        <f aca="false">V66/(1+$D$16)^V71</f>
        <v>1397.2645130318</v>
      </c>
      <c r="W67" s="52" t="n">
        <f aca="false">W66/(1+$D$16)^W71</f>
        <v>1415.43841874013</v>
      </c>
      <c r="X67" s="52" t="n">
        <f aca="false">X66/(1+$D$16)^X71</f>
        <v>1439.30966851738</v>
      </c>
    </row>
    <row r="70" customFormat="false" ht="15" hidden="false" customHeight="true" outlineLevel="0" collapsed="false">
      <c r="A70" s="13" t="s">
        <v>10</v>
      </c>
      <c r="B70" s="53" t="s">
        <v>49</v>
      </c>
      <c r="O70" s="54" t="n">
        <f aca="false">YEARFRAC(D6,D7)</f>
        <v>0.0694444444444445</v>
      </c>
    </row>
    <row r="71" customFormat="false" ht="15" hidden="false" customHeight="true" outlineLevel="0" collapsed="false">
      <c r="B71" s="55" t="s">
        <v>50</v>
      </c>
      <c r="O71" s="55" t="n">
        <f aca="false">O70/2</f>
        <v>0.0347222222222222</v>
      </c>
      <c r="P71" s="55" t="n">
        <f aca="false">O70+0.5</f>
        <v>0.569444444444444</v>
      </c>
      <c r="Q71" s="55" t="n">
        <f aca="false">P71+1</f>
        <v>1.56944444444444</v>
      </c>
      <c r="R71" s="55" t="n">
        <f aca="false">Q71+1</f>
        <v>2.56944444444444</v>
      </c>
      <c r="S71" s="55" t="n">
        <f aca="false">R71+1</f>
        <v>3.56944444444444</v>
      </c>
      <c r="T71" s="55" t="n">
        <f aca="false">S71+1</f>
        <v>4.56944444444445</v>
      </c>
      <c r="U71" s="55" t="n">
        <f aca="false">T71+1</f>
        <v>5.56944444444445</v>
      </c>
      <c r="V71" s="55" t="n">
        <f aca="false">U71+1</f>
        <v>6.56944444444445</v>
      </c>
      <c r="W71" s="55" t="n">
        <f aca="false">V71+1</f>
        <v>7.56944444444445</v>
      </c>
      <c r="X71" s="55" t="n">
        <f aca="false">W71+1</f>
        <v>8.56944444444445</v>
      </c>
    </row>
    <row r="73" customFormat="false" ht="15" hidden="false" customHeight="true" outlineLevel="0" collapsed="false">
      <c r="B73" s="26" t="s">
        <v>51</v>
      </c>
      <c r="S73" s="56"/>
      <c r="T73" s="56"/>
      <c r="U73" s="56"/>
      <c r="V73" s="56"/>
      <c r="W73" s="56"/>
      <c r="X73" s="57" t="n">
        <f aca="false">Y66/(D16-D17)</f>
        <v>41776.8531981022</v>
      </c>
    </row>
    <row r="74" customFormat="false" ht="15" hidden="false" customHeight="true" outlineLevel="0" collapsed="false">
      <c r="B74" s="26" t="s">
        <v>52</v>
      </c>
      <c r="S74" s="56"/>
      <c r="T74" s="56"/>
      <c r="U74" s="56"/>
      <c r="V74" s="56"/>
      <c r="W74" s="56"/>
      <c r="X74" s="26" t="n">
        <f aca="false">X73/(1+D16)^X71</f>
        <v>20633.3583036074</v>
      </c>
    </row>
    <row r="75" customFormat="false" ht="15" hidden="false" customHeight="true" outlineLevel="0" collapsed="false">
      <c r="B75" s="26" t="s">
        <v>53</v>
      </c>
      <c r="S75" s="26" t="n">
        <f aca="false">SUM(O67:X67)+X74</f>
        <v>32943.2037132682</v>
      </c>
      <c r="T75" s="56"/>
      <c r="U75" s="56"/>
      <c r="V75" s="56"/>
      <c r="W75" s="56"/>
      <c r="X75" s="56"/>
    </row>
    <row r="76" customFormat="false" ht="15" hidden="false" customHeight="true" outlineLevel="0" collapsed="false">
      <c r="B76" s="26" t="s">
        <v>54</v>
      </c>
      <c r="S76" s="26" t="n">
        <f aca="false">'Sources &amp; Checks'!$B$6</f>
        <v>2400</v>
      </c>
      <c r="T76" s="56"/>
      <c r="U76" s="56"/>
      <c r="V76" s="56"/>
      <c r="W76" s="56"/>
      <c r="X76" s="56"/>
    </row>
    <row r="77" customFormat="false" ht="15" hidden="false" customHeight="true" outlineLevel="0" collapsed="false">
      <c r="B77" s="26" t="s">
        <v>55</v>
      </c>
      <c r="S77" s="26" t="n">
        <f aca="false">'Sources &amp; Checks'!$B$7+'Sources &amp; Checks'!$B$24</f>
        <v>1611.2</v>
      </c>
    </row>
    <row r="78" customFormat="false" ht="15" hidden="false" customHeight="true" outlineLevel="0" collapsed="false">
      <c r="A78" s="41" t="s">
        <v>10</v>
      </c>
      <c r="B78" s="58" t="s">
        <v>56</v>
      </c>
      <c r="S78" s="26" t="n">
        <f aca="false">S75+S76-S77</f>
        <v>33732.0037132682</v>
      </c>
      <c r="T78" s="56"/>
      <c r="U78" s="56"/>
      <c r="V78" s="56"/>
      <c r="W78" s="56"/>
      <c r="X78" s="56"/>
    </row>
    <row r="80" customFormat="false" ht="15" hidden="false" customHeight="true" outlineLevel="0" collapsed="false">
      <c r="B80" s="59" t="s">
        <v>57</v>
      </c>
      <c r="S80" s="59" t="n">
        <f aca="false">'Sources &amp; Checks'!$B$9</f>
        <v>1066.8</v>
      </c>
    </row>
    <row r="81" customFormat="false" ht="15" hidden="false" customHeight="true" outlineLevel="0" collapsed="false">
      <c r="A81" s="60" t="s">
        <v>10</v>
      </c>
      <c r="B81" s="61" t="s">
        <v>58</v>
      </c>
      <c r="S81" s="62" t="n">
        <f aca="false">S78/S80</f>
        <v>31.6198010060632</v>
      </c>
      <c r="T81" s="63"/>
      <c r="U81" s="63"/>
      <c r="V81" s="63"/>
      <c r="W81" s="63"/>
      <c r="X81" s="63"/>
    </row>
    <row r="85" customFormat="false" ht="15" hidden="false" customHeight="true" outlineLevel="0" collapsed="false">
      <c r="A85" s="64"/>
      <c r="B85" s="65" t="s">
        <v>59</v>
      </c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</row>
    <row r="86" customFormat="false" ht="15" hidden="false" customHeight="true" outlineLevel="0" collapsed="false">
      <c r="B86" s="67" t="s">
        <v>60</v>
      </c>
      <c r="D86" s="67" t="s">
        <v>61</v>
      </c>
      <c r="F86" s="67" t="s">
        <v>62</v>
      </c>
      <c r="H86" s="67" t="s">
        <v>21</v>
      </c>
      <c r="J86" s="67" t="s">
        <v>23</v>
      </c>
      <c r="L86" s="67" t="s">
        <v>63</v>
      </c>
      <c r="N86" s="67" t="s">
        <v>64</v>
      </c>
    </row>
    <row r="87" customFormat="false" ht="15" hidden="false" customHeight="true" outlineLevel="0" collapsed="false">
      <c r="B87" s="68" t="s">
        <v>13</v>
      </c>
      <c r="D87" s="69" t="n">
        <f aca="false">$H$11</f>
        <v>0.07</v>
      </c>
      <c r="F87" s="70" t="n">
        <f aca="false">$H$13</f>
        <v>0.16</v>
      </c>
      <c r="H87" s="71" t="n">
        <f aca="false">H16</f>
        <v>0.092</v>
      </c>
      <c r="J87" s="70" t="n">
        <f aca="false">$H$17</f>
        <v>0.01</v>
      </c>
      <c r="L87" s="72" t="n">
        <f aca="false">Calc!$C$175</f>
        <v>24.7965963086233</v>
      </c>
      <c r="N87" s="73" t="n">
        <f aca="false">L87/'Sources &amp; Checks'!$B$5-1</f>
        <v>-0.0532036537371797</v>
      </c>
    </row>
    <row r="88" customFormat="false" ht="15" hidden="false" customHeight="true" outlineLevel="0" collapsed="false">
      <c r="B88" s="74" t="s">
        <v>65</v>
      </c>
      <c r="D88" s="69" t="n">
        <f aca="false">$L$11</f>
        <v>0.0909</v>
      </c>
      <c r="F88" s="70" t="n">
        <f aca="false">$L$13</f>
        <v>0.1722</v>
      </c>
      <c r="H88" s="75" t="n">
        <f aca="false">WACC!F22</f>
        <v>0.0858027889618787</v>
      </c>
      <c r="J88" s="70" t="n">
        <f aca="false">$L$17</f>
        <v>0.015</v>
      </c>
      <c r="L88" s="72" t="n">
        <f aca="false">Calc!$C$195</f>
        <v>31.6198010060632</v>
      </c>
      <c r="N88" s="76" t="n">
        <f aca="false">L88/'Sources &amp; Checks'!$B$5-1</f>
        <v>0.207323444294127</v>
      </c>
    </row>
    <row r="89" customFormat="false" ht="15" hidden="false" customHeight="true" outlineLevel="0" collapsed="false">
      <c r="B89" s="68" t="s">
        <v>15</v>
      </c>
      <c r="D89" s="69" t="n">
        <f aca="false">$P$11</f>
        <v>0.11</v>
      </c>
      <c r="F89" s="70" t="n">
        <f aca="false">$P$13</f>
        <v>0.185</v>
      </c>
      <c r="H89" s="71" t="n">
        <f aca="false">P16</f>
        <v>0.082</v>
      </c>
      <c r="J89" s="70" t="n">
        <f aca="false">$P$17</f>
        <v>0.02</v>
      </c>
      <c r="L89" s="72" t="n">
        <f aca="false">Calc!$C$215</f>
        <v>39.2291143805989</v>
      </c>
      <c r="N89" s="73" t="n">
        <f aca="false">L89/'Sources &amp; Checks'!$B$5-1</f>
        <v>0.497866146643714</v>
      </c>
    </row>
    <row r="90" customFormat="false" ht="15" hidden="false" customHeight="true" outlineLevel="0" collapsed="false">
      <c r="B90" s="77" t="s">
        <v>66</v>
      </c>
    </row>
    <row r="91" customFormat="false" ht="15" hidden="false" customHeight="true" outlineLevel="0" collapsed="false">
      <c r="A91" s="64" t="s">
        <v>10</v>
      </c>
      <c r="B91" s="78" t="s">
        <v>67</v>
      </c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 customFormat="false" ht="15" hidden="false" customHeight="true" outlineLevel="0" collapsed="false">
      <c r="B92" s="67" t="s">
        <v>68</v>
      </c>
      <c r="D92" s="79" t="n">
        <v>0.005</v>
      </c>
      <c r="F92" s="79" t="n">
        <v>0.01</v>
      </c>
      <c r="H92" s="79" t="n">
        <v>0.015</v>
      </c>
      <c r="J92" s="79" t="n">
        <v>0.02</v>
      </c>
      <c r="L92" s="79" t="n">
        <v>0.025</v>
      </c>
    </row>
    <row r="93" customFormat="false" ht="15" hidden="false" customHeight="true" outlineLevel="0" collapsed="false">
      <c r="B93" s="80" t="n">
        <v>0.075</v>
      </c>
      <c r="D93" s="81" t="n">
        <f aca="false">(SUMPRODUCT(Calc!$F$269:$O$269/(1+$B93)^$O$71:$X$71)-(1-$O$70)*Calc!$F$269/(1+$B93)^$O$71+(Calc!$O$265*(1+D$92)*(1-D$92/$B93)/($B93-D$92))/(1+$B93)^$X$71+'Sources &amp; Checks'!$B$6-'Sources &amp; Checks'!$B$7-'Sources &amp; Checks'!$B$24)/'Sources &amp; Checks'!$B$9</f>
        <v>36.1945918474672</v>
      </c>
      <c r="F93" s="81" t="n">
        <f aca="false">(SUMPRODUCT(Calc!$F$289:$O$289/(1+$B93)^$O$71:$X$71)-(1-$O$70)*Calc!$F$289/(1+$B93)^$O$71+(Calc!$O$285*(1+F$92)*(1-F$92/$B93)/($B93-F$92))/(1+$B93)^$X$71+'Sources &amp; Checks'!$B$6-'Sources &amp; Checks'!$B$7-'Sources &amp; Checks'!$B$24)/'Sources &amp; Checks'!$B$9</f>
        <v>36.5627735935774</v>
      </c>
      <c r="H93" s="81" t="n">
        <f aca="false">(SUMPRODUCT(Calc!$F$309:$O$309/(1+$B93)^$O$71:$X$71)-(1-$O$70)*Calc!$F$309/(1+$B93)^$O$71+(Calc!$O$305*(1+H$92)*(1-H$92/$B93)/($B93-H$92))/(1+$B93)^$X$71+'Sources &amp; Checks'!$B$6-'Sources &amp; Checks'!$B$7-'Sources &amp; Checks'!$B$24)/'Sources &amp; Checks'!$B$9</f>
        <v>36.9372630299162</v>
      </c>
      <c r="J93" s="81" t="n">
        <f aca="false">(SUMPRODUCT(Calc!$F$329:$O$329/(1+$B93)^$O$71:$X$71)-(1-$O$70)*Calc!$F$329/(1+$B93)^$O$71+(Calc!$O$325*(1+J$92)*(1-J$92/$B93)/($B93-J$92))/(1+$B93)^$X$71+'Sources &amp; Checks'!$B$6-'Sources &amp; Checks'!$B$7-'Sources &amp; Checks'!$B$24)/'Sources &amp; Checks'!$B$9</f>
        <v>37.3181684611653</v>
      </c>
      <c r="L93" s="81" t="n">
        <f aca="false">(SUMPRODUCT(Calc!$F$349:$O$349/(1+$B93)^$O$71:$X$71)-(1-$O$70)*Calc!$F$349/(1+$B93)^$O$71+(Calc!$O$345*(1+L$92)*(1-L$92/$B93)/($B93-L$92))/(1+$B93)^$X$71+'Sources &amp; Checks'!$B$6-'Sources &amp; Checks'!$B$7-'Sources &amp; Checks'!$B$24)/'Sources &amp; Checks'!$B$9</f>
        <v>37.7055998530035</v>
      </c>
    </row>
    <row r="94" customFormat="false" ht="15" hidden="false" customHeight="true" outlineLevel="0" collapsed="false">
      <c r="B94" s="80" t="n">
        <v>0.08</v>
      </c>
      <c r="D94" s="81" t="n">
        <f aca="false">(SUMPRODUCT(Calc!$F$269:$O$269/(1+$B94)^$O$71:$X$71)-(1-$O$70)*Calc!$F$269/(1+$B94)^$O$71+(Calc!$O$265*(1+D$92)*(1-D$92/$B94)/($B94-D$92))/(1+$B94)^$X$71+'Sources &amp; Checks'!$B$6-'Sources &amp; Checks'!$B$7-'Sources &amp; Checks'!$B$24)/'Sources &amp; Checks'!$B$9</f>
        <v>33.6647173200633</v>
      </c>
      <c r="F94" s="81" t="n">
        <f aca="false">(SUMPRODUCT(Calc!$F$289:$O$289/(1+$B94)^$O$71:$X$71)-(1-$O$70)*Calc!$F$289/(1+$B94)^$O$71+(Calc!$O$285*(1+F$92)*(1-F$92/$B94)/($B94-F$92))/(1+$B94)^$X$71+'Sources &amp; Checks'!$B$6-'Sources &amp; Checks'!$B$7-'Sources &amp; Checks'!$B$24)/'Sources &amp; Checks'!$B$9</f>
        <v>33.9744522914576</v>
      </c>
      <c r="H94" s="81" t="n">
        <f aca="false">(SUMPRODUCT(Calc!$F$309:$O$309/(1+$B94)^$O$71:$X$71)-(1-$O$70)*Calc!$F$309/(1+$B94)^$O$71+(Calc!$O$305*(1+H$92)*(1-H$92/$B94)/($B94-H$92))/(1+$B94)^$X$71+'Sources &amp; Checks'!$B$6-'Sources &amp; Checks'!$B$7-'Sources &amp; Checks'!$B$24)/'Sources &amp; Checks'!$B$9</f>
        <v>34.289138164529</v>
      </c>
      <c r="J94" s="81" t="n">
        <f aca="false">(SUMPRODUCT(Calc!$F$329:$O$329/(1+$B94)^$O$71:$X$71)-(1-$O$70)*Calc!$F$329/(1+$B94)^$O$71+(Calc!$O$325*(1+J$92)*(1-J$92/$B94)/($B94-J$92))/(1+$B94)^$X$71+'Sources &amp; Checks'!$B$6-'Sources &amp; Checks'!$B$7-'Sources &amp; Checks'!$B$24)/'Sources &amp; Checks'!$B$9</f>
        <v>34.608855007657</v>
      </c>
      <c r="L94" s="81" t="n">
        <f aca="false">(SUMPRODUCT(Calc!$F$349:$O$349/(1+$B94)^$O$71:$X$71)-(1-$O$70)*Calc!$F$349/(1+$B94)^$O$71+(Calc!$O$345*(1+L$92)*(1-L$92/$B94)/($B94-L$92))/(1+$B94)^$X$71+'Sources &amp; Checks'!$B$6-'Sources &amp; Checks'!$B$7-'Sources &amp; Checks'!$B$24)/'Sources &amp; Checks'!$B$9</f>
        <v>34.9336840467851</v>
      </c>
    </row>
    <row r="95" customFormat="false" ht="15" hidden="false" customHeight="true" outlineLevel="0" collapsed="false">
      <c r="B95" s="80" t="n">
        <v>0.085</v>
      </c>
      <c r="D95" s="81" t="n">
        <f aca="false">(SUMPRODUCT(Calc!$F$269:$O$269/(1+$B95)^$O$71:$X$71)-(1-$O$70)*Calc!$F$269/(1+$B95)^$O$71+(Calc!$O$265*(1+D$92)*(1-D$92/$B95)/($B95-D$92))/(1+$B95)^$X$71+'Sources &amp; Checks'!$B$6-'Sources &amp; Checks'!$B$7-'Sources &amp; Checks'!$B$24)/'Sources &amp; Checks'!$B$9</f>
        <v>31.4427878941897</v>
      </c>
      <c r="F95" s="81" t="n">
        <f aca="false">(SUMPRODUCT(Calc!$F$289:$O$289/(1+$B95)^$O$71:$X$71)-(1-$O$70)*Calc!$F$289/(1+$B95)^$O$71+(Calc!$O$285*(1+F$92)*(1-F$92/$B95)/($B95-F$92))/(1+$B95)^$X$71+'Sources &amp; Checks'!$B$6-'Sources &amp; Checks'!$B$7-'Sources &amp; Checks'!$B$24)/'Sources &amp; Checks'!$B$9</f>
        <v>31.7026393213261</v>
      </c>
      <c r="H95" s="81" t="n">
        <f aca="false">(SUMPRODUCT(Calc!$F$309:$O$309/(1+$B95)^$O$71:$X$71)-(1-$O$70)*Calc!$F$309/(1+$B95)^$O$71+(Calc!$O$305*(1+H$92)*(1-H$92/$B95)/($B95-H$92))/(1+$B95)^$X$71+'Sources &amp; Checks'!$B$6-'Sources &amp; Checks'!$B$7-'Sources &amp; Checks'!$B$24)/'Sources &amp; Checks'!$B$9</f>
        <v>31.9662989725854</v>
      </c>
      <c r="J95" s="81" t="n">
        <f aca="false">(SUMPRODUCT(Calc!$F$329:$O$329/(1+$B95)^$O$71:$X$71)-(1-$O$70)*Calc!$F$329/(1+$B95)^$O$71+(Calc!$O$325*(1+J$92)*(1-J$92/$B95)/($B95-J$92))/(1+$B95)^$X$71+'Sources &amp; Checks'!$B$6-'Sources &amp; Checks'!$B$7-'Sources &amp; Checks'!$B$24)/'Sources &amp; Checks'!$B$9</f>
        <v>32.2338233203974</v>
      </c>
      <c r="L95" s="81" t="n">
        <f aca="false">(SUMPRODUCT(Calc!$F$349:$O$349/(1+$B95)^$O$71:$X$71)-(1-$O$70)*Calc!$F$349/(1+$B95)^$O$71+(Calc!$O$345*(1+L$92)*(1-L$92/$B95)/($B95-L$92))/(1+$B95)^$X$71+'Sources &amp; Checks'!$B$6-'Sources &amp; Checks'!$B$7-'Sources &amp; Checks'!$B$24)/'Sources &amp; Checks'!$B$9</f>
        <v>32.5052695762665</v>
      </c>
    </row>
    <row r="96" customFormat="false" ht="15" hidden="false" customHeight="true" outlineLevel="0" collapsed="false">
      <c r="B96" s="82" t="n">
        <f aca="false">WACC!F22</f>
        <v>0.0858027889618787</v>
      </c>
      <c r="D96" s="81" t="n">
        <f aca="false">(SUMPRODUCT(Calc!$F$269:$O$269/(1+$B96)^$O$71:$X$71)-(1-$O$70)*Calc!$F$269/(1+$B96)^$O$71+(Calc!$O$265*(1+D$92)*(1-D$92/$B96)/($B96-D$92))/(1+$B96)^$X$71+'Sources &amp; Checks'!$B$6-'Sources &amp; Checks'!$B$7-'Sources &amp; Checks'!$B$24)/'Sources &amp; Checks'!$B$9</f>
        <v>31.1110914312575</v>
      </c>
      <c r="F96" s="81" t="n">
        <f aca="false">(SUMPRODUCT(Calc!$F$289:$O$289/(1+$B96)^$O$71:$X$71)-(1-$O$70)*Calc!$F$289/(1+$B96)^$O$71+(Calc!$O$285*(1+F$92)*(1-F$92/$B96)/($B96-F$92))/(1+$B96)^$X$71+'Sources &amp; Checks'!$B$6-'Sources &amp; Checks'!$B$7-'Sources &amp; Checks'!$B$24)/'Sources &amp; Checks'!$B$9</f>
        <v>31.363625223711</v>
      </c>
      <c r="H96" s="81" t="n">
        <f aca="false">(SUMPRODUCT(Calc!$F$309:$O$309/(1+$B96)^$O$71:$X$71)-(1-$O$70)*Calc!$F$309/(1+$B96)^$O$71+(Calc!$O$305*(1+H$92)*(1-H$92/$B96)/($B96-H$92))/(1+$B96)^$X$71+'Sources &amp; Checks'!$B$6-'Sources &amp; Checks'!$B$7-'Sources &amp; Checks'!$B$24)/'Sources &amp; Checks'!$B$9</f>
        <v>31.6198010060632</v>
      </c>
      <c r="J96" s="81" t="n">
        <f aca="false">(SUMPRODUCT(Calc!$F$329:$O$329/(1+$B96)^$O$71:$X$71)-(1-$O$70)*Calc!$F$329/(1+$B96)^$O$71+(Calc!$O$325*(1+J$92)*(1-J$92/$B96)/($B96-J$92))/(1+$B96)^$X$71+'Sources &amp; Checks'!$B$6-'Sources &amp; Checks'!$B$7-'Sources &amp; Checks'!$B$24)/'Sources &amp; Checks'!$B$9</f>
        <v>31.8796718349254</v>
      </c>
      <c r="L96" s="81" t="n">
        <f aca="false">(SUMPRODUCT(Calc!$F$349:$O$349/(1+$B96)^$O$71:$X$71)-(1-$O$70)*Calc!$F$349/(1+$B96)^$O$71+(Calc!$O$345*(1+L$92)*(1-L$92/$B96)/($B96-L$92))/(1+$B96)^$X$71+'Sources &amp; Checks'!$B$6-'Sources &amp; Checks'!$B$7-'Sources &amp; Checks'!$B$24)/'Sources &amp; Checks'!$B$9</f>
        <v>32.1432914456048</v>
      </c>
    </row>
    <row r="97" customFormat="false" ht="15" hidden="false" customHeight="true" outlineLevel="0" collapsed="false">
      <c r="B97" s="80" t="n">
        <v>0.09</v>
      </c>
      <c r="D97" s="81" t="n">
        <f aca="false">(SUMPRODUCT(Calc!$F$269:$O$269/(1+$B97)^$O$71:$X$71)-(1-$O$70)*Calc!$F$269/(1+$B97)^$O$71+(Calc!$O$265*(1+D$92)*(1-D$92/$B97)/($B97-D$92))/(1+$B97)^$X$71+'Sources &amp; Checks'!$B$6-'Sources &amp; Checks'!$B$7-'Sources &amp; Checks'!$B$24)/'Sources &amp; Checks'!$B$9</f>
        <v>29.4771012647604</v>
      </c>
      <c r="F97" s="81" t="n">
        <f aca="false">(SUMPRODUCT(Calc!$F$289:$O$289/(1+$B97)^$O$71:$X$71)-(1-$O$70)*Calc!$F$289/(1+$B97)^$O$71+(Calc!$O$285*(1+F$92)*(1-F$92/$B97)/($B97-F$92))/(1+$B97)^$X$71+'Sources &amp; Checks'!$B$6-'Sources &amp; Checks'!$B$7-'Sources &amp; Checks'!$B$24)/'Sources &amp; Checks'!$B$9</f>
        <v>29.6941234750103</v>
      </c>
      <c r="H97" s="81" t="n">
        <f aca="false">(SUMPRODUCT(Calc!$F$309:$O$309/(1+$B97)^$O$71:$X$71)-(1-$O$70)*Calc!$F$309/(1+$B97)^$O$71+(Calc!$O$305*(1+H$92)*(1-H$92/$B97)/($B97-H$92))/(1+$B97)^$X$71+'Sources &amp; Checks'!$B$6-'Sources &amp; Checks'!$B$7-'Sources &amp; Checks'!$B$24)/'Sources &amp; Checks'!$B$9</f>
        <v>29.9139867768195</v>
      </c>
      <c r="J97" s="81" t="n">
        <f aca="false">(SUMPRODUCT(Calc!$F$329:$O$329/(1+$B97)^$O$71:$X$71)-(1-$O$70)*Calc!$F$329/(1+$B97)^$O$71+(Calc!$O$325*(1+J$92)*(1-J$92/$B97)/($B97-J$92))/(1+$B97)^$X$71+'Sources &amp; Checks'!$B$6-'Sources &amp; Checks'!$B$7-'Sources &amp; Checks'!$B$24)/'Sources &amp; Checks'!$B$9</f>
        <v>30.1367278405758</v>
      </c>
      <c r="L97" s="81" t="n">
        <f aca="false">(SUMPRODUCT(Calc!$F$349:$O$349/(1+$B97)^$O$71:$X$71)-(1-$O$70)*Calc!$F$349/(1+$B97)^$O$71+(Calc!$O$345*(1+L$92)*(1-L$92/$B97)/($B97-L$92))/(1+$B97)^$X$71+'Sources &amp; Checks'!$B$6-'Sources &amp; Checks'!$B$7-'Sources &amp; Checks'!$B$24)/'Sources &amp; Checks'!$B$9</f>
        <v>30.3623837265723</v>
      </c>
    </row>
    <row r="98" customFormat="false" ht="15" hidden="false" customHeight="true" outlineLevel="0" collapsed="false">
      <c r="B98" s="80" t="n">
        <v>0.095</v>
      </c>
      <c r="D98" s="81" t="n">
        <f aca="false">(SUMPRODUCT(Calc!$F$269:$O$269/(1+$B98)^$O$71:$X$71)-(1-$O$70)*Calc!$F$269/(1+$B98)^$O$71+(Calc!$O$265*(1+D$92)*(1-D$92/$B98)/($B98-D$92))/(1+$B98)^$X$71+'Sources &amp; Checks'!$B$6-'Sources &amp; Checks'!$B$7-'Sources &amp; Checks'!$B$24)/'Sources &amp; Checks'!$B$9</f>
        <v>27.7268557842724</v>
      </c>
      <c r="F98" s="81" t="n">
        <f aca="false">(SUMPRODUCT(Calc!$F$289:$O$289/(1+$B98)^$O$71:$X$71)-(1-$O$70)*Calc!$F$289/(1+$B98)^$O$71+(Calc!$O$285*(1+F$92)*(1-F$92/$B98)/($B98-F$92))/(1+$B98)^$X$71+'Sources &amp; Checks'!$B$6-'Sources &amp; Checks'!$B$7-'Sources &amp; Checks'!$B$24)/'Sources &amp; Checks'!$B$9</f>
        <v>27.9069160597402</v>
      </c>
      <c r="H98" s="81" t="n">
        <f aca="false">(SUMPRODUCT(Calc!$F$309:$O$309/(1+$B98)^$O$71:$X$71)-(1-$O$70)*Calc!$F$309/(1+$B98)^$O$71+(Calc!$O$305*(1+H$92)*(1-H$92/$B98)/($B98-H$92))/(1+$B98)^$X$71+'Sources &amp; Checks'!$B$6-'Sources &amp; Checks'!$B$7-'Sources &amp; Checks'!$B$24)/'Sources &amp; Checks'!$B$9</f>
        <v>28.0889955485976</v>
      </c>
      <c r="J98" s="81" t="n">
        <f aca="false">(SUMPRODUCT(Calc!$F$329:$O$329/(1+$B98)^$O$71:$X$71)-(1-$O$70)*Calc!$F$329/(1+$B98)^$O$71+(Calc!$O$325*(1+J$92)*(1-J$92/$B98)/($B98-J$92))/(1+$B98)^$X$71+'Sources &amp; Checks'!$B$6-'Sources &amp; Checks'!$B$7-'Sources &amp; Checks'!$B$24)/'Sources &amp; Checks'!$B$9</f>
        <v>28.2731142489404</v>
      </c>
      <c r="L98" s="81" t="n">
        <f aca="false">(SUMPRODUCT(Calc!$F$349:$O$349/(1+$B98)^$O$71:$X$71)-(1-$O$70)*Calc!$F$349/(1+$B98)^$O$71+(Calc!$O$345*(1+L$92)*(1-L$92/$B98)/($B98-L$92))/(1+$B98)^$X$71+'Sources &amp; Checks'!$B$6-'Sources &amp; Checks'!$B$7-'Sources &amp; Checks'!$B$24)/'Sources &amp; Checks'!$B$9</f>
        <v>28.4592922566704</v>
      </c>
    </row>
    <row r="99" customFormat="false" ht="15" hidden="false" customHeight="true" outlineLevel="0" collapsed="false">
      <c r="B99" s="80" t="n">
        <v>0.1</v>
      </c>
      <c r="D99" s="81" t="n">
        <f aca="false">(SUMPRODUCT(Calc!$F$269:$O$269/(1+$B99)^$O$71:$X$71)-(1-$O$70)*Calc!$F$269/(1+$B99)^$O$71+(Calc!$O$265*(1+D$92)*(1-D$92/$B99)/($B99-D$92))/(1+$B99)^$X$71+'Sources &amp; Checks'!$B$6-'Sources &amp; Checks'!$B$7-'Sources &amp; Checks'!$B$24)/'Sources &amp; Checks'!$B$9</f>
        <v>26.1594245421226</v>
      </c>
      <c r="F99" s="81" t="n">
        <f aca="false">(SUMPRODUCT(Calc!$F$289:$O$289/(1+$B99)^$O$71:$X$71)-(1-$O$70)*Calc!$F$289/(1+$B99)^$O$71+(Calc!$O$285*(1+F$92)*(1-F$92/$B99)/($B99-F$92))/(1+$B99)^$X$71+'Sources &amp; Checks'!$B$6-'Sources &amp; Checks'!$B$7-'Sources &amp; Checks'!$B$24)/'Sources &amp; Checks'!$B$9</f>
        <v>26.3074442829021</v>
      </c>
      <c r="H99" s="81" t="n">
        <f aca="false">(SUMPRODUCT(Calc!$F$309:$O$309/(1+$B99)^$O$71:$X$71)-(1-$O$70)*Calc!$F$309/(1+$B99)^$O$71+(Calc!$O$305*(1+H$92)*(1-H$92/$B99)/($B99-H$92))/(1+$B99)^$X$71+'Sources &amp; Checks'!$B$6-'Sources &amp; Checks'!$B$7-'Sources &amp; Checks'!$B$24)/'Sources &amp; Checks'!$B$9</f>
        <v>26.4567825203499</v>
      </c>
      <c r="J99" s="81" t="n">
        <f aca="false">(SUMPRODUCT(Calc!$F$329:$O$329/(1+$B99)^$O$71:$X$71)-(1-$O$70)*Calc!$F$329/(1+$B99)^$O$71+(Calc!$O$325*(1+J$92)*(1-J$92/$B99)/($B99-J$92))/(1+$B99)^$X$71+'Sources &amp; Checks'!$B$6-'Sources &amp; Checks'!$B$7-'Sources &amp; Checks'!$B$24)/'Sources &amp; Checks'!$B$9</f>
        <v>26.6074451823407</v>
      </c>
      <c r="L99" s="81" t="n">
        <f aca="false">(SUMPRODUCT(Calc!$F$349:$O$349/(1+$B99)^$O$71:$X$71)-(1-$O$70)*Calc!$F$349/(1+$B99)^$O$71+(Calc!$O$345*(1+L$92)*(1-L$92/$B99)/($B99-L$92))/(1+$B99)^$X$71+'Sources &amp; Checks'!$B$6-'Sources &amp; Checks'!$B$7-'Sources &amp; Checks'!$B$24)/'Sources &amp; Checks'!$B$9</f>
        <v>26.759438049799</v>
      </c>
    </row>
    <row r="101" customFormat="false" ht="15" hidden="false" customHeight="true" outlineLevel="0" collapsed="false">
      <c r="B101" s="83" t="str">
        <f aca="false">"⬛ = base case (WACC "&amp;TEXT(WACC!$F$22,"0.00%")&amp;", TGR "&amp;TEXT(DCF!$L$17,"0.0%")&amp;"). Each TGR column uses its own growth path, fading to that rate by FY35. The WACC rows change discounting and terminal value only. Current price: €"&amp;TEXT('Sources &amp; Checks'!$B$5,"0.00")&amp;"."</f>
        <v>⬛ = base case (WACC 8.58%, TGR 1.5%). Each TGR column uses its own growth path, fading to that rate by FY35. The WACC rows change discounting and terminal value only. Current price: €26.19.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7"/>
    <col collapsed="false" customWidth="true" hidden="false" outlineLevel="0" max="5" min="4" style="1" width="15"/>
    <col collapsed="false" customWidth="true" hidden="false" outlineLevel="0" max="6" min="6" style="1" width="14"/>
    <col collapsed="false" customWidth="true" hidden="false" outlineLevel="0" max="7" min="7" style="1" width="3"/>
  </cols>
  <sheetData>
    <row r="1" customFormat="false" ht="15" hidden="false" customHeight="true" outlineLevel="0" collapsed="false">
      <c r="B1" s="84" t="s">
        <v>69</v>
      </c>
    </row>
    <row r="2" customFormat="false" ht="15" hidden="false" customHeight="true" outlineLevel="0" collapsed="false">
      <c r="B2" s="85" t="s">
        <v>70</v>
      </c>
    </row>
    <row r="4" customFormat="false" ht="15" hidden="false" customHeight="true" outlineLevel="0" collapsed="false">
      <c r="B4" s="86" t="s">
        <v>71</v>
      </c>
      <c r="C4" s="86"/>
      <c r="D4" s="86"/>
      <c r="E4" s="86"/>
      <c r="F4" s="86"/>
    </row>
    <row r="5" customFormat="false" ht="15" hidden="false" customHeight="true" outlineLevel="0" collapsed="false">
      <c r="B5" s="87" t="s">
        <v>72</v>
      </c>
      <c r="C5" s="88" t="s">
        <v>73</v>
      </c>
      <c r="D5" s="89" t="s">
        <v>74</v>
      </c>
      <c r="E5" s="89"/>
      <c r="F5" s="89"/>
    </row>
    <row r="6" customFormat="false" ht="15" hidden="false" customHeight="true" outlineLevel="0" collapsed="false">
      <c r="B6" s="90" t="s">
        <v>75</v>
      </c>
      <c r="C6" s="91" t="s">
        <v>76</v>
      </c>
      <c r="D6" s="91" t="s">
        <v>77</v>
      </c>
    </row>
    <row r="7" customFormat="false" ht="15" hidden="false" customHeight="true" outlineLevel="0" collapsed="false">
      <c r="B7" s="90" t="s">
        <v>78</v>
      </c>
      <c r="C7" s="91" t="s">
        <v>79</v>
      </c>
      <c r="D7" s="91" t="s">
        <v>80</v>
      </c>
    </row>
    <row r="8" customFormat="false" ht="15" hidden="false" customHeight="true" outlineLevel="0" collapsed="false">
      <c r="B8" s="90" t="s">
        <v>81</v>
      </c>
      <c r="C8" s="91" t="s">
        <v>82</v>
      </c>
      <c r="D8" s="91" t="s">
        <v>83</v>
      </c>
    </row>
    <row r="9" customFormat="false" ht="15" hidden="false" customHeight="true" outlineLevel="0" collapsed="false">
      <c r="B9" s="90" t="s">
        <v>84</v>
      </c>
      <c r="C9" s="91" t="s">
        <v>85</v>
      </c>
      <c r="D9" s="91" t="s">
        <v>86</v>
      </c>
    </row>
    <row r="10" customFormat="false" ht="15" hidden="false" customHeight="true" outlineLevel="0" collapsed="false">
      <c r="B10" s="90" t="s">
        <v>87</v>
      </c>
      <c r="C10" s="91" t="s">
        <v>88</v>
      </c>
      <c r="D10" s="91" t="s">
        <v>89</v>
      </c>
    </row>
    <row r="11" customFormat="false" ht="15" hidden="false" customHeight="true" outlineLevel="0" collapsed="false">
      <c r="B11" s="90" t="s">
        <v>90</v>
      </c>
      <c r="C11" s="91" t="s">
        <v>91</v>
      </c>
      <c r="D11" s="91" t="s">
        <v>92</v>
      </c>
    </row>
    <row r="12" customFormat="false" ht="15" hidden="false" customHeight="true" outlineLevel="0" collapsed="false">
      <c r="B12" s="90" t="s">
        <v>93</v>
      </c>
      <c r="C12" s="91" t="s">
        <v>94</v>
      </c>
      <c r="D12" s="91" t="s">
        <v>95</v>
      </c>
    </row>
    <row r="13" customFormat="false" ht="15" hidden="false" customHeight="true" outlineLevel="0" collapsed="false">
      <c r="B13" s="90" t="s">
        <v>96</v>
      </c>
      <c r="C13" s="91" t="s">
        <v>97</v>
      </c>
      <c r="D13" s="91" t="s">
        <v>98</v>
      </c>
    </row>
    <row r="15" customFormat="false" ht="15" hidden="false" customHeight="true" outlineLevel="0" collapsed="false">
      <c r="B15" s="86" t="s">
        <v>99</v>
      </c>
      <c r="C15" s="86"/>
      <c r="D15" s="86"/>
      <c r="E15" s="86"/>
      <c r="F15" s="86"/>
    </row>
    <row r="16" customFormat="false" ht="15" hidden="false" customHeight="true" outlineLevel="0" collapsed="false">
      <c r="B16" s="87"/>
      <c r="C16" s="88" t="s">
        <v>100</v>
      </c>
      <c r="D16" s="88" t="s">
        <v>101</v>
      </c>
      <c r="E16" s="88" t="s">
        <v>72</v>
      </c>
      <c r="F16" s="88"/>
    </row>
    <row r="17" customFormat="false" ht="15" hidden="false" customHeight="true" outlineLevel="0" collapsed="false">
      <c r="B17" s="91" t="s">
        <v>102</v>
      </c>
      <c r="C17" s="92" t="n">
        <f aca="false">WACC!$F$12</f>
        <v>1.01</v>
      </c>
      <c r="D17" s="92" t="n">
        <f aca="false">WACC!$F$14</f>
        <v>1.00666666666667</v>
      </c>
      <c r="E17" s="92" t="n">
        <f aca="false">D17-C17</f>
        <v>-0.00333333333333341</v>
      </c>
    </row>
    <row r="18" customFormat="false" ht="15" hidden="false" customHeight="true" outlineLevel="0" collapsed="false">
      <c r="B18" s="91" t="s">
        <v>33</v>
      </c>
      <c r="C18" s="93" t="n">
        <f aca="false">Calc!$C$15</f>
        <v>0.1</v>
      </c>
      <c r="D18" s="93" t="n">
        <f aca="false">'Sources &amp; Checks'!$B$14</f>
        <v>0.12</v>
      </c>
      <c r="E18" s="94" t="n">
        <f aca="false">D18-C18</f>
        <v>0.02</v>
      </c>
    </row>
    <row r="19" customFormat="false" ht="15" hidden="false" customHeight="true" outlineLevel="0" collapsed="false">
      <c r="B19" s="91" t="s">
        <v>103</v>
      </c>
      <c r="C19" s="95" t="n">
        <f aca="false">Calc!$C$13</f>
        <v>0.089243</v>
      </c>
      <c r="D19" s="95" t="n">
        <f aca="false">WACC!$F$10</f>
        <v>0.089043</v>
      </c>
      <c r="E19" s="94" t="n">
        <f aca="false">D19-C19</f>
        <v>-0.000200000000000006</v>
      </c>
    </row>
    <row r="20" customFormat="false" ht="15" hidden="false" customHeight="true" outlineLevel="0" collapsed="false">
      <c r="B20" s="91" t="s">
        <v>21</v>
      </c>
      <c r="C20" s="95" t="n">
        <f aca="false">Calc!$C$14</f>
        <v>0.0860234789737754</v>
      </c>
      <c r="D20" s="95" t="n">
        <f aca="false">WACC!$F$22</f>
        <v>0.0858027889618787</v>
      </c>
      <c r="E20" s="94" t="n">
        <f aca="false">D20-C20</f>
        <v>-0.000220690011896757</v>
      </c>
    </row>
    <row r="21" customFormat="false" ht="15" hidden="false" customHeight="true" outlineLevel="0" collapsed="false">
      <c r="B21" s="91" t="s">
        <v>104</v>
      </c>
      <c r="C21" s="96" t="n">
        <f aca="false">Calc!$F$21</f>
        <v>0.0909</v>
      </c>
      <c r="D21" s="96" t="n">
        <f aca="false">DCF!$O$40</f>
        <v>0.0909</v>
      </c>
      <c r="E21" s="94" t="n">
        <f aca="false">D21-C21</f>
        <v>0</v>
      </c>
    </row>
    <row r="22" customFormat="false" ht="15" hidden="false" customHeight="true" outlineLevel="0" collapsed="false">
      <c r="B22" s="91" t="s">
        <v>105</v>
      </c>
      <c r="C22" s="96" t="n">
        <f aca="false">Calc!$O$21</f>
        <v>0.0909</v>
      </c>
      <c r="D22" s="96" t="n">
        <f aca="false">DCF!$X$40</f>
        <v>0.015</v>
      </c>
      <c r="E22" s="94" t="n">
        <f aca="false">D22-C22</f>
        <v>-0.0759</v>
      </c>
    </row>
    <row r="23" customFormat="false" ht="15" hidden="false" customHeight="true" outlineLevel="0" collapsed="false">
      <c r="B23" s="91" t="s">
        <v>106</v>
      </c>
      <c r="C23" s="97" t="n">
        <f aca="false">Calc!$O$23</f>
        <v>5160.03420926302</v>
      </c>
      <c r="D23" s="97" t="n">
        <f aca="false">DCF!$X$54</f>
        <v>3531.59656989965</v>
      </c>
      <c r="E23" s="97" t="n">
        <f aca="false">D23-C23</f>
        <v>-1628.43763936337</v>
      </c>
    </row>
    <row r="24" customFormat="false" ht="15" hidden="false" customHeight="true" outlineLevel="0" collapsed="false">
      <c r="B24" s="91" t="s">
        <v>107</v>
      </c>
      <c r="C24" s="93" t="n">
        <f aca="false">Calc!$O$25</f>
        <v>0.474899987095109</v>
      </c>
      <c r="D24" s="93" t="n">
        <f aca="false">DCF!$X$64</f>
        <v>0.174819492250588</v>
      </c>
      <c r="E24" s="94" t="n">
        <f aca="false">D24-C24</f>
        <v>-0.300080494844521</v>
      </c>
    </row>
    <row r="25" customFormat="false" ht="15" hidden="false" customHeight="true" outlineLevel="0" collapsed="false">
      <c r="B25" s="91" t="s">
        <v>108</v>
      </c>
      <c r="C25" s="97" t="n">
        <f aca="false">Calc!$O$27</f>
        <v>2709.53402987369</v>
      </c>
      <c r="D25" s="97" t="n">
        <f aca="false">DCF!$X$66</f>
        <v>2914.20465071588</v>
      </c>
      <c r="E25" s="97" t="n">
        <f aca="false">D25-C25</f>
        <v>204.670620842185</v>
      </c>
    </row>
    <row r="26" customFormat="false" ht="15" hidden="false" customHeight="true" outlineLevel="0" collapsed="false">
      <c r="B26" s="91" t="s">
        <v>109</v>
      </c>
      <c r="C26" s="97" t="n">
        <f aca="false">Calc!$P$27</f>
        <v>2750.1770403218</v>
      </c>
      <c r="D26" s="97" t="n">
        <f aca="false">DCF!$Y$66</f>
        <v>2957.91772047662</v>
      </c>
      <c r="E26" s="97" t="n">
        <f aca="false">D26-C26</f>
        <v>207.740680154817</v>
      </c>
    </row>
    <row r="27" customFormat="false" ht="15" hidden="false" customHeight="true" outlineLevel="0" collapsed="false">
      <c r="B27" s="91" t="s">
        <v>110</v>
      </c>
      <c r="C27" s="93" t="n">
        <f aca="false">Calc!$C$35</f>
        <v>0.474899987095109</v>
      </c>
      <c r="D27" s="93" t="n">
        <f aca="false">DCF!$Y$64</f>
        <v>0.174819492250588</v>
      </c>
      <c r="E27" s="94" t="n">
        <f aca="false">D27-C27</f>
        <v>-0.300080494844521</v>
      </c>
    </row>
    <row r="28" customFormat="false" ht="15" hidden="false" customHeight="true" outlineLevel="0" collapsed="false">
      <c r="B28" s="91" t="s">
        <v>111</v>
      </c>
      <c r="C28" s="97" t="n">
        <f aca="false">Calc!$C$30</f>
        <v>38722.0828951123</v>
      </c>
      <c r="D28" s="97" t="n">
        <f aca="false">DCF!$X$73</f>
        <v>41776.8531981022</v>
      </c>
      <c r="E28" s="97" t="n">
        <f aca="false">D28-C28</f>
        <v>3054.77030298988</v>
      </c>
    </row>
    <row r="29" customFormat="false" ht="15" hidden="false" customHeight="true" outlineLevel="0" collapsed="false">
      <c r="B29" s="91" t="s">
        <v>112</v>
      </c>
      <c r="C29" s="97" t="n">
        <f aca="false">Calc!$C$31</f>
        <v>19091.346197994</v>
      </c>
      <c r="D29" s="97" t="n">
        <f aca="false">DCF!$X$74</f>
        <v>20633.3583036074</v>
      </c>
      <c r="E29" s="97" t="n">
        <f aca="false">D29-C29</f>
        <v>1542.01210561347</v>
      </c>
    </row>
    <row r="30" customFormat="false" ht="15" hidden="false" customHeight="true" outlineLevel="0" collapsed="false">
      <c r="B30" s="91" t="s">
        <v>113</v>
      </c>
      <c r="C30" s="97" t="n">
        <f aca="false">Calc!$C$29</f>
        <v>13045.07390491</v>
      </c>
      <c r="D30" s="97" t="n">
        <f aca="false">SUM(DCF!$O$67:$X$67)</f>
        <v>12309.8454096608</v>
      </c>
      <c r="E30" s="97" t="n">
        <f aca="false">D30-C30</f>
        <v>-735.228495249232</v>
      </c>
    </row>
    <row r="31" customFormat="false" ht="15" hidden="false" customHeight="true" outlineLevel="0" collapsed="false">
      <c r="B31" s="91" t="s">
        <v>114</v>
      </c>
      <c r="C31" s="97" t="n">
        <f aca="false">Calc!$C$32</f>
        <v>32136.420102904</v>
      </c>
      <c r="D31" s="97" t="n">
        <f aca="false">DCF!$S$75</f>
        <v>32943.2037132682</v>
      </c>
      <c r="E31" s="97" t="n">
        <f aca="false">D31-C31</f>
        <v>806.78361036424</v>
      </c>
    </row>
    <row r="32" customFormat="false" ht="15" hidden="false" customHeight="true" outlineLevel="0" collapsed="false">
      <c r="B32" s="91" t="s">
        <v>115</v>
      </c>
      <c r="C32" s="97" t="n">
        <f aca="false">'Sources &amp; Checks'!$B$7</f>
        <v>1500</v>
      </c>
      <c r="D32" s="97" t="n">
        <f aca="false">DCF!$S$77</f>
        <v>1611.2</v>
      </c>
      <c r="E32" s="97" t="n">
        <f aca="false">D32-C32</f>
        <v>111.2</v>
      </c>
    </row>
    <row r="33" customFormat="false" ht="15" hidden="false" customHeight="true" outlineLevel="0" collapsed="false">
      <c r="B33" s="91" t="s">
        <v>116</v>
      </c>
      <c r="C33" s="97" t="n">
        <f aca="false">Calc!$C$33</f>
        <v>33036.420102904</v>
      </c>
      <c r="D33" s="97" t="n">
        <f aca="false">DCF!$S$78</f>
        <v>33732.0037132682</v>
      </c>
      <c r="E33" s="97" t="n">
        <f aca="false">D33-C33</f>
        <v>695.583610364243</v>
      </c>
    </row>
    <row r="34" customFormat="false" ht="15" hidden="false" customHeight="true" outlineLevel="0" collapsed="false">
      <c r="B34" s="90" t="s">
        <v>117</v>
      </c>
      <c r="C34" s="98" t="n">
        <f aca="false">Calc!$C$34</f>
        <v>30.9677728748631</v>
      </c>
      <c r="D34" s="98" t="n">
        <f aca="false">DCF!$S$81</f>
        <v>31.6198010060632</v>
      </c>
      <c r="E34" s="98" t="n">
        <f aca="false">D34-C34</f>
        <v>0.652028131200076</v>
      </c>
    </row>
    <row r="35" customFormat="false" ht="15" hidden="false" customHeight="true" outlineLevel="0" collapsed="false">
      <c r="B35" s="91" t="s">
        <v>118</v>
      </c>
      <c r="C35" s="93" t="n">
        <f aca="false">C34/'Sources &amp; Checks'!$B$5-1</f>
        <v>0.182427372083356</v>
      </c>
      <c r="D35" s="93" t="n">
        <f aca="false">DCF!$I$7</f>
        <v>0.207323444294127</v>
      </c>
      <c r="E35" s="94" t="n">
        <f aca="false">D35-C35</f>
        <v>0.0248960722107705</v>
      </c>
    </row>
    <row r="36" customFormat="false" ht="15" hidden="false" customHeight="true" outlineLevel="0" collapsed="false">
      <c r="B36" s="91" t="s">
        <v>119</v>
      </c>
      <c r="C36" s="98" t="n">
        <f aca="false">Calc!$C$235</f>
        <v>20.6438563144044</v>
      </c>
      <c r="D36" s="98" t="n">
        <f aca="false">DCF!$L$87</f>
        <v>24.7965963086233</v>
      </c>
      <c r="E36" s="98" t="n">
        <f aca="false">D36-C36</f>
        <v>4.15273999421889</v>
      </c>
    </row>
    <row r="37" customFormat="false" ht="15" hidden="false" customHeight="true" outlineLevel="0" collapsed="false">
      <c r="B37" s="91" t="s">
        <v>120</v>
      </c>
      <c r="C37" s="98" t="n">
        <f aca="false">Calc!$C$255</f>
        <v>45.3628089830702</v>
      </c>
      <c r="D37" s="98" t="n">
        <f aca="false">DCF!$L$89</f>
        <v>39.2291143805989</v>
      </c>
      <c r="E37" s="98" t="n">
        <f aca="false">D37-C37</f>
        <v>-6.13369460247136</v>
      </c>
    </row>
    <row r="39" customFormat="false" ht="15" hidden="false" customHeight="true" outlineLevel="0" collapsed="false">
      <c r="B39" s="86" t="s">
        <v>121</v>
      </c>
      <c r="C39" s="86"/>
      <c r="D39" s="86"/>
      <c r="E39" s="86"/>
      <c r="F39" s="86"/>
    </row>
    <row r="40" customFormat="false" ht="15" hidden="false" customHeight="true" outlineLevel="0" collapsed="false">
      <c r="B40" s="87" t="s">
        <v>122</v>
      </c>
      <c r="C40" s="88" t="s">
        <v>123</v>
      </c>
      <c r="D40" s="88" t="s">
        <v>124</v>
      </c>
      <c r="E40" s="88" t="s">
        <v>125</v>
      </c>
      <c r="F40" s="88" t="s">
        <v>126</v>
      </c>
    </row>
    <row r="41" customFormat="false" ht="15" hidden="false" customHeight="true" outlineLevel="0" collapsed="false">
      <c r="B41" s="91" t="s">
        <v>127</v>
      </c>
      <c r="C41" s="98" t="n">
        <f aca="false">Calc!$C$34</f>
        <v>30.9677728748631</v>
      </c>
      <c r="D41" s="99" t="n">
        <v>30.97</v>
      </c>
      <c r="E41" s="100" t="n">
        <f aca="false">C41-D41</f>
        <v>-0.00222712513689061</v>
      </c>
      <c r="F41" s="101" t="str">
        <f aca="false">IF(ABS(E41)&lt;=$C$48,"OK","CHECK")</f>
        <v>OK</v>
      </c>
    </row>
    <row r="42" customFormat="false" ht="15" hidden="false" customHeight="true" outlineLevel="0" collapsed="false">
      <c r="B42" s="91" t="s">
        <v>128</v>
      </c>
      <c r="C42" s="98" t="n">
        <f aca="false">Calc!$C$54</f>
        <v>31.0514683562557</v>
      </c>
      <c r="D42" s="99" t="n">
        <v>31.1</v>
      </c>
      <c r="E42" s="100" t="n">
        <f aca="false">C42-D42</f>
        <v>-0.0485316437443153</v>
      </c>
      <c r="F42" s="101" t="str">
        <f aca="false">IF(ABS(E42)&lt;=$C$48,"OK","CHECK")</f>
        <v>OK</v>
      </c>
    </row>
    <row r="43" customFormat="false" ht="15" hidden="false" customHeight="true" outlineLevel="0" collapsed="false">
      <c r="B43" s="91" t="s">
        <v>129</v>
      </c>
      <c r="C43" s="98" t="n">
        <f aca="false">Calc!$C$74</f>
        <v>41.2100821508055</v>
      </c>
      <c r="D43" s="99" t="n">
        <v>41.2</v>
      </c>
      <c r="E43" s="100" t="n">
        <f aca="false">C43-D43</f>
        <v>0.0100821508055304</v>
      </c>
      <c r="F43" s="101" t="str">
        <f aca="false">IF(ABS(E43)&lt;=$C$48,"OK","CHECK")</f>
        <v>OK</v>
      </c>
    </row>
    <row r="44" customFormat="false" ht="15" hidden="false" customHeight="true" outlineLevel="0" collapsed="false">
      <c r="B44" s="91" t="s">
        <v>130</v>
      </c>
      <c r="C44" s="98" t="n">
        <f aca="false">Calc!$C$94</f>
        <v>41.3233968950614</v>
      </c>
      <c r="D44" s="99" t="n">
        <v>41.4</v>
      </c>
      <c r="E44" s="100" t="n">
        <f aca="false">C44-D44</f>
        <v>-0.0766031049386484</v>
      </c>
      <c r="F44" s="101" t="str">
        <f aca="false">IF(ABS(E44)&lt;=$C$48,"OK","CHECK")</f>
        <v>OK</v>
      </c>
    </row>
    <row r="45" customFormat="false" ht="15" hidden="false" customHeight="true" outlineLevel="0" collapsed="false">
      <c r="B45" s="91" t="s">
        <v>131</v>
      </c>
      <c r="C45" s="98" t="n">
        <f aca="false">Calc!$C$114</f>
        <v>31.4079389359073</v>
      </c>
      <c r="D45" s="99" t="n">
        <v>31.4</v>
      </c>
      <c r="E45" s="100" t="n">
        <f aca="false">C45-D45</f>
        <v>0.00793893590733319</v>
      </c>
      <c r="F45" s="101" t="str">
        <f aca="false">IF(ABS(E45)&lt;=$C$48,"OK","CHECK")</f>
        <v>OK</v>
      </c>
    </row>
    <row r="46" customFormat="false" ht="15" hidden="false" customHeight="true" outlineLevel="0" collapsed="false">
      <c r="B46" s="91" t="s">
        <v>132</v>
      </c>
      <c r="C46" s="98" t="n">
        <f aca="false">Calc!$C$134</f>
        <v>33.5916030155608</v>
      </c>
    </row>
    <row r="47" customFormat="false" ht="15" hidden="false" customHeight="true" outlineLevel="0" collapsed="false">
      <c r="B47" s="90" t="s">
        <v>133</v>
      </c>
      <c r="C47" s="102" t="n">
        <f aca="false">Calc!$C$154</f>
        <v>31.6198010060632</v>
      </c>
      <c r="F47" s="101" t="str">
        <f aca="false">IF(ABS(C47-DCF!$S$81)&lt;0.000001,"= DCF","CHECK")</f>
        <v>= DCF</v>
      </c>
    </row>
    <row r="48" customFormat="false" ht="15" hidden="false" customHeight="true" outlineLevel="0" collapsed="false">
      <c r="B48" s="91" t="s">
        <v>134</v>
      </c>
      <c r="C48" s="103" t="n">
        <v>0.3</v>
      </c>
    </row>
  </sheetData>
  <mergeCells count="1">
    <mergeCell ref="D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Z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9.83"/>
    <col collapsed="false" customWidth="true" hidden="false" outlineLevel="0" max="3" min="3" style="1" width="28.83"/>
    <col collapsed="false" customWidth="true" hidden="false" outlineLevel="0" max="4" min="4" style="1" width="26"/>
    <col collapsed="false" customWidth="true" hidden="false" outlineLevel="0" max="5" min="5" style="1" width="23.33"/>
    <col collapsed="false" customWidth="true" hidden="false" outlineLevel="0" max="7" min="6" style="1" width="14"/>
    <col collapsed="false" customWidth="true" hidden="false" outlineLevel="0" max="8" min="8" style="1" width="23.16"/>
    <col collapsed="false" customWidth="true" hidden="false" outlineLevel="0" max="24" min="9" style="1" width="14"/>
    <col collapsed="false" customWidth="true" hidden="false" outlineLevel="0" max="25" min="25" style="1" width="20.33"/>
    <col collapsed="false" customWidth="true" hidden="false" outlineLevel="0" max="26" min="26" style="1" width="14"/>
  </cols>
  <sheetData>
    <row r="2" s="2" customFormat="true" ht="21" hidden="false" customHeight="true" outlineLevel="0" collapsed="false">
      <c r="B2" s="104" t="s">
        <v>135</v>
      </c>
    </row>
    <row r="4" customFormat="false" ht="15.75" hidden="false" customHeight="true" outlineLevel="0" collapsed="false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05" t="s">
        <v>136</v>
      </c>
      <c r="O4" s="105"/>
      <c r="P4" s="105"/>
      <c r="Q4" s="105"/>
      <c r="R4" s="105"/>
      <c r="S4" s="15"/>
      <c r="T4" s="105" t="s">
        <v>137</v>
      </c>
      <c r="U4" s="105"/>
      <c r="V4" s="105"/>
      <c r="W4" s="105"/>
      <c r="X4" s="105"/>
      <c r="Y4" s="106" t="s">
        <v>138</v>
      </c>
      <c r="Z4" s="106"/>
    </row>
    <row r="5" customFormat="false" ht="15.75" hidden="false" customHeight="true" outlineLevel="0" collapsed="false">
      <c r="B5" s="34"/>
      <c r="C5" s="34"/>
      <c r="D5" s="34"/>
      <c r="E5" s="34"/>
      <c r="F5" s="34"/>
      <c r="G5" s="34"/>
      <c r="H5" s="107" t="s">
        <v>139</v>
      </c>
      <c r="I5" s="108"/>
      <c r="J5" s="107" t="s">
        <v>140</v>
      </c>
      <c r="K5" s="108"/>
      <c r="L5" s="107" t="s">
        <v>141</v>
      </c>
      <c r="M5" s="109"/>
      <c r="N5" s="107" t="s">
        <v>142</v>
      </c>
      <c r="O5" s="107" t="s">
        <v>143</v>
      </c>
      <c r="P5" s="108"/>
      <c r="Q5" s="107" t="s">
        <v>144</v>
      </c>
      <c r="R5" s="107" t="s">
        <v>145</v>
      </c>
      <c r="S5" s="108"/>
      <c r="T5" s="107" t="s">
        <v>146</v>
      </c>
      <c r="U5" s="107" t="s">
        <v>147</v>
      </c>
      <c r="V5" s="108"/>
      <c r="W5" s="107" t="s">
        <v>148</v>
      </c>
      <c r="X5" s="107" t="s">
        <v>149</v>
      </c>
      <c r="Y5" s="107" t="s">
        <v>150</v>
      </c>
      <c r="Z5" s="107" t="s">
        <v>151</v>
      </c>
    </row>
    <row r="6" customFormat="false" ht="15" hidden="false" customHeight="true" outlineLevel="0" collapsed="false">
      <c r="B6" s="110" t="s">
        <v>1</v>
      </c>
      <c r="C6" s="108"/>
      <c r="D6" s="111" t="s">
        <v>152</v>
      </c>
      <c r="E6" s="111"/>
      <c r="F6" s="111"/>
      <c r="G6" s="108"/>
      <c r="H6" s="110" t="s">
        <v>153</v>
      </c>
      <c r="I6" s="108"/>
      <c r="J6" s="110" t="s">
        <v>154</v>
      </c>
      <c r="K6" s="108"/>
      <c r="L6" s="110" t="s">
        <v>154</v>
      </c>
      <c r="M6" s="15"/>
      <c r="N6" s="110" t="s">
        <v>155</v>
      </c>
      <c r="O6" s="110" t="s">
        <v>155</v>
      </c>
      <c r="P6" s="108"/>
      <c r="Q6" s="110" t="s">
        <v>155</v>
      </c>
      <c r="R6" s="110" t="s">
        <v>155</v>
      </c>
      <c r="S6" s="15"/>
      <c r="T6" s="110" t="s">
        <v>156</v>
      </c>
      <c r="U6" s="110" t="s">
        <v>156</v>
      </c>
      <c r="V6" s="110" t="s">
        <v>156</v>
      </c>
      <c r="W6" s="110" t="s">
        <v>156</v>
      </c>
      <c r="X6" s="110" t="s">
        <v>156</v>
      </c>
      <c r="Y6" s="110" t="s">
        <v>156</v>
      </c>
      <c r="Z6" s="110" t="s">
        <v>156</v>
      </c>
    </row>
    <row r="7" customFormat="false" ht="15" hidden="false" customHeight="true" outlineLevel="0" collapsed="false">
      <c r="H7" s="112" t="s">
        <v>157</v>
      </c>
      <c r="J7" s="112" t="s">
        <v>158</v>
      </c>
      <c r="L7" s="112" t="s">
        <v>158</v>
      </c>
    </row>
    <row r="8" customFormat="false" ht="15" hidden="false" customHeight="true" outlineLevel="0" collapsed="false">
      <c r="B8" s="113" t="s">
        <v>2</v>
      </c>
      <c r="C8" s="114"/>
      <c r="D8" s="115" t="s">
        <v>159</v>
      </c>
      <c r="E8" s="115"/>
      <c r="F8" s="115"/>
      <c r="G8" s="114"/>
      <c r="H8" s="116" t="n">
        <f aca="false">'Sources &amp; Checks'!$B$5</f>
        <v>26.19</v>
      </c>
      <c r="I8" s="114"/>
      <c r="J8" s="117" t="n">
        <f aca="false">'Sources &amp; Checks'!$B$8*H8</f>
        <v>27499.5</v>
      </c>
      <c r="K8" s="114"/>
      <c r="L8" s="117" t="n">
        <f aca="false">J8-'Sources &amp; Checks'!$B$6+'Sources &amp; Checks'!$B$7+'Sources &amp; Checks'!$B$24</f>
        <v>26710.7</v>
      </c>
      <c r="M8" s="114"/>
      <c r="N8" s="118" t="n">
        <f aca="false">DCF!M21</f>
        <v>0.247661296310045</v>
      </c>
      <c r="O8" s="118" t="n">
        <f aca="false">DCF!N21</f>
        <v>0.0375414689299156</v>
      </c>
      <c r="P8" s="114"/>
      <c r="Q8" s="118" t="n">
        <f aca="false">DCF!M24</f>
        <v>0.15328255403978</v>
      </c>
      <c r="R8" s="118" t="n">
        <f aca="false">DCF!N24</f>
        <v>0.111696598200523</v>
      </c>
      <c r="S8" s="114"/>
      <c r="T8" s="119" t="n">
        <f aca="false">L8/DCF!M22</f>
        <v>8.56057304018973</v>
      </c>
      <c r="U8" s="119" t="n">
        <f aca="false">L8/DCF!N22</f>
        <v>9.63450440051941</v>
      </c>
      <c r="V8" s="114"/>
      <c r="W8" s="120" t="n">
        <f aca="false">L8/DCF!M20</f>
        <v>1.98684151802318</v>
      </c>
      <c r="X8" s="120" t="n">
        <f aca="false">L8/DCF!N20</f>
        <v>1.91495142846901</v>
      </c>
      <c r="Y8" s="121" t="n">
        <f aca="false">L8/DCF!M23</f>
        <v>12.9619546755957</v>
      </c>
      <c r="Z8" s="121" t="n">
        <f aca="false">L8/DCF!N23</f>
        <v>17.1442233632863</v>
      </c>
    </row>
    <row r="9" customFormat="false" ht="15" hidden="false" customHeight="true" outlineLevel="0" collapsed="false">
      <c r="B9" s="122"/>
      <c r="C9" s="122"/>
      <c r="D9" s="122"/>
      <c r="E9" s="122"/>
      <c r="F9" s="122"/>
      <c r="G9" s="122"/>
      <c r="H9" s="123"/>
      <c r="I9" s="122"/>
      <c r="J9" s="124"/>
      <c r="K9" s="122"/>
      <c r="L9" s="124"/>
      <c r="M9" s="122"/>
      <c r="N9" s="125"/>
      <c r="O9" s="125"/>
      <c r="P9" s="122"/>
      <c r="Q9" s="125"/>
      <c r="R9" s="125"/>
      <c r="S9" s="122"/>
      <c r="T9" s="126"/>
      <c r="U9" s="126"/>
      <c r="V9" s="122"/>
      <c r="W9" s="125"/>
      <c r="X9" s="125"/>
    </row>
    <row r="10" customFormat="false" ht="15" hidden="false" customHeight="true" outlineLevel="0" collapsed="false">
      <c r="B10" s="127" t="s">
        <v>160</v>
      </c>
      <c r="C10" s="122"/>
      <c r="D10" s="128" t="s">
        <v>161</v>
      </c>
      <c r="E10" s="128"/>
      <c r="F10" s="128"/>
      <c r="G10" s="122"/>
      <c r="H10" s="129" t="n">
        <v>4.089</v>
      </c>
      <c r="I10" s="122"/>
      <c r="J10" s="130" t="n">
        <v>3287.49</v>
      </c>
      <c r="K10" s="122"/>
      <c r="L10" s="130" t="n">
        <v>2450</v>
      </c>
      <c r="M10" s="122"/>
      <c r="N10" s="131" t="n">
        <v>0.1393</v>
      </c>
      <c r="O10" s="131" t="n">
        <v>0.0856</v>
      </c>
      <c r="P10" s="122"/>
      <c r="Q10" s="131" t="n">
        <v>0.0641314856590396</v>
      </c>
      <c r="R10" s="131" t="n">
        <v>0.0695626360577875</v>
      </c>
      <c r="S10" s="122"/>
      <c r="T10" s="132" t="n">
        <v>1.79224579370885</v>
      </c>
      <c r="U10" s="132" t="n">
        <v>1.69432918395574</v>
      </c>
      <c r="V10" s="122"/>
      <c r="W10" s="133" t="n">
        <v>0.263186163927382</v>
      </c>
      <c r="X10" s="133" t="n">
        <v>0.242430239461706</v>
      </c>
      <c r="Y10" s="134" t="n">
        <v>4.1039</v>
      </c>
      <c r="Z10" s="134" t="n">
        <v>3.485</v>
      </c>
    </row>
    <row r="11" customFormat="false" ht="15" hidden="false" customHeight="true" outlineLevel="0" collapsed="false">
      <c r="B11" s="127" t="s">
        <v>162</v>
      </c>
      <c r="C11" s="122"/>
      <c r="D11" s="128" t="s">
        <v>163</v>
      </c>
      <c r="E11" s="128"/>
      <c r="F11" s="128"/>
      <c r="G11" s="122"/>
      <c r="H11" s="129" t="n">
        <v>9.275</v>
      </c>
      <c r="I11" s="122"/>
      <c r="J11" s="130" t="n">
        <v>1166.6</v>
      </c>
      <c r="K11" s="122"/>
      <c r="L11" s="130" t="n">
        <v>5950.1</v>
      </c>
      <c r="M11" s="122"/>
      <c r="N11" s="131" t="n">
        <v>0.3</v>
      </c>
      <c r="O11" s="131" t="n">
        <v>0.0454</v>
      </c>
      <c r="P11" s="122"/>
      <c r="Q11" s="131" t="n">
        <v>0.086370808678501</v>
      </c>
      <c r="R11" s="131" t="n">
        <v>0.0316037735849057</v>
      </c>
      <c r="S11" s="122"/>
      <c r="T11" s="132" t="n">
        <v>4.9866744887697</v>
      </c>
      <c r="U11" s="132" t="n">
        <v>5.24561403508772</v>
      </c>
      <c r="V11" s="122"/>
      <c r="W11" s="133" t="n">
        <v>1.17358974358974</v>
      </c>
      <c r="X11" s="133" t="n">
        <v>1.12266037735849</v>
      </c>
      <c r="Y11" s="134" t="n">
        <v>13.5878</v>
      </c>
      <c r="Z11" s="134" t="n">
        <v>35.5227</v>
      </c>
    </row>
    <row r="12" customFormat="false" ht="15" hidden="false" customHeight="true" outlineLevel="0" collapsed="false">
      <c r="B12" s="127" t="s">
        <v>164</v>
      </c>
      <c r="C12" s="122"/>
      <c r="D12" s="128" t="s">
        <v>165</v>
      </c>
      <c r="E12" s="128"/>
      <c r="F12" s="128"/>
      <c r="G12" s="122"/>
      <c r="H12" s="129" t="n">
        <v>4.464</v>
      </c>
      <c r="I12" s="122"/>
      <c r="J12" s="130" t="n">
        <v>19080</v>
      </c>
      <c r="K12" s="122"/>
      <c r="L12" s="130" t="n">
        <v>25060</v>
      </c>
      <c r="M12" s="122"/>
      <c r="N12" s="131" t="n">
        <v>0.0898719994567616</v>
      </c>
      <c r="O12" s="131" t="n">
        <v>0.0346728971962618</v>
      </c>
      <c r="P12" s="122"/>
      <c r="Q12" s="131" t="n">
        <v>0.138411214953271</v>
      </c>
      <c r="R12" s="131" t="n">
        <v>0.151266070514558</v>
      </c>
      <c r="S12" s="122"/>
      <c r="T12" s="132" t="n">
        <v>3.68150433377406</v>
      </c>
      <c r="U12" s="132" t="n">
        <v>3.29780234241348</v>
      </c>
      <c r="V12" s="122"/>
      <c r="W12" s="133" t="n">
        <v>0.780685358255452</v>
      </c>
      <c r="X12" s="133" t="n">
        <v>0.754523831030018</v>
      </c>
      <c r="Y12" s="134" t="n">
        <v>5.6403</v>
      </c>
      <c r="Z12" s="134" t="n">
        <v>4.9881</v>
      </c>
    </row>
    <row r="13" customFormat="false" ht="15" hidden="false" customHeight="true" outlineLevel="0" collapsed="false">
      <c r="B13" s="127" t="s">
        <v>166</v>
      </c>
      <c r="C13" s="122"/>
      <c r="D13" s="128" t="s">
        <v>167</v>
      </c>
      <c r="E13" s="128"/>
      <c r="F13" s="128"/>
      <c r="G13" s="122"/>
      <c r="H13" s="129" t="n">
        <v>8.12</v>
      </c>
      <c r="I13" s="122"/>
      <c r="J13" s="130" t="n">
        <v>9740</v>
      </c>
      <c r="K13" s="122"/>
      <c r="L13" s="130" t="n">
        <v>17780</v>
      </c>
      <c r="M13" s="122"/>
      <c r="N13" s="131" t="n">
        <v>0.0603521245979346</v>
      </c>
      <c r="O13" s="131" t="n">
        <v>0.0536441286820468</v>
      </c>
      <c r="P13" s="122"/>
      <c r="Q13" s="131" t="n">
        <v>0.0437721188898646</v>
      </c>
      <c r="R13" s="131" t="n">
        <v>0.0494986993964189</v>
      </c>
      <c r="S13" s="122"/>
      <c r="T13" s="132" t="n">
        <v>4.46509291813159</v>
      </c>
      <c r="U13" s="132" t="n">
        <v>4.10718410718411</v>
      </c>
      <c r="V13" s="122"/>
      <c r="W13" s="133" t="n">
        <v>0.47311141268194</v>
      </c>
      <c r="X13" s="133" t="n">
        <v>0.449023915953229</v>
      </c>
      <c r="Y13" s="134" t="n">
        <v>10.8085</v>
      </c>
      <c r="Z13" s="134" t="n">
        <v>9.0714</v>
      </c>
    </row>
    <row r="14" customFormat="false" ht="15" hidden="false" customHeight="true" outlineLevel="0" collapsed="false">
      <c r="B14" s="127" t="s">
        <v>168</v>
      </c>
      <c r="C14" s="122"/>
      <c r="D14" s="128" t="s">
        <v>169</v>
      </c>
      <c r="E14" s="128"/>
      <c r="F14" s="128"/>
      <c r="G14" s="122"/>
      <c r="H14" s="129" t="n">
        <v>10.09</v>
      </c>
      <c r="I14" s="122"/>
      <c r="J14" s="130" t="n">
        <v>2650</v>
      </c>
      <c r="K14" s="122"/>
      <c r="L14" s="130" t="n">
        <v>3020</v>
      </c>
      <c r="M14" s="122"/>
      <c r="N14" s="131" t="n">
        <v>0.0479696192411472</v>
      </c>
      <c r="O14" s="131" t="n">
        <v>0.0492069042245462</v>
      </c>
      <c r="P14" s="122"/>
      <c r="Q14" s="131" t="n">
        <v>0.051</v>
      </c>
      <c r="R14" s="131" t="n">
        <v>0.061</v>
      </c>
      <c r="S14" s="122"/>
      <c r="T14" s="132" t="n">
        <v>0.711592836946277</v>
      </c>
      <c r="U14" s="132" t="n">
        <v>0.597073942269672</v>
      </c>
      <c r="V14" s="122"/>
      <c r="W14" s="133" t="n">
        <v>0.0959979656060269</v>
      </c>
      <c r="X14" s="133" t="n">
        <v>0.091495743327173</v>
      </c>
      <c r="Y14" s="134" t="n">
        <v>1.8822</v>
      </c>
      <c r="Z14" s="134" t="n">
        <v>1.5</v>
      </c>
    </row>
    <row r="15" customFormat="false" ht="15" hidden="false" customHeight="true" outlineLevel="0" collapsed="false">
      <c r="B15" s="122"/>
      <c r="C15" s="122"/>
      <c r="D15" s="122"/>
      <c r="E15" s="122"/>
      <c r="F15" s="122"/>
      <c r="G15" s="122"/>
      <c r="H15" s="122"/>
      <c r="I15" s="122"/>
      <c r="J15" s="135"/>
      <c r="K15" s="122"/>
      <c r="L15" s="135"/>
      <c r="M15" s="122"/>
      <c r="N15" s="136"/>
      <c r="O15" s="136"/>
      <c r="P15" s="122"/>
      <c r="Q15" s="136"/>
      <c r="R15" s="136"/>
      <c r="S15" s="122"/>
      <c r="T15" s="122"/>
      <c r="U15" s="122"/>
      <c r="V15" s="122"/>
      <c r="W15" s="122"/>
      <c r="X15" s="122"/>
    </row>
    <row r="16" customFormat="false" ht="15" hidden="false" customHeight="true" outlineLevel="0" collapsed="false">
      <c r="B16" s="122"/>
      <c r="C16" s="122"/>
      <c r="D16" s="122"/>
      <c r="E16" s="122"/>
      <c r="F16" s="122"/>
      <c r="G16" s="122"/>
      <c r="H16" s="122"/>
      <c r="I16" s="122"/>
      <c r="J16" s="135"/>
      <c r="K16" s="122"/>
      <c r="L16" s="135"/>
      <c r="M16" s="122"/>
      <c r="N16" s="136"/>
      <c r="O16" s="136"/>
      <c r="P16" s="122"/>
      <c r="Q16" s="136"/>
      <c r="R16" s="136"/>
      <c r="S16" s="122"/>
      <c r="T16" s="122"/>
      <c r="U16" s="122"/>
      <c r="V16" s="122"/>
      <c r="W16" s="122"/>
      <c r="X16" s="122"/>
    </row>
    <row r="17" customFormat="false" ht="15" hidden="false" customHeight="true" outlineLevel="0" collapsed="false">
      <c r="B17" s="122"/>
      <c r="C17" s="122"/>
      <c r="D17" s="122"/>
      <c r="E17" s="122"/>
      <c r="F17" s="122"/>
      <c r="G17" s="122"/>
      <c r="H17" s="122"/>
      <c r="I17" s="122"/>
      <c r="J17" s="135"/>
      <c r="K17" s="122"/>
      <c r="L17" s="135"/>
      <c r="M17" s="122"/>
      <c r="N17" s="136"/>
      <c r="O17" s="136"/>
      <c r="P17" s="122"/>
      <c r="Q17" s="136"/>
      <c r="R17" s="136"/>
      <c r="S17" s="122"/>
      <c r="T17" s="122"/>
      <c r="U17" s="122"/>
      <c r="V17" s="122"/>
      <c r="W17" s="122"/>
      <c r="X17" s="122"/>
    </row>
    <row r="18" customFormat="false" ht="15" hidden="false" customHeight="true" outlineLevel="0" collapsed="false">
      <c r="B18" s="122"/>
      <c r="C18" s="122"/>
      <c r="D18" s="122"/>
      <c r="E18" s="122"/>
      <c r="F18" s="122"/>
      <c r="G18" s="122"/>
      <c r="H18" s="122"/>
      <c r="I18" s="122"/>
      <c r="J18" s="135"/>
      <c r="K18" s="122"/>
      <c r="L18" s="135"/>
      <c r="M18" s="122"/>
      <c r="N18" s="136"/>
      <c r="O18" s="136"/>
      <c r="P18" s="122"/>
      <c r="Q18" s="136"/>
      <c r="R18" s="136"/>
      <c r="S18" s="122"/>
      <c r="T18" s="122"/>
      <c r="U18" s="122"/>
      <c r="V18" s="122"/>
      <c r="W18" s="122"/>
      <c r="X18" s="122"/>
    </row>
    <row r="19" customFormat="false" ht="15" hidden="false" customHeight="true" outlineLevel="0" collapsed="false">
      <c r="N19" s="122"/>
      <c r="O19" s="122"/>
      <c r="Q19" s="122"/>
      <c r="R19" s="122"/>
    </row>
    <row r="20" customFormat="false" ht="15" hidden="false" customHeight="true" outlineLevel="0" collapsed="false">
      <c r="B20" s="137" t="s">
        <v>170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9" t="n">
        <f aca="false">IF(COUNT(N10:N17)=0,"",AVERAGE(N10:N17))</f>
        <v>0.127498748659169</v>
      </c>
      <c r="O20" s="139" t="n">
        <f aca="false">IF(COUNT(O10:O17)=0,"",AVERAGE(O10:O17))</f>
        <v>0.053704786020571</v>
      </c>
      <c r="P20" s="137" t="str">
        <f aca="false">IF(COUNT(P8:P17)=0,"",AVERAGE(P8:P17))</f>
        <v/>
      </c>
      <c r="Q20" s="139" t="n">
        <f aca="false">IF(COUNT(Q10:Q17)=0,"",AVERAGE(Q10:Q17))</f>
        <v>0.0767371256361352</v>
      </c>
      <c r="R20" s="139" t="n">
        <f aca="false">IF(COUNT(R10:R17)=0,"",AVERAGE(R10:R17))</f>
        <v>0.072586235910734</v>
      </c>
      <c r="S20" s="137" t="str">
        <f aca="false">IF(COUNT(S8:S17)=0,"",AVERAGE(S8:S17))</f>
        <v/>
      </c>
      <c r="T20" s="140" t="n">
        <f aca="false">IF(COUNT(T10:T17)=0,"",AVERAGE(T10:T17))</f>
        <v>3.1274220742661</v>
      </c>
      <c r="U20" s="140" t="n">
        <f aca="false">IF(COUNT(U10:U17)=0,"",AVERAGE(U10:U17))</f>
        <v>2.98840072218214</v>
      </c>
      <c r="V20" s="137" t="str">
        <f aca="false">IF(COUNT(V8:V17)=0,"",AVERAGE(V8:V17))</f>
        <v/>
      </c>
      <c r="W20" s="141" t="n">
        <f aca="false">IF(COUNT(W10:W17)=0,"",AVERAGE(W10:W17))</f>
        <v>0.557314128812108</v>
      </c>
      <c r="X20" s="141" t="n">
        <f aca="false">IF(COUNT(X10:X17)=0,"",AVERAGE(X10:X17))</f>
        <v>0.532026821426123</v>
      </c>
      <c r="Y20" s="142" t="n">
        <f aca="false">IF(COUNT(Y10:Y17)=0,"",AVERAGE(Y10:Y17))</f>
        <v>7.20454</v>
      </c>
      <c r="Z20" s="142" t="n">
        <f aca="false">IF(COUNT(Z10:Z17)=0,"",AVERAGE(Z10:Z17))</f>
        <v>10.91344</v>
      </c>
    </row>
    <row r="21" customFormat="false" ht="15" hidden="false" customHeight="true" outlineLevel="0" collapsed="false">
      <c r="B21" s="137" t="s">
        <v>171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9" t="n">
        <f aca="false">IF(COUNT(N10:N17)=0,"",MEDIAN(N10:N17))</f>
        <v>0.0898719994567616</v>
      </c>
      <c r="O21" s="139" t="n">
        <f aca="false">IF(COUNT(O10:O17)=0,"",MEDIAN(O10:O17))</f>
        <v>0.0492069042245462</v>
      </c>
      <c r="P21" s="137" t="str">
        <f aca="false">IF(COUNT(P8:P17)=0,"",MEDIAN(P8:P17))</f>
        <v/>
      </c>
      <c r="Q21" s="139" t="n">
        <f aca="false">IF(COUNT(Q10:Q17)=0,"",MEDIAN(Q10:Q17))</f>
        <v>0.0641314856590396</v>
      </c>
      <c r="R21" s="139" t="n">
        <f aca="false">IF(COUNT(R10:R17)=0,"",MEDIAN(R10:R17))</f>
        <v>0.061</v>
      </c>
      <c r="S21" s="137" t="str">
        <f aca="false">IF(COUNT(S8:S17)=0,"",MEDIAN(S8:S17))</f>
        <v/>
      </c>
      <c r="T21" s="140" t="n">
        <f aca="false">IF(COUNT(T10:T17)=0,"",MEDIAN(T10:T17))</f>
        <v>3.68150433377406</v>
      </c>
      <c r="U21" s="140" t="n">
        <f aca="false">IF(COUNT(U10:U17)=0,"",MEDIAN(U10:U17))</f>
        <v>3.29780234241348</v>
      </c>
      <c r="V21" s="137" t="str">
        <f aca="false">IF(COUNT(V8:V17)=0,"",MEDIAN(V8:V17))</f>
        <v/>
      </c>
      <c r="W21" s="141" t="n">
        <f aca="false">IF(COUNT(W10:W17)=0,"",MEDIAN(W10:W17))</f>
        <v>0.47311141268194</v>
      </c>
      <c r="X21" s="141" t="n">
        <f aca="false">IF(COUNT(X10:X17)=0,"",MEDIAN(X10:X17))</f>
        <v>0.449023915953229</v>
      </c>
      <c r="Y21" s="142" t="n">
        <f aca="false">IF(COUNT(Y10:Y17)=0,"",MEDIAN(Y10:Y17))</f>
        <v>5.6403</v>
      </c>
      <c r="Z21" s="142" t="n">
        <f aca="false">IF(COUNT(Z10:Z17)=0,"",MEDIAN(Z10:Z17))</f>
        <v>4.9881</v>
      </c>
    </row>
    <row r="24" customFormat="false" ht="15" hidden="false" customHeight="true" outlineLevel="0" collapsed="false">
      <c r="B24" s="143" t="s">
        <v>172</v>
      </c>
      <c r="C24" s="66"/>
      <c r="D24" s="66"/>
      <c r="E24" s="66"/>
      <c r="F24" s="66"/>
      <c r="G24" s="66"/>
      <c r="H24" s="66"/>
      <c r="I24" s="66"/>
      <c r="J24" s="66"/>
    </row>
    <row r="25" customFormat="false" ht="15" hidden="false" customHeight="true" outlineLevel="0" collapsed="false">
      <c r="B25" s="107" t="s">
        <v>173</v>
      </c>
      <c r="C25" s="107" t="s">
        <v>174</v>
      </c>
      <c r="D25" s="107" t="s">
        <v>175</v>
      </c>
      <c r="E25" s="107" t="s">
        <v>176</v>
      </c>
      <c r="F25" s="107" t="s">
        <v>54</v>
      </c>
      <c r="G25" s="107" t="s">
        <v>177</v>
      </c>
      <c r="H25" s="107" t="s">
        <v>178</v>
      </c>
      <c r="I25" s="107" t="s">
        <v>179</v>
      </c>
      <c r="J25" s="107" t="s">
        <v>180</v>
      </c>
    </row>
    <row r="26" customFormat="false" ht="15" hidden="false" customHeight="true" outlineLevel="0" collapsed="false">
      <c r="B26" s="144" t="s">
        <v>181</v>
      </c>
      <c r="C26" s="145" t="n">
        <f aca="false">U21</f>
        <v>3.29780234241348</v>
      </c>
      <c r="D26" s="146" t="n">
        <f aca="false">DCF!N22</f>
        <v>2772.4</v>
      </c>
      <c r="E26" s="146" t="n">
        <f aca="false">C26*D26</f>
        <v>9142.82721410713</v>
      </c>
      <c r="F26" s="146" t="n">
        <f aca="false">'Sources &amp; Checks'!$B$6</f>
        <v>2400</v>
      </c>
      <c r="G26" s="146" t="n">
        <f aca="false">'Sources &amp; Checks'!$B$7+'Sources &amp; Checks'!$B$24</f>
        <v>1611.2</v>
      </c>
      <c r="H26" s="146" t="n">
        <f aca="false">E26+F26-G26</f>
        <v>9931.62721410713</v>
      </c>
      <c r="I26" s="147" t="n">
        <f aca="false">H26/'Sources &amp; Checks'!$B$9</f>
        <v>9.30973679612592</v>
      </c>
      <c r="J26" s="148" t="n">
        <f aca="false">I26/'Sources &amp; Checks'!$B$5-1</f>
        <v>-0.644530859254451</v>
      </c>
    </row>
    <row r="27" customFormat="false" ht="15" hidden="false" customHeight="true" outlineLevel="0" collapsed="false">
      <c r="B27" s="149" t="s">
        <v>182</v>
      </c>
      <c r="C27" s="150" t="n">
        <f aca="false">X21</f>
        <v>0.449023915953229</v>
      </c>
      <c r="D27" s="151" t="n">
        <f aca="false">DCF!N20</f>
        <v>13948.5</v>
      </c>
      <c r="E27" s="151" t="n">
        <f aca="false">C27*D27</f>
        <v>6263.21009167361</v>
      </c>
      <c r="F27" s="151" t="n">
        <f aca="false">'Sources &amp; Checks'!$B$6</f>
        <v>2400</v>
      </c>
      <c r="G27" s="151" t="n">
        <f aca="false">'Sources &amp; Checks'!$B$7+'Sources &amp; Checks'!$B$24</f>
        <v>1611.2</v>
      </c>
      <c r="H27" s="151" t="n">
        <f aca="false">E27+F27-G27</f>
        <v>7052.01009167362</v>
      </c>
      <c r="I27" s="152" t="n">
        <f aca="false">H27/'Sources &amp; Checks'!$B$9</f>
        <v>6.61043315679941</v>
      </c>
      <c r="J27" s="153" t="n">
        <f aca="false">I27/'Sources &amp; Checks'!$B$5-1</f>
        <v>-0.747597053959549</v>
      </c>
    </row>
    <row r="28" customFormat="false" ht="15" hidden="false" customHeight="true" outlineLevel="0" collapsed="false">
      <c r="B28" s="144" t="s">
        <v>183</v>
      </c>
      <c r="C28" s="145" t="n">
        <f aca="false">Z21</f>
        <v>4.9881</v>
      </c>
      <c r="D28" s="146" t="n">
        <f aca="false">DCF!N23</f>
        <v>1558</v>
      </c>
      <c r="E28" s="146" t="n">
        <f aca="false">C28*D28</f>
        <v>7771.4598</v>
      </c>
      <c r="F28" s="146" t="n">
        <f aca="false">'Sources &amp; Checks'!$B$6</f>
        <v>2400</v>
      </c>
      <c r="G28" s="146" t="n">
        <f aca="false">'Sources &amp; Checks'!$B$7+'Sources &amp; Checks'!$B$24</f>
        <v>1611.2</v>
      </c>
      <c r="H28" s="146" t="n">
        <f aca="false">E28+F28-G28</f>
        <v>8560.2598</v>
      </c>
      <c r="I28" s="147" t="n">
        <f aca="false">H28/'Sources &amp; Checks'!$B$9</f>
        <v>8.02424053243345</v>
      </c>
      <c r="J28" s="148" t="n">
        <f aca="false">I28/'Sources &amp; Checks'!$B$5-1</f>
        <v>-0.693614336295019</v>
      </c>
    </row>
    <row r="30" customFormat="false" ht="15" hidden="false" customHeight="true" outlineLevel="0" collapsed="false">
      <c r="B30" s="154" t="s">
        <v>184</v>
      </c>
    </row>
  </sheetData>
  <mergeCells count="10">
    <mergeCell ref="N4:R4"/>
    <mergeCell ref="T4:X4"/>
    <mergeCell ref="Y4:Z4"/>
    <mergeCell ref="D6:F6"/>
    <mergeCell ref="D8:F8"/>
    <mergeCell ref="D10:F10"/>
    <mergeCell ref="D11:F11"/>
    <mergeCell ref="D12:F12"/>
    <mergeCell ref="D13:F13"/>
    <mergeCell ref="D14:F1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52"/>
    <col collapsed="false" customWidth="true" hidden="false" outlineLevel="0" max="6" min="6" style="1" width="16"/>
  </cols>
  <sheetData>
    <row r="2" s="2" customFormat="true" ht="21" hidden="false" customHeight="true" outlineLevel="0" collapsed="false">
      <c r="B2" s="3" t="s">
        <v>21</v>
      </c>
    </row>
    <row r="4" customFormat="false" ht="15" hidden="false" customHeight="true" outlineLevel="0" collapsed="false">
      <c r="B4" s="8" t="s">
        <v>185</v>
      </c>
    </row>
    <row r="5" customFormat="false" ht="15" hidden="false" customHeight="true" outlineLevel="0" collapsed="false">
      <c r="B5" s="8" t="s">
        <v>186</v>
      </c>
    </row>
    <row r="6" customFormat="false" ht="15" hidden="false" customHeight="true" outlineLevel="0" collapsed="false">
      <c r="J6" s="155"/>
    </row>
    <row r="7" customFormat="false" ht="15" hidden="false" customHeight="true" outlineLevel="0" collapsed="false">
      <c r="A7" s="143" t="s">
        <v>10</v>
      </c>
      <c r="B7" s="78" t="s">
        <v>21</v>
      </c>
      <c r="C7" s="34"/>
      <c r="D7" s="34"/>
      <c r="E7" s="34"/>
      <c r="F7" s="34"/>
    </row>
    <row r="8" customFormat="false" ht="15" hidden="false" customHeight="true" outlineLevel="0" collapsed="false">
      <c r="B8" s="8" t="s">
        <v>140</v>
      </c>
      <c r="F8" s="59" t="n">
        <f aca="false">'Sources &amp; Checks'!$B$8*'Sources &amp; Checks'!$B$5</f>
        <v>27499.5</v>
      </c>
    </row>
    <row r="9" customFormat="false" ht="15" hidden="false" customHeight="true" outlineLevel="0" collapsed="false">
      <c r="B9" s="8" t="s">
        <v>187</v>
      </c>
      <c r="F9" s="28" t="n">
        <f aca="false">F8/(F8+F15)</f>
        <v>0.948274970258108</v>
      </c>
    </row>
    <row r="10" customFormat="false" ht="15" hidden="false" customHeight="true" outlineLevel="0" collapsed="false">
      <c r="B10" s="8" t="s">
        <v>188</v>
      </c>
      <c r="F10" s="156" t="n">
        <f aca="false">F11+F14*F13</f>
        <v>0.089043</v>
      </c>
    </row>
    <row r="11" customFormat="false" ht="15" hidden="false" customHeight="true" outlineLevel="0" collapsed="false">
      <c r="B11" s="8" t="s">
        <v>189</v>
      </c>
      <c r="F11" s="39" t="n">
        <f aca="false">'Sources &amp; Checks'!$B$10</f>
        <v>0.028643</v>
      </c>
    </row>
    <row r="12" customFormat="false" ht="15" hidden="false" customHeight="true" outlineLevel="0" collapsed="false">
      <c r="B12" s="8" t="s">
        <v>190</v>
      </c>
      <c r="F12" s="157" t="n">
        <f aca="false">'Sources &amp; Checks'!$B$11</f>
        <v>1.01</v>
      </c>
    </row>
    <row r="13" customFormat="false" ht="15" hidden="false" customHeight="true" outlineLevel="0" collapsed="false">
      <c r="B13" s="8" t="s">
        <v>191</v>
      </c>
      <c r="F13" s="39" t="n">
        <f aca="false">'Sources &amp; Checks'!$B$12</f>
        <v>0.06</v>
      </c>
    </row>
    <row r="14" customFormat="false" ht="15" hidden="false" customHeight="true" outlineLevel="0" collapsed="false">
      <c r="B14" s="8" t="s">
        <v>192</v>
      </c>
      <c r="F14" s="158" t="n">
        <f aca="false">1/3*1+2/3*F12</f>
        <v>1.00666666666667</v>
      </c>
    </row>
    <row r="15" customFormat="false" ht="15" hidden="false" customHeight="true" outlineLevel="0" collapsed="false">
      <c r="A15" s="143" t="s">
        <v>10</v>
      </c>
      <c r="B15" s="78" t="s">
        <v>193</v>
      </c>
      <c r="F15" s="159" t="n">
        <f aca="false">'Sources &amp; Checks'!$B$7</f>
        <v>1500</v>
      </c>
    </row>
    <row r="16" customFormat="false" ht="15" hidden="false" customHeight="true" outlineLevel="0" collapsed="false">
      <c r="B16" s="8" t="s">
        <v>194</v>
      </c>
      <c r="F16" s="40" t="n">
        <f aca="false">F15/(F15+F8)</f>
        <v>0.0517250297418921</v>
      </c>
    </row>
    <row r="17" customFormat="false" ht="15" hidden="false" customHeight="true" outlineLevel="0" collapsed="false">
      <c r="B17" s="8" t="s">
        <v>195</v>
      </c>
      <c r="F17" s="40" t="n">
        <f aca="false">'Sources &amp; Checks'!$B$13</f>
        <v>0.03</v>
      </c>
    </row>
    <row r="18" customFormat="false" ht="15" hidden="false" customHeight="true" outlineLevel="0" collapsed="false">
      <c r="B18" s="8" t="s">
        <v>196</v>
      </c>
      <c r="F18" s="40" t="n">
        <f aca="false">'Sources &amp; Checks'!$B$14</f>
        <v>0.12</v>
      </c>
    </row>
    <row r="20" customFormat="false" ht="15" hidden="false" customHeight="true" outlineLevel="0" collapsed="false">
      <c r="A20" s="143" t="s">
        <v>10</v>
      </c>
      <c r="B20" s="78" t="s">
        <v>197</v>
      </c>
      <c r="F20" s="59" t="n">
        <f aca="false">F15+F8</f>
        <v>28999.5</v>
      </c>
    </row>
    <row r="22" customFormat="false" ht="15" hidden="false" customHeight="true" outlineLevel="0" collapsed="false">
      <c r="A22" s="143" t="s">
        <v>10</v>
      </c>
      <c r="B22" s="78" t="s">
        <v>21</v>
      </c>
      <c r="F22" s="160" t="n">
        <f aca="false">F9*F10+(F16*F17*(1-F18))</f>
        <v>0.0858027889618787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3.5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61" t="s">
        <v>198</v>
      </c>
      <c r="B1" s="161"/>
      <c r="C1" s="161"/>
      <c r="D1" s="161"/>
    </row>
    <row r="3" customFormat="false" ht="15.75" hidden="false" customHeight="true" outlineLevel="0" collapsed="false">
      <c r="A3" s="107" t="s">
        <v>173</v>
      </c>
      <c r="B3" s="107" t="s">
        <v>199</v>
      </c>
      <c r="C3" s="107" t="s">
        <v>200</v>
      </c>
      <c r="D3" s="107" t="s">
        <v>201</v>
      </c>
    </row>
    <row r="4" customFormat="false" ht="15" hidden="false" customHeight="true" outlineLevel="0" collapsed="false">
      <c r="A4" s="162" t="s">
        <v>202</v>
      </c>
      <c r="B4" s="163" t="n">
        <v>46087</v>
      </c>
      <c r="C4" s="162" t="s">
        <v>203</v>
      </c>
      <c r="D4" s="162" t="s">
        <v>204</v>
      </c>
    </row>
    <row r="5" customFormat="false" ht="15" hidden="false" customHeight="true" outlineLevel="0" collapsed="false">
      <c r="A5" s="162" t="s">
        <v>205</v>
      </c>
      <c r="B5" s="164" t="n">
        <v>26.19</v>
      </c>
      <c r="C5" s="162" t="s">
        <v>206</v>
      </c>
      <c r="D5" s="162" t="s">
        <v>207</v>
      </c>
    </row>
    <row r="6" customFormat="false" ht="15" hidden="false" customHeight="true" outlineLevel="0" collapsed="false">
      <c r="A6" s="162" t="s">
        <v>208</v>
      </c>
      <c r="B6" s="165" t="n">
        <v>2400</v>
      </c>
      <c r="C6" s="162" t="s">
        <v>209</v>
      </c>
      <c r="D6" s="162" t="s">
        <v>210</v>
      </c>
    </row>
    <row r="7" customFormat="false" ht="15" hidden="false" customHeight="true" outlineLevel="0" collapsed="false">
      <c r="A7" s="162" t="s">
        <v>211</v>
      </c>
      <c r="B7" s="165" t="n">
        <v>1500</v>
      </c>
      <c r="C7" s="162" t="s">
        <v>209</v>
      </c>
      <c r="D7" s="162" t="s">
        <v>212</v>
      </c>
    </row>
    <row r="8" customFormat="false" ht="15" hidden="false" customHeight="true" outlineLevel="0" collapsed="false">
      <c r="A8" s="162" t="s">
        <v>213</v>
      </c>
      <c r="B8" s="165" t="n">
        <v>1050</v>
      </c>
      <c r="C8" s="162" t="s">
        <v>214</v>
      </c>
      <c r="D8" s="162" t="s">
        <v>215</v>
      </c>
    </row>
    <row r="9" customFormat="false" ht="15" hidden="false" customHeight="true" outlineLevel="0" collapsed="false">
      <c r="A9" s="162" t="s">
        <v>216</v>
      </c>
      <c r="B9" s="165" t="n">
        <v>1066.8</v>
      </c>
      <c r="C9" s="162" t="s">
        <v>214</v>
      </c>
      <c r="D9" s="162" t="s">
        <v>217</v>
      </c>
    </row>
    <row r="10" customFormat="false" ht="15" hidden="false" customHeight="true" outlineLevel="0" collapsed="false">
      <c r="A10" s="162" t="s">
        <v>218</v>
      </c>
      <c r="B10" s="166" t="n">
        <v>0.028643</v>
      </c>
      <c r="C10" s="162" t="s">
        <v>219</v>
      </c>
      <c r="D10" s="162" t="s">
        <v>220</v>
      </c>
    </row>
    <row r="11" customFormat="false" ht="15" hidden="false" customHeight="true" outlineLevel="0" collapsed="false">
      <c r="A11" s="162" t="s">
        <v>221</v>
      </c>
      <c r="B11" s="167" t="n">
        <v>1.01</v>
      </c>
      <c r="C11" s="162" t="s">
        <v>222</v>
      </c>
      <c r="D11" s="162" t="s">
        <v>223</v>
      </c>
    </row>
    <row r="12" customFormat="false" ht="15" hidden="false" customHeight="true" outlineLevel="0" collapsed="false">
      <c r="A12" s="162" t="s">
        <v>224</v>
      </c>
      <c r="B12" s="166" t="n">
        <v>0.06</v>
      </c>
      <c r="C12" s="162" t="s">
        <v>219</v>
      </c>
      <c r="D12" s="162" t="s">
        <v>223</v>
      </c>
    </row>
    <row r="13" customFormat="false" ht="15" hidden="false" customHeight="true" outlineLevel="0" collapsed="false">
      <c r="A13" s="162" t="s">
        <v>225</v>
      </c>
      <c r="B13" s="166" t="n">
        <v>0.03</v>
      </c>
      <c r="C13" s="162" t="s">
        <v>219</v>
      </c>
      <c r="D13" s="162" t="s">
        <v>223</v>
      </c>
    </row>
    <row r="14" customFormat="false" ht="15" hidden="false" customHeight="true" outlineLevel="0" collapsed="false">
      <c r="A14" s="162" t="s">
        <v>33</v>
      </c>
      <c r="B14" s="166" t="n">
        <v>0.12</v>
      </c>
      <c r="C14" s="162" t="s">
        <v>219</v>
      </c>
      <c r="D14" s="162" t="s">
        <v>226</v>
      </c>
    </row>
    <row r="16" customFormat="false" ht="15" hidden="false" customHeight="true" outlineLevel="0" collapsed="false">
      <c r="A16" s="168" t="s">
        <v>227</v>
      </c>
      <c r="B16" s="168" t="s">
        <v>228</v>
      </c>
    </row>
    <row r="18" customFormat="false" ht="15" hidden="false" customHeight="true" outlineLevel="0" collapsed="false">
      <c r="A18" s="168" t="s">
        <v>229</v>
      </c>
      <c r="B18" s="168" t="s">
        <v>230</v>
      </c>
      <c r="C18" s="168" t="s">
        <v>231</v>
      </c>
      <c r="D18" s="168" t="s">
        <v>232</v>
      </c>
    </row>
    <row r="19" customFormat="false" ht="15" hidden="false" customHeight="true" outlineLevel="0" collapsed="false">
      <c r="A19" s="168" t="s">
        <v>233</v>
      </c>
      <c r="B19" s="169" t="n">
        <v>0.0909</v>
      </c>
      <c r="C19" s="168" t="s">
        <v>219</v>
      </c>
      <c r="D19" s="168" t="s">
        <v>234</v>
      </c>
    </row>
    <row r="20" customFormat="false" ht="15" hidden="false" customHeight="true" outlineLevel="0" collapsed="false">
      <c r="A20" s="168" t="s">
        <v>235</v>
      </c>
      <c r="B20" s="169" t="n">
        <v>0.1722</v>
      </c>
      <c r="C20" s="168" t="s">
        <v>219</v>
      </c>
      <c r="D20" s="168" t="s">
        <v>236</v>
      </c>
    </row>
    <row r="21" customFormat="false" ht="15" hidden="false" customHeight="true" outlineLevel="0" collapsed="false">
      <c r="A21" s="168" t="s">
        <v>237</v>
      </c>
      <c r="B21" s="169" t="n">
        <v>0.0805</v>
      </c>
      <c r="C21" s="168" t="s">
        <v>219</v>
      </c>
      <c r="D21" s="168" t="s">
        <v>238</v>
      </c>
    </row>
    <row r="22" customFormat="false" ht="15" hidden="false" customHeight="true" outlineLevel="0" collapsed="false">
      <c r="A22" s="168" t="s">
        <v>239</v>
      </c>
      <c r="B22" s="169" t="n">
        <v>0.1828</v>
      </c>
      <c r="C22" s="168" t="s">
        <v>219</v>
      </c>
      <c r="D22" s="168" t="s">
        <v>240</v>
      </c>
    </row>
    <row r="23" customFormat="false" ht="15" hidden="false" customHeight="true" outlineLevel="0" collapsed="false">
      <c r="A23" s="168" t="s">
        <v>241</v>
      </c>
      <c r="B23" s="169" t="n">
        <v>-0.0287</v>
      </c>
      <c r="C23" s="168" t="s">
        <v>219</v>
      </c>
      <c r="D23" s="168" t="s">
        <v>242</v>
      </c>
    </row>
    <row r="24" customFormat="false" ht="15" hidden="false" customHeight="true" outlineLevel="0" collapsed="false">
      <c r="A24" s="162" t="s">
        <v>243</v>
      </c>
      <c r="B24" s="165" t="n">
        <v>111.2</v>
      </c>
      <c r="C24" s="162" t="s">
        <v>209</v>
      </c>
      <c r="D24" s="162" t="s">
        <v>244</v>
      </c>
    </row>
    <row r="25" customFormat="false" ht="15" hidden="false" customHeight="true" outlineLevel="0" collapsed="false">
      <c r="A25" s="170" t="s">
        <v>245</v>
      </c>
      <c r="B25" s="171" t="s">
        <v>246</v>
      </c>
    </row>
  </sheetData>
  <mergeCells count="1">
    <mergeCell ref="A1:D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3203125" defaultRowHeight="15.75" customHeight="false" zeroHeight="false" outlineLevelRow="0" outlineLevelCol="0"/>
  <cols>
    <col collapsed="false" customWidth="false" hidden="false" outlineLevel="0" max="1" min="1" style="172" width="10.83"/>
    <col collapsed="false" customWidth="true" hidden="false" outlineLevel="0" max="2" min="2" style="172" width="30.67"/>
    <col collapsed="false" customWidth="true" hidden="false" outlineLevel="0" max="5" min="3" style="172" width="8.83"/>
    <col collapsed="false" customWidth="false" hidden="false" outlineLevel="0" max="16384" min="6" style="172" width="10.83"/>
  </cols>
  <sheetData>
    <row r="2" customFormat="false" ht="18.75" hidden="false" customHeight="true" outlineLevel="0" collapsed="false">
      <c r="B2" s="173"/>
      <c r="C2" s="173"/>
    </row>
    <row r="3" customFormat="false" ht="15.75" hidden="false" customHeight="true" outlineLevel="0" collapsed="false">
      <c r="B3" s="174" t="s">
        <v>247</v>
      </c>
      <c r="C3" s="175" t="s">
        <v>248</v>
      </c>
      <c r="D3" s="176" t="s">
        <v>249</v>
      </c>
      <c r="E3" s="177" t="s">
        <v>250</v>
      </c>
    </row>
    <row r="4" customFormat="false" ht="18.75" hidden="false" customHeight="true" outlineLevel="0" collapsed="false">
      <c r="B4" s="178" t="s">
        <v>251</v>
      </c>
      <c r="C4" s="179" t="n">
        <v>10775</v>
      </c>
      <c r="D4" s="180" t="n">
        <v>13444</v>
      </c>
      <c r="E4" s="181" t="n">
        <v>13949</v>
      </c>
    </row>
    <row r="5" customFormat="false" ht="18.75" hidden="false" customHeight="true" outlineLevel="0" collapsed="false">
      <c r="B5" s="182" t="s">
        <v>252</v>
      </c>
      <c r="C5" s="183" t="n">
        <v>9332</v>
      </c>
      <c r="D5" s="184" t="n">
        <v>11383</v>
      </c>
      <c r="E5" s="185" t="n">
        <v>12391</v>
      </c>
    </row>
    <row r="6" customFormat="false" ht="18.75" hidden="false" customHeight="true" outlineLevel="0" collapsed="false">
      <c r="B6" s="182" t="s">
        <v>253</v>
      </c>
      <c r="C6" s="183" t="n">
        <v>1443</v>
      </c>
      <c r="D6" s="184" t="n">
        <v>2128</v>
      </c>
      <c r="E6" s="185" t="n">
        <v>1785</v>
      </c>
    </row>
    <row r="7" customFormat="false" ht="18.75" hidden="false" customHeight="true" outlineLevel="0" collapsed="false">
      <c r="B7" s="186" t="s">
        <v>254</v>
      </c>
      <c r="C7" s="187" t="n">
        <v>1314</v>
      </c>
      <c r="D7" s="188" t="n">
        <v>1917</v>
      </c>
      <c r="E7" s="189" t="n">
        <v>1612</v>
      </c>
    </row>
    <row r="10" customFormat="false" ht="15.75" hidden="false" customHeight="true" outlineLevel="0" collapsed="false">
      <c r="B10" s="174" t="s">
        <v>255</v>
      </c>
      <c r="C10" s="175" t="s">
        <v>248</v>
      </c>
      <c r="D10" s="176" t="s">
        <v>249</v>
      </c>
      <c r="E10" s="177" t="s">
        <v>250</v>
      </c>
    </row>
    <row r="11" customFormat="false" ht="18.75" hidden="false" customHeight="true" outlineLevel="0" collapsed="false">
      <c r="B11" s="178" t="s">
        <v>256</v>
      </c>
      <c r="C11" s="179" t="n">
        <v>16406</v>
      </c>
      <c r="D11" s="180" t="n">
        <v>17176</v>
      </c>
      <c r="E11" s="181" t="n">
        <v>17507</v>
      </c>
    </row>
    <row r="12" customFormat="false" ht="18.75" hidden="false" customHeight="true" outlineLevel="0" collapsed="false">
      <c r="B12" s="182" t="s">
        <v>257</v>
      </c>
      <c r="C12" s="183" t="n">
        <v>5643</v>
      </c>
      <c r="D12" s="184" t="n">
        <v>7614</v>
      </c>
      <c r="E12" s="185" t="n">
        <v>7037</v>
      </c>
    </row>
    <row r="13" customFormat="false" ht="18.75" hidden="false" customHeight="true" outlineLevel="0" collapsed="false">
      <c r="B13" s="186" t="s">
        <v>258</v>
      </c>
      <c r="C13" s="187" t="n">
        <v>4675</v>
      </c>
      <c r="D13" s="188" t="n">
        <v>4120</v>
      </c>
      <c r="E13" s="189" t="n">
        <v>3987</v>
      </c>
    </row>
    <row r="16" customFormat="false" ht="15.75" hidden="false" customHeight="true" outlineLevel="0" collapsed="false">
      <c r="B16" s="174" t="s">
        <v>193</v>
      </c>
      <c r="C16" s="175" t="s">
        <v>248</v>
      </c>
      <c r="D16" s="176" t="s">
        <v>249</v>
      </c>
      <c r="E16" s="177" t="s">
        <v>250</v>
      </c>
    </row>
    <row r="17" customFormat="false" ht="18.75" hidden="false" customHeight="true" outlineLevel="0" collapsed="false">
      <c r="B17" s="178" t="s">
        <v>259</v>
      </c>
      <c r="C17" s="179" t="n">
        <v>7422</v>
      </c>
      <c r="D17" s="180" t="n">
        <v>6401</v>
      </c>
      <c r="E17" s="181" t="n">
        <v>8153</v>
      </c>
    </row>
    <row r="18" customFormat="false" ht="18.75" hidden="false" customHeight="true" outlineLevel="0" collapsed="false">
      <c r="B18" s="182" t="s">
        <v>260</v>
      </c>
      <c r="C18" s="183" t="n">
        <v>3341</v>
      </c>
      <c r="D18" s="184" t="n">
        <v>3161</v>
      </c>
      <c r="E18" s="185" t="n">
        <v>2317</v>
      </c>
    </row>
    <row r="19" customFormat="false" ht="15.75" hidden="false" customHeight="true" outlineLevel="0" collapsed="false">
      <c r="B19" s="190" t="s">
        <v>261</v>
      </c>
      <c r="C19" s="191" t="n">
        <f aca="false">C17+C18</f>
        <v>10763</v>
      </c>
      <c r="D19" s="192" t="n">
        <f aca="false">D17+D18</f>
        <v>9562</v>
      </c>
      <c r="E19" s="193" t="n">
        <f aca="false">E17+E18</f>
        <v>10470</v>
      </c>
    </row>
    <row r="22" customFormat="false" ht="15.75" hidden="false" customHeight="true" outlineLevel="0" collapsed="false">
      <c r="B22" s="174" t="s">
        <v>262</v>
      </c>
      <c r="C22" s="175" t="s">
        <v>248</v>
      </c>
      <c r="D22" s="176" t="s">
        <v>249</v>
      </c>
      <c r="E22" s="177" t="s">
        <v>250</v>
      </c>
    </row>
    <row r="23" customFormat="false" ht="15.75" hidden="false" customHeight="true" outlineLevel="0" collapsed="false">
      <c r="B23" s="178" t="s">
        <v>263</v>
      </c>
      <c r="C23" s="194" t="n">
        <f aca="false">(C4-4800.9)/4800.9</f>
        <v>1.24437084713283</v>
      </c>
      <c r="D23" s="194" t="n">
        <f aca="false">(D4-C4)/C4</f>
        <v>0.247703016241299</v>
      </c>
      <c r="E23" s="195" t="n">
        <f aca="false">(E4-D4)/D4</f>
        <v>0.0375632252305861</v>
      </c>
    </row>
    <row r="24" customFormat="false" ht="15.75" hidden="false" customHeight="true" outlineLevel="0" collapsed="false">
      <c r="B24" s="182" t="s">
        <v>264</v>
      </c>
      <c r="C24" s="196" t="s">
        <v>265</v>
      </c>
      <c r="D24" s="197" t="n">
        <f aca="false">(D7-C7)/C7</f>
        <v>0.458904109589041</v>
      </c>
      <c r="E24" s="198" t="n">
        <f aca="false">(E7-D7)/D7</f>
        <v>-0.159102764736568</v>
      </c>
    </row>
    <row r="25" customFormat="false" ht="15.75" hidden="false" customHeight="true" outlineLevel="0" collapsed="false">
      <c r="B25" s="182" t="s">
        <v>266</v>
      </c>
      <c r="C25" s="199" t="n">
        <f aca="false">C7/C4</f>
        <v>0.121948955916473</v>
      </c>
      <c r="D25" s="197" t="n">
        <f aca="false">D7/D4</f>
        <v>0.142591490627789</v>
      </c>
      <c r="E25" s="198" t="n">
        <f aca="false">E7/E4</f>
        <v>0.115563839701771</v>
      </c>
    </row>
    <row r="26" customFormat="false" ht="15.75" hidden="false" customHeight="true" outlineLevel="0" collapsed="false">
      <c r="B26" s="182" t="s">
        <v>267</v>
      </c>
      <c r="C26" s="199" t="n">
        <f aca="false">(C4-C5)/C4</f>
        <v>0.133921113689095</v>
      </c>
      <c r="D26" s="197" t="n">
        <f aca="false">(D4-D5)/D4</f>
        <v>0.153302588515323</v>
      </c>
      <c r="E26" s="198" t="n">
        <f aca="false">(E4-E5)/E4</f>
        <v>0.111692594451215</v>
      </c>
    </row>
    <row r="27" customFormat="false" ht="15.75" hidden="false" customHeight="true" outlineLevel="0" collapsed="false">
      <c r="B27" s="182" t="s">
        <v>268</v>
      </c>
      <c r="C27" s="199" t="n">
        <f aca="false">C5/C4</f>
        <v>0.866078886310905</v>
      </c>
      <c r="D27" s="197" t="n">
        <f aca="false">D5/D4</f>
        <v>0.846697411484677</v>
      </c>
      <c r="E27" s="198" t="n">
        <f aca="false">E5/E4</f>
        <v>0.888307405548785</v>
      </c>
    </row>
    <row r="28" customFormat="false" ht="15.75" hidden="false" customHeight="true" outlineLevel="0" collapsed="false">
      <c r="B28" s="182" t="s">
        <v>269</v>
      </c>
      <c r="C28" s="199" t="n">
        <f aca="false">C7/C11</f>
        <v>0.0800926490308424</v>
      </c>
      <c r="D28" s="197" t="n">
        <f aca="false">D7/D11</f>
        <v>0.11160922217047</v>
      </c>
      <c r="E28" s="198" t="n">
        <f aca="false">E7/E11</f>
        <v>0.0920774547323928</v>
      </c>
    </row>
    <row r="29" customFormat="false" ht="15.75" hidden="false" customHeight="true" outlineLevel="0" collapsed="false">
      <c r="B29" s="182" t="s">
        <v>270</v>
      </c>
      <c r="C29" s="199" t="n">
        <f aca="false">C7/C12</f>
        <v>0.232854864433812</v>
      </c>
      <c r="D29" s="197" t="n">
        <f aca="false">D7/D12</f>
        <v>0.25177304964539</v>
      </c>
      <c r="E29" s="198" t="n">
        <f aca="false">E7/E12</f>
        <v>0.229074889867841</v>
      </c>
    </row>
    <row r="30" customFormat="false" ht="15.75" hidden="false" customHeight="true" outlineLevel="0" collapsed="false">
      <c r="B30" s="182" t="s">
        <v>271</v>
      </c>
      <c r="C30" s="199" t="n">
        <f aca="false">C19/C11</f>
        <v>0.656040472997684</v>
      </c>
      <c r="D30" s="197" t="n">
        <f aca="false">D19/D11</f>
        <v>0.556707033069399</v>
      </c>
      <c r="E30" s="198" t="n">
        <f aca="false">E19/E11</f>
        <v>0.598046495687439</v>
      </c>
    </row>
    <row r="31" customFormat="false" ht="15.75" hidden="false" customHeight="true" outlineLevel="0" collapsed="false">
      <c r="B31" s="186" t="s">
        <v>272</v>
      </c>
      <c r="C31" s="200" t="n">
        <f aca="false">C12/C11</f>
        <v>0.343959527002316</v>
      </c>
      <c r="D31" s="201" t="n">
        <f aca="false">D12/D11</f>
        <v>0.443292966930601</v>
      </c>
      <c r="E31" s="202" t="n">
        <f aca="false">E12/E11</f>
        <v>0.401953504312561</v>
      </c>
    </row>
    <row r="33" customFormat="false" ht="15.75" hidden="false" customHeight="true" outlineLevel="0" collapsed="false">
      <c r="B33" s="172" t="s">
        <v>273</v>
      </c>
    </row>
    <row r="35" customFormat="false" ht="15.75" hidden="false" customHeight="true" outlineLevel="0" collapsed="false">
      <c r="B35" s="172" t="s">
        <v>274</v>
      </c>
    </row>
    <row r="36" customFormat="false" ht="15.75" hidden="false" customHeight="true" outlineLevel="0" collapsed="false">
      <c r="B36" s="172" t="s">
        <v>275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3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3"/>
    <col collapsed="false" customWidth="true" hidden="false" outlineLevel="0" max="4" min="4" style="1" width="3"/>
    <col collapsed="false" customWidth="true" hidden="false" outlineLevel="0" max="5" min="5" style="1" width="30"/>
    <col collapsed="false" customWidth="true" hidden="false" outlineLevel="0" max="16" min="6" style="1" width="11"/>
  </cols>
  <sheetData>
    <row r="1" customFormat="false" ht="15" hidden="false" customHeight="true" outlineLevel="0" collapsed="false">
      <c r="B1" s="84" t="s">
        <v>276</v>
      </c>
    </row>
    <row r="3" customFormat="false" ht="15" hidden="false" customHeight="true" outlineLevel="0" collapsed="false">
      <c r="B3" s="86" t="s">
        <v>277</v>
      </c>
      <c r="C3" s="86"/>
    </row>
    <row r="4" customFormat="false" ht="15" hidden="false" customHeight="true" outlineLevel="0" collapsed="false">
      <c r="B4" s="91" t="s">
        <v>33</v>
      </c>
      <c r="C4" s="93" t="n">
        <f aca="false">'Sources &amp; Checks'!$B$14</f>
        <v>0.12</v>
      </c>
    </row>
    <row r="5" customFormat="false" ht="15" hidden="false" customHeight="true" outlineLevel="0" collapsed="false">
      <c r="B5" s="91" t="s">
        <v>278</v>
      </c>
      <c r="C5" s="96" t="n">
        <f aca="false">'Sources &amp; Checks'!$B$21</f>
        <v>0.0805</v>
      </c>
    </row>
    <row r="6" customFormat="false" ht="15" hidden="false" customHeight="true" outlineLevel="0" collapsed="false">
      <c r="B6" s="91" t="s">
        <v>279</v>
      </c>
      <c r="C6" s="96" t="n">
        <f aca="false">'Sources &amp; Checks'!$B$22</f>
        <v>0.1828</v>
      </c>
    </row>
    <row r="7" customFormat="false" ht="15" hidden="false" customHeight="true" outlineLevel="0" collapsed="false">
      <c r="B7" s="91" t="s">
        <v>280</v>
      </c>
      <c r="C7" s="96" t="n">
        <f aca="false">'Sources &amp; Checks'!$B$23</f>
        <v>-0.0287</v>
      </c>
    </row>
    <row r="8" customFormat="false" ht="15" hidden="false" customHeight="true" outlineLevel="0" collapsed="false">
      <c r="B8" s="91" t="s">
        <v>281</v>
      </c>
      <c r="C8" s="97" t="n">
        <f aca="false">DCF!$N$20</f>
        <v>13948.5</v>
      </c>
    </row>
    <row r="9" customFormat="false" ht="15" hidden="false" customHeight="true" outlineLevel="0" collapsed="false">
      <c r="B9" s="91" t="s">
        <v>282</v>
      </c>
      <c r="C9" s="97" t="n">
        <f aca="false">'Sources &amp; Checks'!$B$6</f>
        <v>2400</v>
      </c>
    </row>
    <row r="10" customFormat="false" ht="15" hidden="false" customHeight="true" outlineLevel="0" collapsed="false">
      <c r="B10" s="91" t="s">
        <v>283</v>
      </c>
      <c r="C10" s="97" t="n">
        <f aca="false">'Sources &amp; Checks'!$B$7+'Sources &amp; Checks'!$B$24</f>
        <v>1611.2</v>
      </c>
    </row>
    <row r="11" customFormat="false" ht="15" hidden="false" customHeight="true" outlineLevel="0" collapsed="false">
      <c r="B11" s="91" t="s">
        <v>284</v>
      </c>
      <c r="C11" s="97" t="n">
        <f aca="false">'Sources &amp; Checks'!$B$9</f>
        <v>1066.8</v>
      </c>
    </row>
    <row r="12" customFormat="false" ht="15" hidden="false" customHeight="true" outlineLevel="0" collapsed="false">
      <c r="B12" s="91" t="s">
        <v>26</v>
      </c>
      <c r="C12" s="203" t="n">
        <f aca="false">DCF!$D$18</f>
        <v>9</v>
      </c>
    </row>
    <row r="13" customFormat="false" ht="15" hidden="false" customHeight="true" outlineLevel="0" collapsed="false">
      <c r="B13" s="91" t="s">
        <v>285</v>
      </c>
      <c r="C13" s="95" t="n">
        <f aca="false">WACC!$F$11+WACC!$F$12*WACC!$F$13</f>
        <v>0.089243</v>
      </c>
    </row>
    <row r="14" customFormat="false" ht="15" hidden="false" customHeight="true" outlineLevel="0" collapsed="false">
      <c r="B14" s="91" t="s">
        <v>286</v>
      </c>
      <c r="C14" s="95" t="n">
        <f aca="false">WACC!$F$9*C13+WACC!$F$16*WACC!$F$17*(1-$C$15)</f>
        <v>0.0860234789737754</v>
      </c>
    </row>
    <row r="15" customFormat="false" ht="15" hidden="false" customHeight="true" outlineLevel="0" collapsed="false">
      <c r="B15" s="91" t="s">
        <v>287</v>
      </c>
      <c r="C15" s="93" t="n">
        <v>0.1</v>
      </c>
    </row>
    <row r="16" customFormat="false" ht="15" hidden="false" customHeight="true" outlineLevel="0" collapsed="false">
      <c r="B16" s="91" t="s">
        <v>288</v>
      </c>
      <c r="C16" s="95" t="n">
        <f aca="false">WACC!$F$9*WACC!$F$10+WACC!$F$16*WACC!$F$17*(1-$C$15)</f>
        <v>0.0858338239797238</v>
      </c>
    </row>
    <row r="18" customFormat="false" ht="15" hidden="false" customHeight="true" outlineLevel="0" collapsed="false">
      <c r="B18" s="204" t="s">
        <v>289</v>
      </c>
    </row>
    <row r="19" customFormat="false" ht="15" hidden="false" customHeight="true" outlineLevel="0" collapsed="false">
      <c r="B19" s="86" t="s">
        <v>290</v>
      </c>
      <c r="C19" s="86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6"/>
      <c r="O19" s="86"/>
      <c r="P19" s="86"/>
    </row>
    <row r="20" customFormat="false" ht="15" hidden="false" customHeight="true" outlineLevel="0" collapsed="false">
      <c r="B20" s="205" t="s">
        <v>291</v>
      </c>
      <c r="C20" s="205" t="s">
        <v>199</v>
      </c>
      <c r="E20" s="205" t="s">
        <v>292</v>
      </c>
      <c r="F20" s="206" t="str">
        <f aca="false">"FY"&amp;RIGHT(DCF!O$38,2)</f>
        <v>FY26</v>
      </c>
      <c r="G20" s="206" t="str">
        <f aca="false">"FY"&amp;RIGHT(DCF!P$38,2)</f>
        <v>FY27</v>
      </c>
      <c r="H20" s="206" t="str">
        <f aca="false">"FY"&amp;RIGHT(DCF!Q$38,2)</f>
        <v>FY28</v>
      </c>
      <c r="I20" s="206" t="str">
        <f aca="false">"FY"&amp;RIGHT(DCF!R$38,2)</f>
        <v>FY29</v>
      </c>
      <c r="J20" s="206" t="str">
        <f aca="false">"FY"&amp;RIGHT(DCF!S$38,2)</f>
        <v>FY30</v>
      </c>
      <c r="K20" s="206" t="str">
        <f aca="false">"FY"&amp;RIGHT(DCF!T$38,2)</f>
        <v>FY31</v>
      </c>
      <c r="L20" s="206" t="str">
        <f aca="false">"FY"&amp;RIGHT(DCF!U$38,2)</f>
        <v>FY32</v>
      </c>
      <c r="M20" s="206" t="str">
        <f aca="false">"FY"&amp;RIGHT(DCF!V$38,2)</f>
        <v>FY33</v>
      </c>
      <c r="N20" s="206" t="str">
        <f aca="false">"FY"&amp;RIGHT(DCF!W$38,2)</f>
        <v>FY34</v>
      </c>
      <c r="O20" s="206" t="str">
        <f aca="false">"FY"&amp;RIGHT(DCF!X$38,2)</f>
        <v>FY35</v>
      </c>
      <c r="P20" s="206" t="s">
        <v>40</v>
      </c>
    </row>
    <row r="21" customFormat="false" ht="15" hidden="false" customHeight="true" outlineLevel="0" collapsed="false">
      <c r="B21" s="91" t="s">
        <v>293</v>
      </c>
      <c r="C21" s="96" t="n">
        <f aca="false">DCF!$L$11</f>
        <v>0.0909</v>
      </c>
      <c r="E21" s="91" t="s">
        <v>294</v>
      </c>
      <c r="F21" s="207" t="n">
        <f aca="false">$C$21</f>
        <v>0.0909</v>
      </c>
      <c r="G21" s="207" t="n">
        <f aca="false">IF($C$25=1,F21-($C$21-$C$24)/$C$12,$C$21)</f>
        <v>0.0909</v>
      </c>
      <c r="H21" s="207" t="n">
        <f aca="false">IF($C$25=1,G21-($C$21-$C$24)/$C$12,$C$21)</f>
        <v>0.0909</v>
      </c>
      <c r="I21" s="207" t="n">
        <f aca="false">IF($C$25=1,H21-($C$21-$C$24)/$C$12,$C$21)</f>
        <v>0.0909</v>
      </c>
      <c r="J21" s="207" t="n">
        <f aca="false">IF($C$25=1,I21-($C$21-$C$24)/$C$12,$C$21)</f>
        <v>0.0909</v>
      </c>
      <c r="K21" s="207" t="n">
        <f aca="false">IF($C$25=1,J21-($C$21-$C$24)/$C$12,$C$21)</f>
        <v>0.0909</v>
      </c>
      <c r="L21" s="207" t="n">
        <f aca="false">IF($C$25=1,K21-($C$21-$C$24)/$C$12,$C$21)</f>
        <v>0.0909</v>
      </c>
      <c r="M21" s="207" t="n">
        <f aca="false">IF($C$25=1,L21-($C$21-$C$24)/$C$12,$C$21)</f>
        <v>0.0909</v>
      </c>
      <c r="N21" s="207" t="n">
        <f aca="false">IF($C$25=1,M21-($C$21-$C$24)/$C$12,$C$21)</f>
        <v>0.0909</v>
      </c>
      <c r="O21" s="207" t="n">
        <f aca="false">IF($C$25=1,N21-($C$21-$C$24)/$C$12,$C$21)</f>
        <v>0.0909</v>
      </c>
    </row>
    <row r="22" customFormat="false" ht="15" hidden="false" customHeight="true" outlineLevel="0" collapsed="false">
      <c r="B22" s="91" t="s">
        <v>295</v>
      </c>
      <c r="C22" s="96" t="n">
        <f aca="false">DCF!$L$13</f>
        <v>0.1722</v>
      </c>
      <c r="E22" s="91" t="s">
        <v>16</v>
      </c>
      <c r="F22" s="208" t="n">
        <f aca="false">$C$8*(1+F21)</f>
        <v>15216.41865</v>
      </c>
      <c r="G22" s="208" t="n">
        <f aca="false">F22*(1+G21)</f>
        <v>16599.591105285</v>
      </c>
      <c r="H22" s="208" t="n">
        <f aca="false">G22*(1+H21)</f>
        <v>18108.4939367554</v>
      </c>
      <c r="I22" s="208" t="n">
        <f aca="false">H22*(1+I21)</f>
        <v>19754.5560356065</v>
      </c>
      <c r="J22" s="208" t="n">
        <f aca="false">I22*(1+J21)</f>
        <v>21550.2451792431</v>
      </c>
      <c r="K22" s="208" t="n">
        <f aca="false">J22*(1+K21)</f>
        <v>23509.1624660363</v>
      </c>
      <c r="L22" s="208" t="n">
        <f aca="false">K22*(1+L21)</f>
        <v>25646.145334199</v>
      </c>
      <c r="M22" s="208" t="n">
        <f aca="false">L22*(1+M21)</f>
        <v>27977.3799450777</v>
      </c>
      <c r="N22" s="208" t="n">
        <f aca="false">M22*(1+N21)</f>
        <v>30520.5237820852</v>
      </c>
      <c r="O22" s="208" t="n">
        <f aca="false">N22*(1+O21)</f>
        <v>33294.8393938768</v>
      </c>
    </row>
    <row r="23" customFormat="false" ht="15" hidden="false" customHeight="true" outlineLevel="0" collapsed="false">
      <c r="B23" s="91" t="s">
        <v>21</v>
      </c>
      <c r="C23" s="95" t="n">
        <f aca="false">$C$14</f>
        <v>0.0860234789737754</v>
      </c>
      <c r="E23" s="91" t="s">
        <v>296</v>
      </c>
      <c r="F23" s="208" t="n">
        <f aca="false">F22*$C$22*(1-IF($C$28=1,$C$15,$C$4))</f>
        <v>2358.240562377</v>
      </c>
      <c r="G23" s="208" t="n">
        <f aca="false">G22*$C$22*(1-IF($C$28=1,$C$15,$C$4))</f>
        <v>2572.60462949707</v>
      </c>
      <c r="H23" s="208" t="n">
        <f aca="false">H22*$C$22*(1-IF($C$28=1,$C$15,$C$4))</f>
        <v>2806.45439031835</v>
      </c>
      <c r="I23" s="208" t="n">
        <f aca="false">I22*$C$22*(1-IF($C$28=1,$C$15,$C$4))</f>
        <v>3061.56109439829</v>
      </c>
      <c r="J23" s="208" t="n">
        <f aca="false">J22*$C$22*(1-IF($C$28=1,$C$15,$C$4))</f>
        <v>3339.8569978791</v>
      </c>
      <c r="K23" s="208" t="n">
        <f aca="false">K22*$C$22*(1-IF($C$28=1,$C$15,$C$4))</f>
        <v>3643.4499989863</v>
      </c>
      <c r="L23" s="208" t="n">
        <f aca="false">L22*$C$22*(1-IF($C$28=1,$C$15,$C$4))</f>
        <v>3974.63960389416</v>
      </c>
      <c r="M23" s="208" t="n">
        <f aca="false">M22*$C$22*(1-IF($C$28=1,$C$15,$C$4))</f>
        <v>4335.93434388814</v>
      </c>
      <c r="N23" s="208" t="n">
        <f aca="false">N22*$C$22*(1-IF($C$28=1,$C$15,$C$4))</f>
        <v>4730.07077574757</v>
      </c>
      <c r="O23" s="208" t="n">
        <f aca="false">O22*$C$22*(1-IF($C$28=1,$C$15,$C$4))</f>
        <v>5160.03420926302</v>
      </c>
      <c r="P23" s="208" t="n">
        <f aca="false">O23*(1+$C$24)</f>
        <v>5237.43472240197</v>
      </c>
    </row>
    <row r="24" customFormat="false" ht="15" hidden="false" customHeight="true" outlineLevel="0" collapsed="false">
      <c r="B24" s="91" t="s">
        <v>297</v>
      </c>
      <c r="C24" s="96" t="n">
        <f aca="false">DCF!$L$17</f>
        <v>0.015</v>
      </c>
      <c r="E24" s="91" t="s">
        <v>46</v>
      </c>
      <c r="F24" s="207" t="n">
        <f aca="false">$C$21/(($C$6-$C$5+$C$7)/($C$22*(1-IF($C$28=1,$C$15,$C$4))))</f>
        <v>0.191408722826087</v>
      </c>
      <c r="G24" s="207" t="n">
        <f aca="false">IF($C$27=1,F24-($F24-$C$23)/$C$12,G21/(($C$6-$C$5+$C$7)/($C$22*(1-IF($C$28=1,$C$15,$C$4)))))</f>
        <v>0.191408722826087</v>
      </c>
      <c r="H24" s="207" t="n">
        <f aca="false">IF($C$27=1,G24-($F24-$C$23)/$C$12,H21/(($C$6-$C$5+$C$7)/($C$22*(1-IF($C$28=1,$C$15,$C$4)))))</f>
        <v>0.191408722826087</v>
      </c>
      <c r="I24" s="207" t="n">
        <f aca="false">IF($C$27=1,H24-($F24-$C$23)/$C$12,I21/(($C$6-$C$5+$C$7)/($C$22*(1-IF($C$28=1,$C$15,$C$4)))))</f>
        <v>0.191408722826087</v>
      </c>
      <c r="J24" s="207" t="n">
        <f aca="false">IF($C$27=1,I24-($F24-$C$23)/$C$12,J21/(($C$6-$C$5+$C$7)/($C$22*(1-IF($C$28=1,$C$15,$C$4)))))</f>
        <v>0.191408722826087</v>
      </c>
      <c r="K24" s="207" t="n">
        <f aca="false">IF($C$27=1,J24-($F24-$C$23)/$C$12,K21/(($C$6-$C$5+$C$7)/($C$22*(1-IF($C$28=1,$C$15,$C$4)))))</f>
        <v>0.191408722826087</v>
      </c>
      <c r="L24" s="207" t="n">
        <f aca="false">IF($C$27=1,K24-($F24-$C$23)/$C$12,L21/(($C$6-$C$5+$C$7)/($C$22*(1-IF($C$28=1,$C$15,$C$4)))))</f>
        <v>0.191408722826087</v>
      </c>
      <c r="M24" s="207" t="n">
        <f aca="false">IF($C$27=1,L24-($F24-$C$23)/$C$12,M21/(($C$6-$C$5+$C$7)/($C$22*(1-IF($C$28=1,$C$15,$C$4)))))</f>
        <v>0.191408722826087</v>
      </c>
      <c r="N24" s="207" t="n">
        <f aca="false">IF($C$27=1,M24-($F24-$C$23)/$C$12,N21/(($C$6-$C$5+$C$7)/($C$22*(1-IF($C$28=1,$C$15,$C$4)))))</f>
        <v>0.191408722826087</v>
      </c>
      <c r="O24" s="207" t="n">
        <f aca="false">IF($C$27=1,N24-($F24-$C$23)/$C$12,O21/(($C$6-$C$5+$C$7)/($C$22*(1-IF($C$28=1,$C$15,$C$4)))))</f>
        <v>0.191408722826087</v>
      </c>
      <c r="P24" s="207" t="n">
        <f aca="false">$C$23</f>
        <v>0.0860234789737754</v>
      </c>
    </row>
    <row r="25" customFormat="false" ht="15" hidden="false" customHeight="true" outlineLevel="0" collapsed="false">
      <c r="B25" s="91" t="s">
        <v>298</v>
      </c>
      <c r="C25" s="209" t="n">
        <v>0</v>
      </c>
      <c r="E25" s="91" t="s">
        <v>45</v>
      </c>
      <c r="F25" s="210" t="n">
        <f aca="false">IF($C$27=1,F21/F24,(($C$6-$C$5+$C$7)/($C$22*(1-IF($C$28=1,$C$15,$C$4)))))</f>
        <v>0.474899987095109</v>
      </c>
      <c r="G25" s="210" t="n">
        <f aca="false">IF($C$27=1,G21/G24,(($C$6-$C$5+$C$7)/($C$22*(1-IF($C$28=1,$C$15,$C$4)))))</f>
        <v>0.474899987095109</v>
      </c>
      <c r="H25" s="210" t="n">
        <f aca="false">IF($C$27=1,H21/H24,(($C$6-$C$5+$C$7)/($C$22*(1-IF($C$28=1,$C$15,$C$4)))))</f>
        <v>0.474899987095109</v>
      </c>
      <c r="I25" s="210" t="n">
        <f aca="false">IF($C$27=1,I21/I24,(($C$6-$C$5+$C$7)/($C$22*(1-IF($C$28=1,$C$15,$C$4)))))</f>
        <v>0.474899987095109</v>
      </c>
      <c r="J25" s="210" t="n">
        <f aca="false">IF($C$27=1,J21/J24,(($C$6-$C$5+$C$7)/($C$22*(1-IF($C$28=1,$C$15,$C$4)))))</f>
        <v>0.474899987095109</v>
      </c>
      <c r="K25" s="210" t="n">
        <f aca="false">IF($C$27=1,K21/K24,(($C$6-$C$5+$C$7)/($C$22*(1-IF($C$28=1,$C$15,$C$4)))))</f>
        <v>0.474899987095109</v>
      </c>
      <c r="L25" s="210" t="n">
        <f aca="false">IF($C$27=1,L21/L24,(($C$6-$C$5+$C$7)/($C$22*(1-IF($C$28=1,$C$15,$C$4)))))</f>
        <v>0.474899987095109</v>
      </c>
      <c r="M25" s="210" t="n">
        <f aca="false">IF($C$27=1,M21/M24,(($C$6-$C$5+$C$7)/($C$22*(1-IF($C$28=1,$C$15,$C$4)))))</f>
        <v>0.474899987095109</v>
      </c>
      <c r="N25" s="210" t="n">
        <f aca="false">IF($C$27=1,N21/N24,(($C$6-$C$5+$C$7)/($C$22*(1-IF($C$28=1,$C$15,$C$4)))))</f>
        <v>0.474899987095109</v>
      </c>
      <c r="O25" s="210" t="n">
        <f aca="false">IF($C$27=1,O21/O24,(($C$6-$C$5+$C$7)/($C$22*(1-IF($C$28=1,$C$15,$C$4)))))</f>
        <v>0.474899987095109</v>
      </c>
      <c r="P25" s="210" t="n">
        <f aca="false">$C$24/P24</f>
        <v>0.174370999393931</v>
      </c>
    </row>
    <row r="26" customFormat="false" ht="15" hidden="false" customHeight="true" outlineLevel="0" collapsed="false">
      <c r="B26" s="91" t="s">
        <v>299</v>
      </c>
      <c r="C26" s="209" t="n">
        <v>0</v>
      </c>
      <c r="E26" s="91" t="s">
        <v>300</v>
      </c>
      <c r="F26" s="208" t="n">
        <f aca="false">F23*F25</f>
        <v>1119.92841264</v>
      </c>
      <c r="G26" s="208" t="n">
        <f aca="false">G23*G25</f>
        <v>1221.72990534898</v>
      </c>
      <c r="H26" s="208" t="n">
        <f aca="false">H23*H25</f>
        <v>1332.7851537452</v>
      </c>
      <c r="I26" s="208" t="n">
        <f aca="false">I23*I25</f>
        <v>1453.93532422064</v>
      </c>
      <c r="J26" s="208" t="n">
        <f aca="false">J23*J25</f>
        <v>1586.09804519229</v>
      </c>
      <c r="K26" s="208" t="n">
        <f aca="false">K23*K25</f>
        <v>1730.27435750027</v>
      </c>
      <c r="L26" s="208" t="n">
        <f aca="false">L23*L25</f>
        <v>1887.55629659705</v>
      </c>
      <c r="M26" s="208" t="n">
        <f aca="false">M23*M25</f>
        <v>2059.13516395772</v>
      </c>
      <c r="N26" s="208" t="n">
        <f aca="false">N23*N25</f>
        <v>2246.31055036147</v>
      </c>
      <c r="O26" s="208" t="n">
        <f aca="false">O23*O25</f>
        <v>2450.50017938933</v>
      </c>
    </row>
    <row r="27" customFormat="false" ht="15" hidden="false" customHeight="true" outlineLevel="0" collapsed="false">
      <c r="B27" s="91" t="s">
        <v>301</v>
      </c>
      <c r="C27" s="209" t="n">
        <v>0</v>
      </c>
      <c r="E27" s="90" t="s">
        <v>47</v>
      </c>
      <c r="F27" s="211" t="n">
        <f aca="false">F23-F26</f>
        <v>1238.312149737</v>
      </c>
      <c r="G27" s="211" t="n">
        <f aca="false">G23-G26</f>
        <v>1350.87472414809</v>
      </c>
      <c r="H27" s="211" t="n">
        <f aca="false">H23-H26</f>
        <v>1473.66923657316</v>
      </c>
      <c r="I27" s="211" t="n">
        <f aca="false">I23-I26</f>
        <v>1607.62577017766</v>
      </c>
      <c r="J27" s="211" t="n">
        <f aca="false">J23-J26</f>
        <v>1753.7589526868</v>
      </c>
      <c r="K27" s="211" t="n">
        <f aca="false">K23-K26</f>
        <v>1913.17564148603</v>
      </c>
      <c r="L27" s="211" t="n">
        <f aca="false">L23-L26</f>
        <v>2087.08330729711</v>
      </c>
      <c r="M27" s="211" t="n">
        <f aca="false">M23-M26</f>
        <v>2276.79917993042</v>
      </c>
      <c r="N27" s="211" t="n">
        <f aca="false">N23-N26</f>
        <v>2483.7602253861</v>
      </c>
      <c r="O27" s="211" t="n">
        <f aca="false">O23-O26</f>
        <v>2709.53402987369</v>
      </c>
      <c r="P27" s="211" t="n">
        <f aca="false">IF($C$26=1,P23*(1-P25),O27*(1+$C$24))</f>
        <v>2750.1770403218</v>
      </c>
    </row>
    <row r="28" customFormat="false" ht="15" hidden="false" customHeight="true" outlineLevel="0" collapsed="false">
      <c r="B28" s="91" t="s">
        <v>302</v>
      </c>
      <c r="C28" s="209" t="n">
        <v>1</v>
      </c>
      <c r="E28" s="91" t="s">
        <v>303</v>
      </c>
      <c r="F28" s="212" t="n">
        <f aca="false">DCF!O$71</f>
        <v>0.0347222222222222</v>
      </c>
      <c r="G28" s="212" t="n">
        <f aca="false">DCF!P$71</f>
        <v>0.569444444444444</v>
      </c>
      <c r="H28" s="212" t="n">
        <f aca="false">DCF!Q$71</f>
        <v>1.56944444444444</v>
      </c>
      <c r="I28" s="212" t="n">
        <f aca="false">DCF!R$71</f>
        <v>2.56944444444444</v>
      </c>
      <c r="J28" s="212" t="n">
        <f aca="false">DCF!S$71</f>
        <v>3.56944444444444</v>
      </c>
      <c r="K28" s="212" t="n">
        <f aca="false">DCF!T$71</f>
        <v>4.56944444444445</v>
      </c>
      <c r="L28" s="212" t="n">
        <f aca="false">DCF!U$71</f>
        <v>5.56944444444445</v>
      </c>
      <c r="M28" s="212" t="n">
        <f aca="false">DCF!V$71</f>
        <v>6.56944444444445</v>
      </c>
      <c r="N28" s="212" t="n">
        <f aca="false">DCF!W$71</f>
        <v>7.56944444444445</v>
      </c>
      <c r="O28" s="212" t="n">
        <f aca="false">DCF!X$71</f>
        <v>8.56944444444445</v>
      </c>
    </row>
    <row r="29" customFormat="false" ht="15" hidden="false" customHeight="true" outlineLevel="0" collapsed="false">
      <c r="B29" s="91" t="s">
        <v>113</v>
      </c>
      <c r="C29" s="97" t="n">
        <f aca="false">SUM(F29:O29)</f>
        <v>13045.07390491</v>
      </c>
      <c r="E29" s="91" t="s">
        <v>304</v>
      </c>
      <c r="F29" s="208" t="n">
        <f aca="false">F27*IF($C$28=1,1,DCF!$O$70)/(1+$C$23)^F28</f>
        <v>1234.76899795583</v>
      </c>
      <c r="G29" s="208" t="n">
        <f aca="false">G27/(1+$C$23)^G28</f>
        <v>1288.86263750385</v>
      </c>
      <c r="H29" s="208" t="n">
        <f aca="false">H27/(1+$C$23)^H28</f>
        <v>1294.64995782739</v>
      </c>
      <c r="I29" s="208" t="n">
        <f aca="false">I27/(1+$C$23)^I28</f>
        <v>1300.46326468785</v>
      </c>
      <c r="J29" s="208" t="n">
        <f aca="false">J27/(1+$C$23)^J28</f>
        <v>1306.3026747714</v>
      </c>
      <c r="K29" s="208" t="n">
        <f aca="false">K27/(1+$C$23)^K28</f>
        <v>1312.16830528811</v>
      </c>
      <c r="L29" s="208" t="n">
        <f aca="false">L27/(1+$C$23)^L28</f>
        <v>1318.06027397439</v>
      </c>
      <c r="M29" s="208" t="n">
        <f aca="false">M27/(1+$C$23)^M28</f>
        <v>1323.97869909531</v>
      </c>
      <c r="N29" s="208" t="n">
        <f aca="false">N27/(1+$C$23)^N28</f>
        <v>1329.92369944697</v>
      </c>
      <c r="O29" s="208" t="n">
        <f aca="false">O27/(1+$C$23)^O28</f>
        <v>1335.89539435891</v>
      </c>
    </row>
    <row r="30" customFormat="false" ht="15" hidden="false" customHeight="true" outlineLevel="0" collapsed="false">
      <c r="B30" s="91" t="s">
        <v>111</v>
      </c>
      <c r="C30" s="97" t="n">
        <f aca="false">P27/($C$23-$C$24)</f>
        <v>38722.0828951123</v>
      </c>
    </row>
    <row r="31" customFormat="false" ht="15" hidden="false" customHeight="true" outlineLevel="0" collapsed="false">
      <c r="B31" s="91" t="s">
        <v>112</v>
      </c>
      <c r="C31" s="97" t="n">
        <f aca="false">C30/(1+$C$23)^O28</f>
        <v>19091.346197994</v>
      </c>
    </row>
    <row r="32" customFormat="false" ht="15" hidden="false" customHeight="true" outlineLevel="0" collapsed="false">
      <c r="B32" s="91" t="s">
        <v>114</v>
      </c>
      <c r="C32" s="97" t="n">
        <f aca="false">C29+C31</f>
        <v>32136.420102904</v>
      </c>
    </row>
    <row r="33" customFormat="false" ht="15" hidden="false" customHeight="true" outlineLevel="0" collapsed="false">
      <c r="B33" s="91" t="s">
        <v>305</v>
      </c>
      <c r="C33" s="97" t="n">
        <f aca="false">C32+$C$9-IF($C$28=1,'Sources &amp; Checks'!$B$7,$C$10)</f>
        <v>33036.420102904</v>
      </c>
    </row>
    <row r="34" customFormat="false" ht="15" hidden="false" customHeight="true" outlineLevel="0" collapsed="false">
      <c r="B34" s="205" t="s">
        <v>117</v>
      </c>
      <c r="C34" s="213" t="n">
        <f aca="false">C33/$C$11</f>
        <v>30.9677728748631</v>
      </c>
    </row>
    <row r="35" customFormat="false" ht="15" hidden="false" customHeight="true" outlineLevel="0" collapsed="false">
      <c r="B35" s="91" t="s">
        <v>110</v>
      </c>
      <c r="C35" s="93" t="n">
        <f aca="false">1-P27/P23</f>
        <v>0.474899987095109</v>
      </c>
    </row>
    <row r="36" customFormat="false" ht="15" hidden="false" customHeight="true" outlineLevel="0" collapsed="false">
      <c r="B36" s="91" t="s">
        <v>306</v>
      </c>
      <c r="C36" s="93" t="n">
        <f aca="false">C31/C32</f>
        <v>0.594071963736521</v>
      </c>
    </row>
    <row r="39" customFormat="false" ht="15" hidden="false" customHeight="true" outlineLevel="0" collapsed="false">
      <c r="B39" s="86" t="s">
        <v>307</v>
      </c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</row>
    <row r="40" customFormat="false" ht="15" hidden="false" customHeight="true" outlineLevel="0" collapsed="false">
      <c r="B40" s="205" t="s">
        <v>291</v>
      </c>
      <c r="C40" s="205" t="s">
        <v>199</v>
      </c>
      <c r="E40" s="205" t="s">
        <v>292</v>
      </c>
      <c r="F40" s="206" t="str">
        <f aca="false">"FY"&amp;RIGHT(DCF!O$38,2)</f>
        <v>FY26</v>
      </c>
      <c r="G40" s="206" t="str">
        <f aca="false">"FY"&amp;RIGHT(DCF!P$38,2)</f>
        <v>FY27</v>
      </c>
      <c r="H40" s="206" t="str">
        <f aca="false">"FY"&amp;RIGHT(DCF!Q$38,2)</f>
        <v>FY28</v>
      </c>
      <c r="I40" s="206" t="str">
        <f aca="false">"FY"&amp;RIGHT(DCF!R$38,2)</f>
        <v>FY29</v>
      </c>
      <c r="J40" s="206" t="str">
        <f aca="false">"FY"&amp;RIGHT(DCF!S$38,2)</f>
        <v>FY30</v>
      </c>
      <c r="K40" s="206" t="str">
        <f aca="false">"FY"&amp;RIGHT(DCF!T$38,2)</f>
        <v>FY31</v>
      </c>
      <c r="L40" s="206" t="str">
        <f aca="false">"FY"&amp;RIGHT(DCF!U$38,2)</f>
        <v>FY32</v>
      </c>
      <c r="M40" s="206" t="str">
        <f aca="false">"FY"&amp;RIGHT(DCF!V$38,2)</f>
        <v>FY33</v>
      </c>
      <c r="N40" s="206" t="str">
        <f aca="false">"FY"&amp;RIGHT(DCF!W$38,2)</f>
        <v>FY34</v>
      </c>
      <c r="O40" s="206" t="str">
        <f aca="false">"FY"&amp;RIGHT(DCF!X$38,2)</f>
        <v>FY35</v>
      </c>
      <c r="P40" s="206" t="s">
        <v>40</v>
      </c>
    </row>
    <row r="41" customFormat="false" ht="15" hidden="false" customHeight="true" outlineLevel="0" collapsed="false">
      <c r="B41" s="91" t="s">
        <v>293</v>
      </c>
      <c r="C41" s="96" t="n">
        <f aca="false">DCF!$L$11</f>
        <v>0.0909</v>
      </c>
      <c r="E41" s="91" t="s">
        <v>294</v>
      </c>
      <c r="F41" s="207" t="n">
        <f aca="false">$C$41</f>
        <v>0.0909</v>
      </c>
      <c r="G41" s="207" t="n">
        <f aca="false">IF($C$45=1,F41-($C$41-$C$44)/$C$12,$C$41)</f>
        <v>0.0909</v>
      </c>
      <c r="H41" s="207" t="n">
        <f aca="false">IF($C$45=1,G41-($C$41-$C$44)/$C$12,$C$41)</f>
        <v>0.0909</v>
      </c>
      <c r="I41" s="207" t="n">
        <f aca="false">IF($C$45=1,H41-($C$41-$C$44)/$C$12,$C$41)</f>
        <v>0.0909</v>
      </c>
      <c r="J41" s="207" t="n">
        <f aca="false">IF($C$45=1,I41-($C$41-$C$44)/$C$12,$C$41)</f>
        <v>0.0909</v>
      </c>
      <c r="K41" s="207" t="n">
        <f aca="false">IF($C$45=1,J41-($C$41-$C$44)/$C$12,$C$41)</f>
        <v>0.0909</v>
      </c>
      <c r="L41" s="207" t="n">
        <f aca="false">IF($C$45=1,K41-($C$41-$C$44)/$C$12,$C$41)</f>
        <v>0.0909</v>
      </c>
      <c r="M41" s="207" t="n">
        <f aca="false">IF($C$45=1,L41-($C$41-$C$44)/$C$12,$C$41)</f>
        <v>0.0909</v>
      </c>
      <c r="N41" s="207" t="n">
        <f aca="false">IF($C$45=1,M41-($C$41-$C$44)/$C$12,$C$41)</f>
        <v>0.0909</v>
      </c>
      <c r="O41" s="207" t="n">
        <f aca="false">IF($C$45=1,N41-($C$41-$C$44)/$C$12,$C$41)</f>
        <v>0.0909</v>
      </c>
    </row>
    <row r="42" customFormat="false" ht="15" hidden="false" customHeight="true" outlineLevel="0" collapsed="false">
      <c r="B42" s="91" t="s">
        <v>295</v>
      </c>
      <c r="C42" s="96" t="n">
        <f aca="false">DCF!$L$13</f>
        <v>0.1722</v>
      </c>
      <c r="E42" s="91" t="s">
        <v>16</v>
      </c>
      <c r="F42" s="208" t="n">
        <f aca="false">$C$8*(1+F41)</f>
        <v>15216.41865</v>
      </c>
      <c r="G42" s="208" t="n">
        <f aca="false">F42*(1+G41)</f>
        <v>16599.591105285</v>
      </c>
      <c r="H42" s="208" t="n">
        <f aca="false">G42*(1+H41)</f>
        <v>18108.4939367554</v>
      </c>
      <c r="I42" s="208" t="n">
        <f aca="false">H42*(1+I41)</f>
        <v>19754.5560356065</v>
      </c>
      <c r="J42" s="208" t="n">
        <f aca="false">I42*(1+J41)</f>
        <v>21550.2451792431</v>
      </c>
      <c r="K42" s="208" t="n">
        <f aca="false">J42*(1+K41)</f>
        <v>23509.1624660363</v>
      </c>
      <c r="L42" s="208" t="n">
        <f aca="false">K42*(1+L41)</f>
        <v>25646.145334199</v>
      </c>
      <c r="M42" s="208" t="n">
        <f aca="false">L42*(1+M41)</f>
        <v>27977.3799450777</v>
      </c>
      <c r="N42" s="208" t="n">
        <f aca="false">M42*(1+N41)</f>
        <v>30520.5237820852</v>
      </c>
      <c r="O42" s="208" t="n">
        <f aca="false">N42*(1+O41)</f>
        <v>33294.8393938768</v>
      </c>
    </row>
    <row r="43" customFormat="false" ht="15" hidden="false" customHeight="true" outlineLevel="0" collapsed="false">
      <c r="B43" s="91" t="s">
        <v>21</v>
      </c>
      <c r="C43" s="95" t="n">
        <f aca="false">$C$16</f>
        <v>0.0858338239797238</v>
      </c>
      <c r="E43" s="91" t="s">
        <v>296</v>
      </c>
      <c r="F43" s="208" t="n">
        <f aca="false">F42*$C$42*(1-IF($C$48=1,$C$15,$C$4))</f>
        <v>2358.240562377</v>
      </c>
      <c r="G43" s="208" t="n">
        <f aca="false">G42*$C$42*(1-IF($C$48=1,$C$15,$C$4))</f>
        <v>2572.60462949707</v>
      </c>
      <c r="H43" s="208" t="n">
        <f aca="false">H42*$C$42*(1-IF($C$48=1,$C$15,$C$4))</f>
        <v>2806.45439031835</v>
      </c>
      <c r="I43" s="208" t="n">
        <f aca="false">I42*$C$42*(1-IF($C$48=1,$C$15,$C$4))</f>
        <v>3061.56109439829</v>
      </c>
      <c r="J43" s="208" t="n">
        <f aca="false">J42*$C$42*(1-IF($C$48=1,$C$15,$C$4))</f>
        <v>3339.8569978791</v>
      </c>
      <c r="K43" s="208" t="n">
        <f aca="false">K42*$C$42*(1-IF($C$48=1,$C$15,$C$4))</f>
        <v>3643.4499989863</v>
      </c>
      <c r="L43" s="208" t="n">
        <f aca="false">L42*$C$42*(1-IF($C$48=1,$C$15,$C$4))</f>
        <v>3974.63960389416</v>
      </c>
      <c r="M43" s="208" t="n">
        <f aca="false">M42*$C$42*(1-IF($C$48=1,$C$15,$C$4))</f>
        <v>4335.93434388814</v>
      </c>
      <c r="N43" s="208" t="n">
        <f aca="false">N42*$C$42*(1-IF($C$48=1,$C$15,$C$4))</f>
        <v>4730.07077574757</v>
      </c>
      <c r="O43" s="208" t="n">
        <f aca="false">O42*$C$42*(1-IF($C$48=1,$C$15,$C$4))</f>
        <v>5160.03420926302</v>
      </c>
      <c r="P43" s="208" t="n">
        <f aca="false">O43*(1+$C$44)</f>
        <v>5237.43472240197</v>
      </c>
    </row>
    <row r="44" customFormat="false" ht="15" hidden="false" customHeight="true" outlineLevel="0" collapsed="false">
      <c r="B44" s="91" t="s">
        <v>297</v>
      </c>
      <c r="C44" s="96" t="n">
        <f aca="false">DCF!$L$17</f>
        <v>0.015</v>
      </c>
      <c r="E44" s="91" t="s">
        <v>46</v>
      </c>
      <c r="F44" s="207" t="n">
        <f aca="false">$C$41/(($C$6-$C$5+$C$7)/($C$42*(1-IF($C$48=1,$C$15,$C$4))))</f>
        <v>0.191408722826087</v>
      </c>
      <c r="G44" s="207" t="n">
        <f aca="false">IF($C$47=1,F44-($F44-$C$43)/$C$12,G41/(($C$6-$C$5+$C$7)/($C$42*(1-IF($C$48=1,$C$15,$C$4)))))</f>
        <v>0.191408722826087</v>
      </c>
      <c r="H44" s="207" t="n">
        <f aca="false">IF($C$47=1,G44-($F44-$C$43)/$C$12,H41/(($C$6-$C$5+$C$7)/($C$42*(1-IF($C$48=1,$C$15,$C$4)))))</f>
        <v>0.191408722826087</v>
      </c>
      <c r="I44" s="207" t="n">
        <f aca="false">IF($C$47=1,H44-($F44-$C$43)/$C$12,I41/(($C$6-$C$5+$C$7)/($C$42*(1-IF($C$48=1,$C$15,$C$4)))))</f>
        <v>0.191408722826087</v>
      </c>
      <c r="J44" s="207" t="n">
        <f aca="false">IF($C$47=1,I44-($F44-$C$43)/$C$12,J41/(($C$6-$C$5+$C$7)/($C$42*(1-IF($C$48=1,$C$15,$C$4)))))</f>
        <v>0.191408722826087</v>
      </c>
      <c r="K44" s="207" t="n">
        <f aca="false">IF($C$47=1,J44-($F44-$C$43)/$C$12,K41/(($C$6-$C$5+$C$7)/($C$42*(1-IF($C$48=1,$C$15,$C$4)))))</f>
        <v>0.191408722826087</v>
      </c>
      <c r="L44" s="207" t="n">
        <f aca="false">IF($C$47=1,K44-($F44-$C$43)/$C$12,L41/(($C$6-$C$5+$C$7)/($C$42*(1-IF($C$48=1,$C$15,$C$4)))))</f>
        <v>0.191408722826087</v>
      </c>
      <c r="M44" s="207" t="n">
        <f aca="false">IF($C$47=1,L44-($F44-$C$43)/$C$12,M41/(($C$6-$C$5+$C$7)/($C$42*(1-IF($C$48=1,$C$15,$C$4)))))</f>
        <v>0.191408722826087</v>
      </c>
      <c r="N44" s="207" t="n">
        <f aca="false">IF($C$47=1,M44-($F44-$C$43)/$C$12,N41/(($C$6-$C$5+$C$7)/($C$42*(1-IF($C$48=1,$C$15,$C$4)))))</f>
        <v>0.191408722826087</v>
      </c>
      <c r="O44" s="207" t="n">
        <f aca="false">IF($C$47=1,N44-($F44-$C$43)/$C$12,O41/(($C$6-$C$5+$C$7)/($C$42*(1-IF($C$48=1,$C$15,$C$4)))))</f>
        <v>0.191408722826087</v>
      </c>
      <c r="P44" s="207" t="n">
        <f aca="false">$C$43</f>
        <v>0.0858338239797238</v>
      </c>
    </row>
    <row r="45" customFormat="false" ht="15" hidden="false" customHeight="true" outlineLevel="0" collapsed="false">
      <c r="B45" s="91" t="s">
        <v>298</v>
      </c>
      <c r="C45" s="209" t="n">
        <v>0</v>
      </c>
      <c r="E45" s="91" t="s">
        <v>45</v>
      </c>
      <c r="F45" s="210" t="n">
        <f aca="false">IF($C$47=1,F41/F44,(($C$6-$C$5+$C$7)/($C$42*(1-IF($C$48=1,$C$15,$C$4)))))</f>
        <v>0.474899987095109</v>
      </c>
      <c r="G45" s="210" t="n">
        <f aca="false">IF($C$47=1,G41/G44,(($C$6-$C$5+$C$7)/($C$42*(1-IF($C$48=1,$C$15,$C$4)))))</f>
        <v>0.474899987095109</v>
      </c>
      <c r="H45" s="210" t="n">
        <f aca="false">IF($C$47=1,H41/H44,(($C$6-$C$5+$C$7)/($C$42*(1-IF($C$48=1,$C$15,$C$4)))))</f>
        <v>0.474899987095109</v>
      </c>
      <c r="I45" s="210" t="n">
        <f aca="false">IF($C$47=1,I41/I44,(($C$6-$C$5+$C$7)/($C$42*(1-IF($C$48=1,$C$15,$C$4)))))</f>
        <v>0.474899987095109</v>
      </c>
      <c r="J45" s="210" t="n">
        <f aca="false">IF($C$47=1,J41/J44,(($C$6-$C$5+$C$7)/($C$42*(1-IF($C$48=1,$C$15,$C$4)))))</f>
        <v>0.474899987095109</v>
      </c>
      <c r="K45" s="210" t="n">
        <f aca="false">IF($C$47=1,K41/K44,(($C$6-$C$5+$C$7)/($C$42*(1-IF($C$48=1,$C$15,$C$4)))))</f>
        <v>0.474899987095109</v>
      </c>
      <c r="L45" s="210" t="n">
        <f aca="false">IF($C$47=1,L41/L44,(($C$6-$C$5+$C$7)/($C$42*(1-IF($C$48=1,$C$15,$C$4)))))</f>
        <v>0.474899987095109</v>
      </c>
      <c r="M45" s="210" t="n">
        <f aca="false">IF($C$47=1,M41/M44,(($C$6-$C$5+$C$7)/($C$42*(1-IF($C$48=1,$C$15,$C$4)))))</f>
        <v>0.474899987095109</v>
      </c>
      <c r="N45" s="210" t="n">
        <f aca="false">IF($C$47=1,N41/N44,(($C$6-$C$5+$C$7)/($C$42*(1-IF($C$48=1,$C$15,$C$4)))))</f>
        <v>0.474899987095109</v>
      </c>
      <c r="O45" s="210" t="n">
        <f aca="false">IF($C$47=1,O41/O44,(($C$6-$C$5+$C$7)/($C$42*(1-IF($C$48=1,$C$15,$C$4)))))</f>
        <v>0.474899987095109</v>
      </c>
      <c r="P45" s="210" t="n">
        <f aca="false">$C$44/P44</f>
        <v>0.174756282599543</v>
      </c>
    </row>
    <row r="46" customFormat="false" ht="15" hidden="false" customHeight="true" outlineLevel="0" collapsed="false">
      <c r="B46" s="91" t="s">
        <v>299</v>
      </c>
      <c r="C46" s="209" t="n">
        <v>0</v>
      </c>
      <c r="E46" s="91" t="s">
        <v>300</v>
      </c>
      <c r="F46" s="208" t="n">
        <f aca="false">F43*F45</f>
        <v>1119.92841264</v>
      </c>
      <c r="G46" s="208" t="n">
        <f aca="false">G43*G45</f>
        <v>1221.72990534898</v>
      </c>
      <c r="H46" s="208" t="n">
        <f aca="false">H43*H45</f>
        <v>1332.7851537452</v>
      </c>
      <c r="I46" s="208" t="n">
        <f aca="false">I43*I45</f>
        <v>1453.93532422064</v>
      </c>
      <c r="J46" s="208" t="n">
        <f aca="false">J43*J45</f>
        <v>1586.09804519229</v>
      </c>
      <c r="K46" s="208" t="n">
        <f aca="false">K43*K45</f>
        <v>1730.27435750027</v>
      </c>
      <c r="L46" s="208" t="n">
        <f aca="false">L43*L45</f>
        <v>1887.55629659705</v>
      </c>
      <c r="M46" s="208" t="n">
        <f aca="false">M43*M45</f>
        <v>2059.13516395772</v>
      </c>
      <c r="N46" s="208" t="n">
        <f aca="false">N43*N45</f>
        <v>2246.31055036147</v>
      </c>
      <c r="O46" s="208" t="n">
        <f aca="false">O43*O45</f>
        <v>2450.50017938933</v>
      </c>
    </row>
    <row r="47" customFormat="false" ht="15" hidden="false" customHeight="true" outlineLevel="0" collapsed="false">
      <c r="B47" s="91" t="s">
        <v>301</v>
      </c>
      <c r="C47" s="209" t="n">
        <v>0</v>
      </c>
      <c r="E47" s="90" t="s">
        <v>47</v>
      </c>
      <c r="F47" s="211" t="n">
        <f aca="false">F43-F46</f>
        <v>1238.312149737</v>
      </c>
      <c r="G47" s="211" t="n">
        <f aca="false">G43-G46</f>
        <v>1350.87472414809</v>
      </c>
      <c r="H47" s="211" t="n">
        <f aca="false">H43-H46</f>
        <v>1473.66923657316</v>
      </c>
      <c r="I47" s="211" t="n">
        <f aca="false">I43-I46</f>
        <v>1607.62577017766</v>
      </c>
      <c r="J47" s="211" t="n">
        <f aca="false">J43-J46</f>
        <v>1753.7589526868</v>
      </c>
      <c r="K47" s="211" t="n">
        <f aca="false">K43-K46</f>
        <v>1913.17564148603</v>
      </c>
      <c r="L47" s="211" t="n">
        <f aca="false">L43-L46</f>
        <v>2087.08330729711</v>
      </c>
      <c r="M47" s="211" t="n">
        <f aca="false">M43-M46</f>
        <v>2276.79917993042</v>
      </c>
      <c r="N47" s="211" t="n">
        <f aca="false">N43-N46</f>
        <v>2483.7602253861</v>
      </c>
      <c r="O47" s="211" t="n">
        <f aca="false">O43-O46</f>
        <v>2709.53402987369</v>
      </c>
      <c r="P47" s="211" t="n">
        <f aca="false">IF($C$46=1,P43*(1-P45),O47*(1+$C$44))</f>
        <v>2750.1770403218</v>
      </c>
    </row>
    <row r="48" customFormat="false" ht="15" hidden="false" customHeight="true" outlineLevel="0" collapsed="false">
      <c r="B48" s="91" t="s">
        <v>302</v>
      </c>
      <c r="C48" s="209" t="n">
        <v>1</v>
      </c>
      <c r="E48" s="91" t="s">
        <v>303</v>
      </c>
      <c r="F48" s="212" t="n">
        <f aca="false">DCF!O$71</f>
        <v>0.0347222222222222</v>
      </c>
      <c r="G48" s="212" t="n">
        <f aca="false">DCF!P$71</f>
        <v>0.569444444444444</v>
      </c>
      <c r="H48" s="212" t="n">
        <f aca="false">DCF!Q$71</f>
        <v>1.56944444444444</v>
      </c>
      <c r="I48" s="212" t="n">
        <f aca="false">DCF!R$71</f>
        <v>2.56944444444444</v>
      </c>
      <c r="J48" s="212" t="n">
        <f aca="false">DCF!S$71</f>
        <v>3.56944444444444</v>
      </c>
      <c r="K48" s="212" t="n">
        <f aca="false">DCF!T$71</f>
        <v>4.56944444444445</v>
      </c>
      <c r="L48" s="212" t="n">
        <f aca="false">DCF!U$71</f>
        <v>5.56944444444445</v>
      </c>
      <c r="M48" s="212" t="n">
        <f aca="false">DCF!V$71</f>
        <v>6.56944444444445</v>
      </c>
      <c r="N48" s="212" t="n">
        <f aca="false">DCF!W$71</f>
        <v>7.56944444444445</v>
      </c>
      <c r="O48" s="212" t="n">
        <f aca="false">DCF!X$71</f>
        <v>8.56944444444445</v>
      </c>
    </row>
    <row r="49" customFormat="false" ht="15" hidden="false" customHeight="true" outlineLevel="0" collapsed="false">
      <c r="B49" s="91" t="s">
        <v>113</v>
      </c>
      <c r="C49" s="97" t="n">
        <f aca="false">SUM(F49:O49)</f>
        <v>13054.5731443257</v>
      </c>
      <c r="E49" s="91" t="s">
        <v>304</v>
      </c>
      <c r="F49" s="208" t="n">
        <f aca="false">F47*IF($C$48=1,1,DCF!$O$70)/(1+$C$43)^F48</f>
        <v>1234.77648581277</v>
      </c>
      <c r="G49" s="208" t="n">
        <f aca="false">G47/(1+$C$43)^G48</f>
        <v>1288.99082409038</v>
      </c>
      <c r="H49" s="208" t="n">
        <f aca="false">H47/(1+$C$43)^H48</f>
        <v>1295.00486994081</v>
      </c>
      <c r="I49" s="208" t="n">
        <f aca="false">I47/(1+$C$43)^I48</f>
        <v>1301.04697553132</v>
      </c>
      <c r="J49" s="208" t="n">
        <f aca="false">J47/(1+$C$43)^J48</f>
        <v>1307.11727178027</v>
      </c>
      <c r="K49" s="208" t="n">
        <f aca="false">K47/(1+$C$43)^K48</f>
        <v>1313.21589021685</v>
      </c>
      <c r="L49" s="208" t="n">
        <f aca="false">L47/(1+$C$43)^L48</f>
        <v>1319.34296298391</v>
      </c>
      <c r="M49" s="208" t="n">
        <f aca="false">M47/(1+$C$43)^M48</f>
        <v>1325.49862284086</v>
      </c>
      <c r="N49" s="208" t="n">
        <f aca="false">N47/(1+$C$43)^N48</f>
        <v>1331.68300316651</v>
      </c>
      <c r="O49" s="208" t="n">
        <f aca="false">O47/(1+$C$43)^O48</f>
        <v>1337.89623796198</v>
      </c>
    </row>
    <row r="50" customFormat="false" ht="15" hidden="false" customHeight="true" outlineLevel="0" collapsed="false">
      <c r="B50" s="91" t="s">
        <v>111</v>
      </c>
      <c r="C50" s="97" t="n">
        <f aca="false">P47/($C$43-$C$44)</f>
        <v>38825.7598673345</v>
      </c>
    </row>
    <row r="51" customFormat="false" ht="15" hidden="false" customHeight="true" outlineLevel="0" collapsed="false">
      <c r="B51" s="91" t="s">
        <v>112</v>
      </c>
      <c r="C51" s="97" t="n">
        <f aca="false">C50/(1+$C$43)^O48</f>
        <v>19171.1332981279</v>
      </c>
    </row>
    <row r="52" customFormat="false" ht="15" hidden="false" customHeight="true" outlineLevel="0" collapsed="false">
      <c r="B52" s="91" t="s">
        <v>114</v>
      </c>
      <c r="C52" s="97" t="n">
        <f aca="false">C49+C51</f>
        <v>32225.7064424536</v>
      </c>
    </row>
    <row r="53" customFormat="false" ht="15" hidden="false" customHeight="true" outlineLevel="0" collapsed="false">
      <c r="B53" s="91" t="s">
        <v>305</v>
      </c>
      <c r="C53" s="97" t="n">
        <f aca="false">C52+$C$9-IF($C$48=1,'Sources &amp; Checks'!$B$7,$C$10)</f>
        <v>33125.7064424536</v>
      </c>
    </row>
    <row r="54" customFormat="false" ht="15" hidden="false" customHeight="true" outlineLevel="0" collapsed="false">
      <c r="B54" s="205" t="s">
        <v>117</v>
      </c>
      <c r="C54" s="213" t="n">
        <f aca="false">C53/$C$11</f>
        <v>31.0514683562557</v>
      </c>
    </row>
    <row r="55" customFormat="false" ht="15" hidden="false" customHeight="true" outlineLevel="0" collapsed="false">
      <c r="B55" s="91" t="s">
        <v>110</v>
      </c>
      <c r="C55" s="93" t="n">
        <f aca="false">1-P47/P43</f>
        <v>0.474899987095109</v>
      </c>
    </row>
    <row r="56" customFormat="false" ht="15" hidden="false" customHeight="true" outlineLevel="0" collapsed="false">
      <c r="B56" s="91" t="s">
        <v>306</v>
      </c>
      <c r="C56" s="93" t="n">
        <f aca="false">C51/C52</f>
        <v>0.59490187848519</v>
      </c>
    </row>
    <row r="59" customFormat="false" ht="15" hidden="false" customHeight="true" outlineLevel="0" collapsed="false">
      <c r="B59" s="86" t="s">
        <v>308</v>
      </c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</row>
    <row r="60" customFormat="false" ht="15" hidden="false" customHeight="true" outlineLevel="0" collapsed="false">
      <c r="B60" s="205" t="s">
        <v>291</v>
      </c>
      <c r="C60" s="205" t="s">
        <v>199</v>
      </c>
      <c r="E60" s="205" t="s">
        <v>292</v>
      </c>
      <c r="F60" s="206" t="str">
        <f aca="false">"FY"&amp;RIGHT(DCF!O$38,2)</f>
        <v>FY26</v>
      </c>
      <c r="G60" s="206" t="str">
        <f aca="false">"FY"&amp;RIGHT(DCF!P$38,2)</f>
        <v>FY27</v>
      </c>
      <c r="H60" s="206" t="str">
        <f aca="false">"FY"&amp;RIGHT(DCF!Q$38,2)</f>
        <v>FY28</v>
      </c>
      <c r="I60" s="206" t="str">
        <f aca="false">"FY"&amp;RIGHT(DCF!R$38,2)</f>
        <v>FY29</v>
      </c>
      <c r="J60" s="206" t="str">
        <f aca="false">"FY"&amp;RIGHT(DCF!S$38,2)</f>
        <v>FY30</v>
      </c>
      <c r="K60" s="206" t="str">
        <f aca="false">"FY"&amp;RIGHT(DCF!T$38,2)</f>
        <v>FY31</v>
      </c>
      <c r="L60" s="206" t="str">
        <f aca="false">"FY"&amp;RIGHT(DCF!U$38,2)</f>
        <v>FY32</v>
      </c>
      <c r="M60" s="206" t="str">
        <f aca="false">"FY"&amp;RIGHT(DCF!V$38,2)</f>
        <v>FY33</v>
      </c>
      <c r="N60" s="206" t="str">
        <f aca="false">"FY"&amp;RIGHT(DCF!W$38,2)</f>
        <v>FY34</v>
      </c>
      <c r="O60" s="206" t="str">
        <f aca="false">"FY"&amp;RIGHT(DCF!X$38,2)</f>
        <v>FY35</v>
      </c>
      <c r="P60" s="206" t="s">
        <v>40</v>
      </c>
    </row>
    <row r="61" customFormat="false" ht="15" hidden="false" customHeight="true" outlineLevel="0" collapsed="false">
      <c r="B61" s="91" t="s">
        <v>293</v>
      </c>
      <c r="C61" s="96" t="n">
        <f aca="false">DCF!$L$11</f>
        <v>0.0909</v>
      </c>
      <c r="E61" s="91" t="s">
        <v>294</v>
      </c>
      <c r="F61" s="207" t="n">
        <f aca="false">$C$61</f>
        <v>0.0909</v>
      </c>
      <c r="G61" s="207" t="n">
        <f aca="false">IF($C$65=1,F61-($C$61-$C$64)/$C$12,$C$61)</f>
        <v>0.0909</v>
      </c>
      <c r="H61" s="207" t="n">
        <f aca="false">IF($C$65=1,G61-($C$61-$C$64)/$C$12,$C$61)</f>
        <v>0.0909</v>
      </c>
      <c r="I61" s="207" t="n">
        <f aca="false">IF($C$65=1,H61-($C$61-$C$64)/$C$12,$C$61)</f>
        <v>0.0909</v>
      </c>
      <c r="J61" s="207" t="n">
        <f aca="false">IF($C$65=1,I61-($C$61-$C$64)/$C$12,$C$61)</f>
        <v>0.0909</v>
      </c>
      <c r="K61" s="207" t="n">
        <f aca="false">IF($C$65=1,J61-($C$61-$C$64)/$C$12,$C$61)</f>
        <v>0.0909</v>
      </c>
      <c r="L61" s="207" t="n">
        <f aca="false">IF($C$65=1,K61-($C$61-$C$64)/$C$12,$C$61)</f>
        <v>0.0909</v>
      </c>
      <c r="M61" s="207" t="n">
        <f aca="false">IF($C$65=1,L61-($C$61-$C$64)/$C$12,$C$61)</f>
        <v>0.0909</v>
      </c>
      <c r="N61" s="207" t="n">
        <f aca="false">IF($C$65=1,M61-($C$61-$C$64)/$C$12,$C$61)</f>
        <v>0.0909</v>
      </c>
      <c r="O61" s="207" t="n">
        <f aca="false">IF($C$65=1,N61-($C$61-$C$64)/$C$12,$C$61)</f>
        <v>0.0909</v>
      </c>
    </row>
    <row r="62" customFormat="false" ht="15" hidden="false" customHeight="true" outlineLevel="0" collapsed="false">
      <c r="B62" s="91" t="s">
        <v>295</v>
      </c>
      <c r="C62" s="96" t="n">
        <f aca="false">DCF!$L$13</f>
        <v>0.1722</v>
      </c>
      <c r="E62" s="91" t="s">
        <v>16</v>
      </c>
      <c r="F62" s="208" t="n">
        <f aca="false">$C$8*(1+F61)</f>
        <v>15216.41865</v>
      </c>
      <c r="G62" s="208" t="n">
        <f aca="false">F62*(1+G61)</f>
        <v>16599.591105285</v>
      </c>
      <c r="H62" s="208" t="n">
        <f aca="false">G62*(1+H61)</f>
        <v>18108.4939367554</v>
      </c>
      <c r="I62" s="208" t="n">
        <f aca="false">H62*(1+I61)</f>
        <v>19754.5560356065</v>
      </c>
      <c r="J62" s="208" t="n">
        <f aca="false">I62*(1+J61)</f>
        <v>21550.2451792431</v>
      </c>
      <c r="K62" s="208" t="n">
        <f aca="false">J62*(1+K61)</f>
        <v>23509.1624660363</v>
      </c>
      <c r="L62" s="208" t="n">
        <f aca="false">K62*(1+L61)</f>
        <v>25646.145334199</v>
      </c>
      <c r="M62" s="208" t="n">
        <f aca="false">L62*(1+M61)</f>
        <v>27977.3799450777</v>
      </c>
      <c r="N62" s="208" t="n">
        <f aca="false">M62*(1+N61)</f>
        <v>30520.5237820852</v>
      </c>
      <c r="O62" s="208" t="n">
        <f aca="false">N62*(1+O61)</f>
        <v>33294.8393938768</v>
      </c>
    </row>
    <row r="63" customFormat="false" ht="15" hidden="false" customHeight="true" outlineLevel="0" collapsed="false">
      <c r="B63" s="91" t="s">
        <v>21</v>
      </c>
      <c r="C63" s="95" t="n">
        <f aca="false">$C$14</f>
        <v>0.0860234789737754</v>
      </c>
      <c r="E63" s="91" t="s">
        <v>296</v>
      </c>
      <c r="F63" s="208" t="n">
        <f aca="false">F62*$C$62*(1-IF($C$68=1,$C$15,$C$4))</f>
        <v>2358.240562377</v>
      </c>
      <c r="G63" s="208" t="n">
        <f aca="false">G62*$C$62*(1-IF($C$68=1,$C$15,$C$4))</f>
        <v>2572.60462949707</v>
      </c>
      <c r="H63" s="208" t="n">
        <f aca="false">H62*$C$62*(1-IF($C$68=1,$C$15,$C$4))</f>
        <v>2806.45439031835</v>
      </c>
      <c r="I63" s="208" t="n">
        <f aca="false">I62*$C$62*(1-IF($C$68=1,$C$15,$C$4))</f>
        <v>3061.56109439829</v>
      </c>
      <c r="J63" s="208" t="n">
        <f aca="false">J62*$C$62*(1-IF($C$68=1,$C$15,$C$4))</f>
        <v>3339.8569978791</v>
      </c>
      <c r="K63" s="208" t="n">
        <f aca="false">K62*$C$62*(1-IF($C$68=1,$C$15,$C$4))</f>
        <v>3643.4499989863</v>
      </c>
      <c r="L63" s="208" t="n">
        <f aca="false">L62*$C$62*(1-IF($C$68=1,$C$15,$C$4))</f>
        <v>3974.63960389416</v>
      </c>
      <c r="M63" s="208" t="n">
        <f aca="false">M62*$C$62*(1-IF($C$68=1,$C$15,$C$4))</f>
        <v>4335.93434388814</v>
      </c>
      <c r="N63" s="208" t="n">
        <f aca="false">N62*$C$62*(1-IF($C$68=1,$C$15,$C$4))</f>
        <v>4730.07077574757</v>
      </c>
      <c r="O63" s="208" t="n">
        <f aca="false">O62*$C$62*(1-IF($C$68=1,$C$15,$C$4))</f>
        <v>5160.03420926302</v>
      </c>
      <c r="P63" s="208" t="n">
        <f aca="false">O63*(1+$C$64)</f>
        <v>5237.43472240197</v>
      </c>
    </row>
    <row r="64" customFormat="false" ht="15" hidden="false" customHeight="true" outlineLevel="0" collapsed="false">
      <c r="B64" s="91" t="s">
        <v>297</v>
      </c>
      <c r="C64" s="96" t="n">
        <f aca="false">DCF!$L$17</f>
        <v>0.015</v>
      </c>
      <c r="E64" s="91" t="s">
        <v>46</v>
      </c>
      <c r="F64" s="207" t="n">
        <f aca="false">$C$61/(($C$6-$C$5+$C$7)/($C$62*(1-IF($C$68=1,$C$15,$C$4))))</f>
        <v>0.191408722826087</v>
      </c>
      <c r="G64" s="207" t="n">
        <f aca="false">IF($C$67=1,F64-($F64-$C$63)/$C$12,G61/(($C$6-$C$5+$C$7)/($C$62*(1-IF($C$68=1,$C$15,$C$4)))))</f>
        <v>0.191408722826087</v>
      </c>
      <c r="H64" s="207" t="n">
        <f aca="false">IF($C$67=1,G64-($F64-$C$63)/$C$12,H61/(($C$6-$C$5+$C$7)/($C$62*(1-IF($C$68=1,$C$15,$C$4)))))</f>
        <v>0.191408722826087</v>
      </c>
      <c r="I64" s="207" t="n">
        <f aca="false">IF($C$67=1,H64-($F64-$C$63)/$C$12,I61/(($C$6-$C$5+$C$7)/($C$62*(1-IF($C$68=1,$C$15,$C$4)))))</f>
        <v>0.191408722826087</v>
      </c>
      <c r="J64" s="207" t="n">
        <f aca="false">IF($C$67=1,I64-($F64-$C$63)/$C$12,J61/(($C$6-$C$5+$C$7)/($C$62*(1-IF($C$68=1,$C$15,$C$4)))))</f>
        <v>0.191408722826087</v>
      </c>
      <c r="K64" s="207" t="n">
        <f aca="false">IF($C$67=1,J64-($F64-$C$63)/$C$12,K61/(($C$6-$C$5+$C$7)/($C$62*(1-IF($C$68=1,$C$15,$C$4)))))</f>
        <v>0.191408722826087</v>
      </c>
      <c r="L64" s="207" t="n">
        <f aca="false">IF($C$67=1,K64-($F64-$C$63)/$C$12,L61/(($C$6-$C$5+$C$7)/($C$62*(1-IF($C$68=1,$C$15,$C$4)))))</f>
        <v>0.191408722826087</v>
      </c>
      <c r="M64" s="207" t="n">
        <f aca="false">IF($C$67=1,L64-($F64-$C$63)/$C$12,M61/(($C$6-$C$5+$C$7)/($C$62*(1-IF($C$68=1,$C$15,$C$4)))))</f>
        <v>0.191408722826087</v>
      </c>
      <c r="N64" s="207" t="n">
        <f aca="false">IF($C$67=1,M64-($F64-$C$63)/$C$12,N61/(($C$6-$C$5+$C$7)/($C$62*(1-IF($C$68=1,$C$15,$C$4)))))</f>
        <v>0.191408722826087</v>
      </c>
      <c r="O64" s="207" t="n">
        <f aca="false">IF($C$67=1,N64-($F64-$C$63)/$C$12,O61/(($C$6-$C$5+$C$7)/($C$62*(1-IF($C$68=1,$C$15,$C$4)))))</f>
        <v>0.191408722826087</v>
      </c>
      <c r="P64" s="207" t="n">
        <f aca="false">$C$63</f>
        <v>0.0860234789737754</v>
      </c>
    </row>
    <row r="65" customFormat="false" ht="15" hidden="false" customHeight="true" outlineLevel="0" collapsed="false">
      <c r="B65" s="91" t="s">
        <v>298</v>
      </c>
      <c r="C65" s="209" t="n">
        <v>0</v>
      </c>
      <c r="E65" s="91" t="s">
        <v>45</v>
      </c>
      <c r="F65" s="210" t="n">
        <f aca="false">IF($C$67=1,F61/F64,(($C$6-$C$5+$C$7)/($C$62*(1-IF($C$68=1,$C$15,$C$4)))))</f>
        <v>0.474899987095109</v>
      </c>
      <c r="G65" s="210" t="n">
        <f aca="false">IF($C$67=1,G61/G64,(($C$6-$C$5+$C$7)/($C$62*(1-IF($C$68=1,$C$15,$C$4)))))</f>
        <v>0.474899987095109</v>
      </c>
      <c r="H65" s="210" t="n">
        <f aca="false">IF($C$67=1,H61/H64,(($C$6-$C$5+$C$7)/($C$62*(1-IF($C$68=1,$C$15,$C$4)))))</f>
        <v>0.474899987095109</v>
      </c>
      <c r="I65" s="210" t="n">
        <f aca="false">IF($C$67=1,I61/I64,(($C$6-$C$5+$C$7)/($C$62*(1-IF($C$68=1,$C$15,$C$4)))))</f>
        <v>0.474899987095109</v>
      </c>
      <c r="J65" s="210" t="n">
        <f aca="false">IF($C$67=1,J61/J64,(($C$6-$C$5+$C$7)/($C$62*(1-IF($C$68=1,$C$15,$C$4)))))</f>
        <v>0.474899987095109</v>
      </c>
      <c r="K65" s="210" t="n">
        <f aca="false">IF($C$67=1,K61/K64,(($C$6-$C$5+$C$7)/($C$62*(1-IF($C$68=1,$C$15,$C$4)))))</f>
        <v>0.474899987095109</v>
      </c>
      <c r="L65" s="210" t="n">
        <f aca="false">IF($C$67=1,L61/L64,(($C$6-$C$5+$C$7)/($C$62*(1-IF($C$68=1,$C$15,$C$4)))))</f>
        <v>0.474899987095109</v>
      </c>
      <c r="M65" s="210" t="n">
        <f aca="false">IF($C$67=1,M61/M64,(($C$6-$C$5+$C$7)/($C$62*(1-IF($C$68=1,$C$15,$C$4)))))</f>
        <v>0.474899987095109</v>
      </c>
      <c r="N65" s="210" t="n">
        <f aca="false">IF($C$67=1,N61/N64,(($C$6-$C$5+$C$7)/($C$62*(1-IF($C$68=1,$C$15,$C$4)))))</f>
        <v>0.474899987095109</v>
      </c>
      <c r="O65" s="210" t="n">
        <f aca="false">IF($C$67=1,O61/O64,(($C$6-$C$5+$C$7)/($C$62*(1-IF($C$68=1,$C$15,$C$4)))))</f>
        <v>0.474899987095109</v>
      </c>
      <c r="P65" s="210" t="n">
        <f aca="false">$C$64/P64</f>
        <v>0.174370999393931</v>
      </c>
    </row>
    <row r="66" customFormat="false" ht="15" hidden="false" customHeight="true" outlineLevel="0" collapsed="false">
      <c r="B66" s="91" t="s">
        <v>299</v>
      </c>
      <c r="C66" s="209" t="n">
        <v>1</v>
      </c>
      <c r="E66" s="91" t="s">
        <v>300</v>
      </c>
      <c r="F66" s="208" t="n">
        <f aca="false">F63*F65</f>
        <v>1119.92841264</v>
      </c>
      <c r="G66" s="208" t="n">
        <f aca="false">G63*G65</f>
        <v>1221.72990534898</v>
      </c>
      <c r="H66" s="208" t="n">
        <f aca="false">H63*H65</f>
        <v>1332.7851537452</v>
      </c>
      <c r="I66" s="208" t="n">
        <f aca="false">I63*I65</f>
        <v>1453.93532422064</v>
      </c>
      <c r="J66" s="208" t="n">
        <f aca="false">J63*J65</f>
        <v>1586.09804519229</v>
      </c>
      <c r="K66" s="208" t="n">
        <f aca="false">K63*K65</f>
        <v>1730.27435750027</v>
      </c>
      <c r="L66" s="208" t="n">
        <f aca="false">L63*L65</f>
        <v>1887.55629659705</v>
      </c>
      <c r="M66" s="208" t="n">
        <f aca="false">M63*M65</f>
        <v>2059.13516395772</v>
      </c>
      <c r="N66" s="208" t="n">
        <f aca="false">N63*N65</f>
        <v>2246.31055036147</v>
      </c>
      <c r="O66" s="208" t="n">
        <f aca="false">O63*O65</f>
        <v>2450.50017938933</v>
      </c>
    </row>
    <row r="67" customFormat="false" ht="15" hidden="false" customHeight="true" outlineLevel="0" collapsed="false">
      <c r="B67" s="91" t="s">
        <v>301</v>
      </c>
      <c r="C67" s="209" t="n">
        <v>0</v>
      </c>
      <c r="E67" s="90" t="s">
        <v>47</v>
      </c>
      <c r="F67" s="211" t="n">
        <f aca="false">F63-F66</f>
        <v>1238.312149737</v>
      </c>
      <c r="G67" s="211" t="n">
        <f aca="false">G63-G66</f>
        <v>1350.87472414809</v>
      </c>
      <c r="H67" s="211" t="n">
        <f aca="false">H63-H66</f>
        <v>1473.66923657316</v>
      </c>
      <c r="I67" s="211" t="n">
        <f aca="false">I63-I66</f>
        <v>1607.62577017766</v>
      </c>
      <c r="J67" s="211" t="n">
        <f aca="false">J63-J66</f>
        <v>1753.7589526868</v>
      </c>
      <c r="K67" s="211" t="n">
        <f aca="false">K63-K66</f>
        <v>1913.17564148603</v>
      </c>
      <c r="L67" s="211" t="n">
        <f aca="false">L63-L66</f>
        <v>2087.08330729711</v>
      </c>
      <c r="M67" s="211" t="n">
        <f aca="false">M63-M66</f>
        <v>2276.79917993042</v>
      </c>
      <c r="N67" s="211" t="n">
        <f aca="false">N63-N66</f>
        <v>2483.7602253861</v>
      </c>
      <c r="O67" s="211" t="n">
        <f aca="false">O63-O66</f>
        <v>2709.53402987369</v>
      </c>
      <c r="P67" s="211" t="n">
        <f aca="false">IF($C$66=1,P63*(1-P65),O67*(1+$C$64))</f>
        <v>4324.17799559626</v>
      </c>
    </row>
    <row r="68" customFormat="false" ht="15" hidden="false" customHeight="true" outlineLevel="0" collapsed="false">
      <c r="B68" s="91" t="s">
        <v>302</v>
      </c>
      <c r="C68" s="209" t="n">
        <v>1</v>
      </c>
      <c r="E68" s="91" t="s">
        <v>303</v>
      </c>
      <c r="F68" s="212" t="n">
        <f aca="false">DCF!O$71</f>
        <v>0.0347222222222222</v>
      </c>
      <c r="G68" s="212" t="n">
        <f aca="false">DCF!P$71</f>
        <v>0.569444444444444</v>
      </c>
      <c r="H68" s="212" t="n">
        <f aca="false">DCF!Q$71</f>
        <v>1.56944444444444</v>
      </c>
      <c r="I68" s="212" t="n">
        <f aca="false">DCF!R$71</f>
        <v>2.56944444444444</v>
      </c>
      <c r="J68" s="212" t="n">
        <f aca="false">DCF!S$71</f>
        <v>3.56944444444444</v>
      </c>
      <c r="K68" s="212" t="n">
        <f aca="false">DCF!T$71</f>
        <v>4.56944444444445</v>
      </c>
      <c r="L68" s="212" t="n">
        <f aca="false">DCF!U$71</f>
        <v>5.56944444444445</v>
      </c>
      <c r="M68" s="212" t="n">
        <f aca="false">DCF!V$71</f>
        <v>6.56944444444445</v>
      </c>
      <c r="N68" s="212" t="n">
        <f aca="false">DCF!W$71</f>
        <v>7.56944444444445</v>
      </c>
      <c r="O68" s="212" t="n">
        <f aca="false">DCF!X$71</f>
        <v>8.56944444444445</v>
      </c>
    </row>
    <row r="69" customFormat="false" ht="15" hidden="false" customHeight="true" outlineLevel="0" collapsed="false">
      <c r="B69" s="91" t="s">
        <v>113</v>
      </c>
      <c r="C69" s="97" t="n">
        <f aca="false">SUM(F69:O69)</f>
        <v>13045.07390491</v>
      </c>
      <c r="E69" s="91" t="s">
        <v>304</v>
      </c>
      <c r="F69" s="208" t="n">
        <f aca="false">F67*IF($C$68=1,1,DCF!$O$70)/(1+$C$63)^F68</f>
        <v>1234.76899795583</v>
      </c>
      <c r="G69" s="208" t="n">
        <f aca="false">G67/(1+$C$63)^G68</f>
        <v>1288.86263750385</v>
      </c>
      <c r="H69" s="208" t="n">
        <f aca="false">H67/(1+$C$63)^H68</f>
        <v>1294.64995782739</v>
      </c>
      <c r="I69" s="208" t="n">
        <f aca="false">I67/(1+$C$63)^I68</f>
        <v>1300.46326468785</v>
      </c>
      <c r="J69" s="208" t="n">
        <f aca="false">J67/(1+$C$63)^J68</f>
        <v>1306.3026747714</v>
      </c>
      <c r="K69" s="208" t="n">
        <f aca="false">K67/(1+$C$63)^K68</f>
        <v>1312.16830528811</v>
      </c>
      <c r="L69" s="208" t="n">
        <f aca="false">L67/(1+$C$63)^L68</f>
        <v>1318.06027397439</v>
      </c>
      <c r="M69" s="208" t="n">
        <f aca="false">M67/(1+$C$63)^M68</f>
        <v>1323.97869909531</v>
      </c>
      <c r="N69" s="208" t="n">
        <f aca="false">N67/(1+$C$63)^N68</f>
        <v>1329.92369944697</v>
      </c>
      <c r="O69" s="208" t="n">
        <f aca="false">O67/(1+$C$63)^O68</f>
        <v>1335.89539435891</v>
      </c>
    </row>
    <row r="70" customFormat="false" ht="15" hidden="false" customHeight="true" outlineLevel="0" collapsed="false">
      <c r="B70" s="91" t="s">
        <v>111</v>
      </c>
      <c r="C70" s="97" t="n">
        <f aca="false">P67/($C$63-$C$64)</f>
        <v>60883.781787047</v>
      </c>
    </row>
    <row r="71" customFormat="false" ht="15" hidden="false" customHeight="true" outlineLevel="0" collapsed="false">
      <c r="B71" s="91" t="s">
        <v>112</v>
      </c>
      <c r="C71" s="97" t="n">
        <f aca="false">C70/(1+$C$63)^O68</f>
        <v>30017.8417335693</v>
      </c>
    </row>
    <row r="72" customFormat="false" ht="15" hidden="false" customHeight="true" outlineLevel="0" collapsed="false">
      <c r="B72" s="91" t="s">
        <v>114</v>
      </c>
      <c r="C72" s="97" t="n">
        <f aca="false">C69+C71</f>
        <v>43062.9156384793</v>
      </c>
    </row>
    <row r="73" customFormat="false" ht="15" hidden="false" customHeight="true" outlineLevel="0" collapsed="false">
      <c r="B73" s="91" t="s">
        <v>305</v>
      </c>
      <c r="C73" s="97" t="n">
        <f aca="false">C72+$C$9-IF($C$68=1,'Sources &amp; Checks'!$B$7,$C$10)</f>
        <v>43962.9156384793</v>
      </c>
    </row>
    <row r="74" customFormat="false" ht="15" hidden="false" customHeight="true" outlineLevel="0" collapsed="false">
      <c r="B74" s="205" t="s">
        <v>117</v>
      </c>
      <c r="C74" s="213" t="n">
        <f aca="false">C73/$C$11</f>
        <v>41.2100821508055</v>
      </c>
    </row>
    <row r="75" customFormat="false" ht="15" hidden="false" customHeight="true" outlineLevel="0" collapsed="false">
      <c r="B75" s="91" t="s">
        <v>110</v>
      </c>
      <c r="C75" s="93" t="n">
        <f aca="false">1-P67/P63</f>
        <v>0.174370999393931</v>
      </c>
    </row>
    <row r="76" customFormat="false" ht="15" hidden="false" customHeight="true" outlineLevel="0" collapsed="false">
      <c r="B76" s="91" t="s">
        <v>306</v>
      </c>
      <c r="C76" s="93" t="n">
        <f aca="false">C71/C72</f>
        <v>0.697069422460252</v>
      </c>
    </row>
    <row r="79" customFormat="false" ht="15" hidden="false" customHeight="true" outlineLevel="0" collapsed="false">
      <c r="B79" s="86" t="s">
        <v>309</v>
      </c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</row>
    <row r="80" customFormat="false" ht="15" hidden="false" customHeight="true" outlineLevel="0" collapsed="false">
      <c r="B80" s="205" t="s">
        <v>291</v>
      </c>
      <c r="C80" s="205" t="s">
        <v>199</v>
      </c>
      <c r="E80" s="205" t="s">
        <v>292</v>
      </c>
      <c r="F80" s="206" t="str">
        <f aca="false">"FY"&amp;RIGHT(DCF!O$38,2)</f>
        <v>FY26</v>
      </c>
      <c r="G80" s="206" t="str">
        <f aca="false">"FY"&amp;RIGHT(DCF!P$38,2)</f>
        <v>FY27</v>
      </c>
      <c r="H80" s="206" t="str">
        <f aca="false">"FY"&amp;RIGHT(DCF!Q$38,2)</f>
        <v>FY28</v>
      </c>
      <c r="I80" s="206" t="str">
        <f aca="false">"FY"&amp;RIGHT(DCF!R$38,2)</f>
        <v>FY29</v>
      </c>
      <c r="J80" s="206" t="str">
        <f aca="false">"FY"&amp;RIGHT(DCF!S$38,2)</f>
        <v>FY30</v>
      </c>
      <c r="K80" s="206" t="str">
        <f aca="false">"FY"&amp;RIGHT(DCF!T$38,2)</f>
        <v>FY31</v>
      </c>
      <c r="L80" s="206" t="str">
        <f aca="false">"FY"&amp;RIGHT(DCF!U$38,2)</f>
        <v>FY32</v>
      </c>
      <c r="M80" s="206" t="str">
        <f aca="false">"FY"&amp;RIGHT(DCF!V$38,2)</f>
        <v>FY33</v>
      </c>
      <c r="N80" s="206" t="str">
        <f aca="false">"FY"&amp;RIGHT(DCF!W$38,2)</f>
        <v>FY34</v>
      </c>
      <c r="O80" s="206" t="str">
        <f aca="false">"FY"&amp;RIGHT(DCF!X$38,2)</f>
        <v>FY35</v>
      </c>
      <c r="P80" s="206" t="s">
        <v>40</v>
      </c>
    </row>
    <row r="81" customFormat="false" ht="15" hidden="false" customHeight="true" outlineLevel="0" collapsed="false">
      <c r="B81" s="91" t="s">
        <v>293</v>
      </c>
      <c r="C81" s="96" t="n">
        <f aca="false">DCF!$L$11</f>
        <v>0.0909</v>
      </c>
      <c r="E81" s="91" t="s">
        <v>294</v>
      </c>
      <c r="F81" s="207" t="n">
        <f aca="false">$C$81</f>
        <v>0.0909</v>
      </c>
      <c r="G81" s="207" t="n">
        <f aca="false">IF($C$85=1,F81-($C$81-$C$84)/$C$12,$C$81)</f>
        <v>0.0909</v>
      </c>
      <c r="H81" s="207" t="n">
        <f aca="false">IF($C$85=1,G81-($C$81-$C$84)/$C$12,$C$81)</f>
        <v>0.0909</v>
      </c>
      <c r="I81" s="207" t="n">
        <f aca="false">IF($C$85=1,H81-($C$81-$C$84)/$C$12,$C$81)</f>
        <v>0.0909</v>
      </c>
      <c r="J81" s="207" t="n">
        <f aca="false">IF($C$85=1,I81-($C$81-$C$84)/$C$12,$C$81)</f>
        <v>0.0909</v>
      </c>
      <c r="K81" s="207" t="n">
        <f aca="false">IF($C$85=1,J81-($C$81-$C$84)/$C$12,$C$81)</f>
        <v>0.0909</v>
      </c>
      <c r="L81" s="207" t="n">
        <f aca="false">IF($C$85=1,K81-($C$81-$C$84)/$C$12,$C$81)</f>
        <v>0.0909</v>
      </c>
      <c r="M81" s="207" t="n">
        <f aca="false">IF($C$85=1,L81-($C$81-$C$84)/$C$12,$C$81)</f>
        <v>0.0909</v>
      </c>
      <c r="N81" s="207" t="n">
        <f aca="false">IF($C$85=1,M81-($C$81-$C$84)/$C$12,$C$81)</f>
        <v>0.0909</v>
      </c>
      <c r="O81" s="207" t="n">
        <f aca="false">IF($C$85=1,N81-($C$81-$C$84)/$C$12,$C$81)</f>
        <v>0.0909</v>
      </c>
    </row>
    <row r="82" customFormat="false" ht="15" hidden="false" customHeight="true" outlineLevel="0" collapsed="false">
      <c r="B82" s="91" t="s">
        <v>295</v>
      </c>
      <c r="C82" s="96" t="n">
        <f aca="false">DCF!$L$13</f>
        <v>0.1722</v>
      </c>
      <c r="E82" s="91" t="s">
        <v>16</v>
      </c>
      <c r="F82" s="208" t="n">
        <f aca="false">$C$8*(1+F81)</f>
        <v>15216.41865</v>
      </c>
      <c r="G82" s="208" t="n">
        <f aca="false">F82*(1+G81)</f>
        <v>16599.591105285</v>
      </c>
      <c r="H82" s="208" t="n">
        <f aca="false">G82*(1+H81)</f>
        <v>18108.4939367554</v>
      </c>
      <c r="I82" s="208" t="n">
        <f aca="false">H82*(1+I81)</f>
        <v>19754.5560356065</v>
      </c>
      <c r="J82" s="208" t="n">
        <f aca="false">I82*(1+J81)</f>
        <v>21550.2451792431</v>
      </c>
      <c r="K82" s="208" t="n">
        <f aca="false">J82*(1+K81)</f>
        <v>23509.1624660363</v>
      </c>
      <c r="L82" s="208" t="n">
        <f aca="false">K82*(1+L81)</f>
        <v>25646.145334199</v>
      </c>
      <c r="M82" s="208" t="n">
        <f aca="false">L82*(1+M81)</f>
        <v>27977.3799450777</v>
      </c>
      <c r="N82" s="208" t="n">
        <f aca="false">M82*(1+N81)</f>
        <v>30520.5237820852</v>
      </c>
      <c r="O82" s="208" t="n">
        <f aca="false">N82*(1+O81)</f>
        <v>33294.8393938768</v>
      </c>
    </row>
    <row r="83" customFormat="false" ht="15" hidden="false" customHeight="true" outlineLevel="0" collapsed="false">
      <c r="B83" s="91" t="s">
        <v>21</v>
      </c>
      <c r="C83" s="95" t="n">
        <f aca="false">$C$16</f>
        <v>0.0858338239797238</v>
      </c>
      <c r="E83" s="91" t="s">
        <v>296</v>
      </c>
      <c r="F83" s="208" t="n">
        <f aca="false">F82*$C$82*(1-IF($C$88=1,$C$15,$C$4))</f>
        <v>2358.240562377</v>
      </c>
      <c r="G83" s="208" t="n">
        <f aca="false">G82*$C$82*(1-IF($C$88=1,$C$15,$C$4))</f>
        <v>2572.60462949707</v>
      </c>
      <c r="H83" s="208" t="n">
        <f aca="false">H82*$C$82*(1-IF($C$88=1,$C$15,$C$4))</f>
        <v>2806.45439031835</v>
      </c>
      <c r="I83" s="208" t="n">
        <f aca="false">I82*$C$82*(1-IF($C$88=1,$C$15,$C$4))</f>
        <v>3061.56109439829</v>
      </c>
      <c r="J83" s="208" t="n">
        <f aca="false">J82*$C$82*(1-IF($C$88=1,$C$15,$C$4))</f>
        <v>3339.8569978791</v>
      </c>
      <c r="K83" s="208" t="n">
        <f aca="false">K82*$C$82*(1-IF($C$88=1,$C$15,$C$4))</f>
        <v>3643.4499989863</v>
      </c>
      <c r="L83" s="208" t="n">
        <f aca="false">L82*$C$82*(1-IF($C$88=1,$C$15,$C$4))</f>
        <v>3974.63960389416</v>
      </c>
      <c r="M83" s="208" t="n">
        <f aca="false">M82*$C$82*(1-IF($C$88=1,$C$15,$C$4))</f>
        <v>4335.93434388814</v>
      </c>
      <c r="N83" s="208" t="n">
        <f aca="false">N82*$C$82*(1-IF($C$88=1,$C$15,$C$4))</f>
        <v>4730.07077574757</v>
      </c>
      <c r="O83" s="208" t="n">
        <f aca="false">O82*$C$82*(1-IF($C$88=1,$C$15,$C$4))</f>
        <v>5160.03420926302</v>
      </c>
      <c r="P83" s="208" t="n">
        <f aca="false">O83*(1+$C$84)</f>
        <v>5237.43472240197</v>
      </c>
    </row>
    <row r="84" customFormat="false" ht="15" hidden="false" customHeight="true" outlineLevel="0" collapsed="false">
      <c r="B84" s="91" t="s">
        <v>297</v>
      </c>
      <c r="C84" s="96" t="n">
        <f aca="false">DCF!$L$17</f>
        <v>0.015</v>
      </c>
      <c r="E84" s="91" t="s">
        <v>46</v>
      </c>
      <c r="F84" s="207" t="n">
        <f aca="false">$C$81/(($C$6-$C$5+$C$7)/($C$82*(1-IF($C$88=1,$C$15,$C$4))))</f>
        <v>0.191408722826087</v>
      </c>
      <c r="G84" s="207" t="n">
        <f aca="false">IF($C$87=1,F84-($F84-$C$83)/$C$12,G81/(($C$6-$C$5+$C$7)/($C$82*(1-IF($C$88=1,$C$15,$C$4)))))</f>
        <v>0.191408722826087</v>
      </c>
      <c r="H84" s="207" t="n">
        <f aca="false">IF($C$87=1,G84-($F84-$C$83)/$C$12,H81/(($C$6-$C$5+$C$7)/($C$82*(1-IF($C$88=1,$C$15,$C$4)))))</f>
        <v>0.191408722826087</v>
      </c>
      <c r="I84" s="207" t="n">
        <f aca="false">IF($C$87=1,H84-($F84-$C$83)/$C$12,I81/(($C$6-$C$5+$C$7)/($C$82*(1-IF($C$88=1,$C$15,$C$4)))))</f>
        <v>0.191408722826087</v>
      </c>
      <c r="J84" s="207" t="n">
        <f aca="false">IF($C$87=1,I84-($F84-$C$83)/$C$12,J81/(($C$6-$C$5+$C$7)/($C$82*(1-IF($C$88=1,$C$15,$C$4)))))</f>
        <v>0.191408722826087</v>
      </c>
      <c r="K84" s="207" t="n">
        <f aca="false">IF($C$87=1,J84-($F84-$C$83)/$C$12,K81/(($C$6-$C$5+$C$7)/($C$82*(1-IF($C$88=1,$C$15,$C$4)))))</f>
        <v>0.191408722826087</v>
      </c>
      <c r="L84" s="207" t="n">
        <f aca="false">IF($C$87=1,K84-($F84-$C$83)/$C$12,L81/(($C$6-$C$5+$C$7)/($C$82*(1-IF($C$88=1,$C$15,$C$4)))))</f>
        <v>0.191408722826087</v>
      </c>
      <c r="M84" s="207" t="n">
        <f aca="false">IF($C$87=1,L84-($F84-$C$83)/$C$12,M81/(($C$6-$C$5+$C$7)/($C$82*(1-IF($C$88=1,$C$15,$C$4)))))</f>
        <v>0.191408722826087</v>
      </c>
      <c r="N84" s="207" t="n">
        <f aca="false">IF($C$87=1,M84-($F84-$C$83)/$C$12,N81/(($C$6-$C$5+$C$7)/($C$82*(1-IF($C$88=1,$C$15,$C$4)))))</f>
        <v>0.191408722826087</v>
      </c>
      <c r="O84" s="207" t="n">
        <f aca="false">IF($C$87=1,N84-($F84-$C$83)/$C$12,O81/(($C$6-$C$5+$C$7)/($C$82*(1-IF($C$88=1,$C$15,$C$4)))))</f>
        <v>0.191408722826087</v>
      </c>
      <c r="P84" s="207" t="n">
        <f aca="false">$C$83</f>
        <v>0.0858338239797238</v>
      </c>
    </row>
    <row r="85" customFormat="false" ht="15" hidden="false" customHeight="true" outlineLevel="0" collapsed="false">
      <c r="B85" s="91" t="s">
        <v>298</v>
      </c>
      <c r="C85" s="209" t="n">
        <v>0</v>
      </c>
      <c r="E85" s="91" t="s">
        <v>45</v>
      </c>
      <c r="F85" s="210" t="n">
        <f aca="false">IF($C$87=1,F81/F84,(($C$6-$C$5+$C$7)/($C$82*(1-IF($C$88=1,$C$15,$C$4)))))</f>
        <v>0.474899987095109</v>
      </c>
      <c r="G85" s="210" t="n">
        <f aca="false">IF($C$87=1,G81/G84,(($C$6-$C$5+$C$7)/($C$82*(1-IF($C$88=1,$C$15,$C$4)))))</f>
        <v>0.474899987095109</v>
      </c>
      <c r="H85" s="210" t="n">
        <f aca="false">IF($C$87=1,H81/H84,(($C$6-$C$5+$C$7)/($C$82*(1-IF($C$88=1,$C$15,$C$4)))))</f>
        <v>0.474899987095109</v>
      </c>
      <c r="I85" s="210" t="n">
        <f aca="false">IF($C$87=1,I81/I84,(($C$6-$C$5+$C$7)/($C$82*(1-IF($C$88=1,$C$15,$C$4)))))</f>
        <v>0.474899987095109</v>
      </c>
      <c r="J85" s="210" t="n">
        <f aca="false">IF($C$87=1,J81/J84,(($C$6-$C$5+$C$7)/($C$82*(1-IF($C$88=1,$C$15,$C$4)))))</f>
        <v>0.474899987095109</v>
      </c>
      <c r="K85" s="210" t="n">
        <f aca="false">IF($C$87=1,K81/K84,(($C$6-$C$5+$C$7)/($C$82*(1-IF($C$88=1,$C$15,$C$4)))))</f>
        <v>0.474899987095109</v>
      </c>
      <c r="L85" s="210" t="n">
        <f aca="false">IF($C$87=1,L81/L84,(($C$6-$C$5+$C$7)/($C$82*(1-IF($C$88=1,$C$15,$C$4)))))</f>
        <v>0.474899987095109</v>
      </c>
      <c r="M85" s="210" t="n">
        <f aca="false">IF($C$87=1,M81/M84,(($C$6-$C$5+$C$7)/($C$82*(1-IF($C$88=1,$C$15,$C$4)))))</f>
        <v>0.474899987095109</v>
      </c>
      <c r="N85" s="210" t="n">
        <f aca="false">IF($C$87=1,N81/N84,(($C$6-$C$5+$C$7)/($C$82*(1-IF($C$88=1,$C$15,$C$4)))))</f>
        <v>0.474899987095109</v>
      </c>
      <c r="O85" s="210" t="n">
        <f aca="false">IF($C$87=1,O81/O84,(($C$6-$C$5+$C$7)/($C$82*(1-IF($C$88=1,$C$15,$C$4)))))</f>
        <v>0.474899987095109</v>
      </c>
      <c r="P85" s="210" t="n">
        <f aca="false">$C$84/P84</f>
        <v>0.174756282599543</v>
      </c>
    </row>
    <row r="86" customFormat="false" ht="15" hidden="false" customHeight="true" outlineLevel="0" collapsed="false">
      <c r="B86" s="91" t="s">
        <v>299</v>
      </c>
      <c r="C86" s="209" t="n">
        <v>1</v>
      </c>
      <c r="E86" s="91" t="s">
        <v>300</v>
      </c>
      <c r="F86" s="208" t="n">
        <f aca="false">F83*F85</f>
        <v>1119.92841264</v>
      </c>
      <c r="G86" s="208" t="n">
        <f aca="false">G83*G85</f>
        <v>1221.72990534898</v>
      </c>
      <c r="H86" s="208" t="n">
        <f aca="false">H83*H85</f>
        <v>1332.7851537452</v>
      </c>
      <c r="I86" s="208" t="n">
        <f aca="false">I83*I85</f>
        <v>1453.93532422064</v>
      </c>
      <c r="J86" s="208" t="n">
        <f aca="false">J83*J85</f>
        <v>1586.09804519229</v>
      </c>
      <c r="K86" s="208" t="n">
        <f aca="false">K83*K85</f>
        <v>1730.27435750027</v>
      </c>
      <c r="L86" s="208" t="n">
        <f aca="false">L83*L85</f>
        <v>1887.55629659705</v>
      </c>
      <c r="M86" s="208" t="n">
        <f aca="false">M83*M85</f>
        <v>2059.13516395772</v>
      </c>
      <c r="N86" s="208" t="n">
        <f aca="false">N83*N85</f>
        <v>2246.31055036147</v>
      </c>
      <c r="O86" s="208" t="n">
        <f aca="false">O83*O85</f>
        <v>2450.50017938933</v>
      </c>
    </row>
    <row r="87" customFormat="false" ht="15" hidden="false" customHeight="true" outlineLevel="0" collapsed="false">
      <c r="B87" s="91" t="s">
        <v>301</v>
      </c>
      <c r="C87" s="209" t="n">
        <v>0</v>
      </c>
      <c r="E87" s="90" t="s">
        <v>47</v>
      </c>
      <c r="F87" s="211" t="n">
        <f aca="false">F83-F86</f>
        <v>1238.312149737</v>
      </c>
      <c r="G87" s="211" t="n">
        <f aca="false">G83-G86</f>
        <v>1350.87472414809</v>
      </c>
      <c r="H87" s="211" t="n">
        <f aca="false">H83-H86</f>
        <v>1473.66923657316</v>
      </c>
      <c r="I87" s="211" t="n">
        <f aca="false">I83-I86</f>
        <v>1607.62577017766</v>
      </c>
      <c r="J87" s="211" t="n">
        <f aca="false">J83-J86</f>
        <v>1753.7589526868</v>
      </c>
      <c r="K87" s="211" t="n">
        <f aca="false">K83-K86</f>
        <v>1913.17564148603</v>
      </c>
      <c r="L87" s="211" t="n">
        <f aca="false">L83-L86</f>
        <v>2087.08330729711</v>
      </c>
      <c r="M87" s="211" t="n">
        <f aca="false">M83-M86</f>
        <v>2276.79917993042</v>
      </c>
      <c r="N87" s="211" t="n">
        <f aca="false">N83-N86</f>
        <v>2483.7602253861</v>
      </c>
      <c r="O87" s="211" t="n">
        <f aca="false">O83-O86</f>
        <v>2709.53402987369</v>
      </c>
      <c r="P87" s="211" t="n">
        <f aca="false">IF($C$86=1,P83*(1-P85),O87*(1+$C$84))</f>
        <v>4322.16009995723</v>
      </c>
    </row>
    <row r="88" customFormat="false" ht="15" hidden="false" customHeight="true" outlineLevel="0" collapsed="false">
      <c r="B88" s="91" t="s">
        <v>302</v>
      </c>
      <c r="C88" s="209" t="n">
        <v>1</v>
      </c>
      <c r="E88" s="91" t="s">
        <v>303</v>
      </c>
      <c r="F88" s="212" t="n">
        <f aca="false">DCF!O$71</f>
        <v>0.0347222222222222</v>
      </c>
      <c r="G88" s="212" t="n">
        <f aca="false">DCF!P$71</f>
        <v>0.569444444444444</v>
      </c>
      <c r="H88" s="212" t="n">
        <f aca="false">DCF!Q$71</f>
        <v>1.56944444444444</v>
      </c>
      <c r="I88" s="212" t="n">
        <f aca="false">DCF!R$71</f>
        <v>2.56944444444444</v>
      </c>
      <c r="J88" s="212" t="n">
        <f aca="false">DCF!S$71</f>
        <v>3.56944444444444</v>
      </c>
      <c r="K88" s="212" t="n">
        <f aca="false">DCF!T$71</f>
        <v>4.56944444444445</v>
      </c>
      <c r="L88" s="212" t="n">
        <f aca="false">DCF!U$71</f>
        <v>5.56944444444445</v>
      </c>
      <c r="M88" s="212" t="n">
        <f aca="false">DCF!V$71</f>
        <v>6.56944444444445</v>
      </c>
      <c r="N88" s="212" t="n">
        <f aca="false">DCF!W$71</f>
        <v>7.56944444444445</v>
      </c>
      <c r="O88" s="212" t="n">
        <f aca="false">DCF!X$71</f>
        <v>8.56944444444445</v>
      </c>
    </row>
    <row r="89" customFormat="false" ht="15" hidden="false" customHeight="true" outlineLevel="0" collapsed="false">
      <c r="B89" s="91" t="s">
        <v>113</v>
      </c>
      <c r="C89" s="97" t="n">
        <f aca="false">SUM(F89:O89)</f>
        <v>13054.5731443257</v>
      </c>
      <c r="E89" s="91" t="s">
        <v>304</v>
      </c>
      <c r="F89" s="208" t="n">
        <f aca="false">F87*IF($C$88=1,1,DCF!$O$70)/(1+$C$83)^F88</f>
        <v>1234.77648581277</v>
      </c>
      <c r="G89" s="208" t="n">
        <f aca="false">G87/(1+$C$83)^G88</f>
        <v>1288.99082409038</v>
      </c>
      <c r="H89" s="208" t="n">
        <f aca="false">H87/(1+$C$83)^H88</f>
        <v>1295.00486994081</v>
      </c>
      <c r="I89" s="208" t="n">
        <f aca="false">I87/(1+$C$83)^I88</f>
        <v>1301.04697553132</v>
      </c>
      <c r="J89" s="208" t="n">
        <f aca="false">J87/(1+$C$83)^J88</f>
        <v>1307.11727178027</v>
      </c>
      <c r="K89" s="208" t="n">
        <f aca="false">K87/(1+$C$83)^K88</f>
        <v>1313.21589021685</v>
      </c>
      <c r="L89" s="208" t="n">
        <f aca="false">L87/(1+$C$83)^L88</f>
        <v>1319.34296298391</v>
      </c>
      <c r="M89" s="208" t="n">
        <f aca="false">M87/(1+$C$83)^M88</f>
        <v>1325.49862284086</v>
      </c>
      <c r="N89" s="208" t="n">
        <f aca="false">N87/(1+$C$83)^N88</f>
        <v>1331.68300316651</v>
      </c>
      <c r="O89" s="208" t="n">
        <f aca="false">O87/(1+$C$83)^O88</f>
        <v>1337.89623796198</v>
      </c>
    </row>
    <row r="90" customFormat="false" ht="15" hidden="false" customHeight="true" outlineLevel="0" collapsed="false">
      <c r="B90" s="91" t="s">
        <v>111</v>
      </c>
      <c r="C90" s="97" t="n">
        <f aca="false">P87/($C$83-$C$84)</f>
        <v>61018.3081629823</v>
      </c>
    </row>
    <row r="91" customFormat="false" ht="15" hidden="false" customHeight="true" outlineLevel="0" collapsed="false">
      <c r="B91" s="91" t="s">
        <v>112</v>
      </c>
      <c r="C91" s="97" t="n">
        <f aca="false">C90/(1+$C$83)^O88</f>
        <v>30129.2266633258</v>
      </c>
    </row>
    <row r="92" customFormat="false" ht="15" hidden="false" customHeight="true" outlineLevel="0" collapsed="false">
      <c r="B92" s="91" t="s">
        <v>114</v>
      </c>
      <c r="C92" s="97" t="n">
        <f aca="false">C89+C91</f>
        <v>43183.7998076515</v>
      </c>
    </row>
    <row r="93" customFormat="false" ht="15" hidden="false" customHeight="true" outlineLevel="0" collapsed="false">
      <c r="B93" s="91" t="s">
        <v>305</v>
      </c>
      <c r="C93" s="97" t="n">
        <f aca="false">C92+$C$9-IF($C$88=1,'Sources &amp; Checks'!$B$7,$C$10)</f>
        <v>44083.7998076515</v>
      </c>
    </row>
    <row r="94" customFormat="false" ht="15" hidden="false" customHeight="true" outlineLevel="0" collapsed="false">
      <c r="B94" s="205" t="s">
        <v>117</v>
      </c>
      <c r="C94" s="213" t="n">
        <f aca="false">C93/$C$11</f>
        <v>41.3233968950614</v>
      </c>
    </row>
    <row r="95" customFormat="false" ht="15" hidden="false" customHeight="true" outlineLevel="0" collapsed="false">
      <c r="B95" s="91" t="s">
        <v>110</v>
      </c>
      <c r="C95" s="93" t="n">
        <f aca="false">1-P87/P83</f>
        <v>0.174756282599543</v>
      </c>
    </row>
    <row r="96" customFormat="false" ht="15" hidden="false" customHeight="true" outlineLevel="0" collapsed="false">
      <c r="B96" s="91" t="s">
        <v>306</v>
      </c>
      <c r="C96" s="93" t="n">
        <f aca="false">C91/C92</f>
        <v>0.697697442039072</v>
      </c>
    </row>
    <row r="99" customFormat="false" ht="15" hidden="false" customHeight="true" outlineLevel="0" collapsed="false">
      <c r="B99" s="86" t="s">
        <v>310</v>
      </c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</row>
    <row r="100" customFormat="false" ht="15" hidden="false" customHeight="true" outlineLevel="0" collapsed="false">
      <c r="B100" s="205" t="s">
        <v>291</v>
      </c>
      <c r="C100" s="205" t="s">
        <v>199</v>
      </c>
      <c r="E100" s="205" t="s">
        <v>292</v>
      </c>
      <c r="F100" s="206" t="str">
        <f aca="false">"FY"&amp;RIGHT(DCF!O$38,2)</f>
        <v>FY26</v>
      </c>
      <c r="G100" s="206" t="str">
        <f aca="false">"FY"&amp;RIGHT(DCF!P$38,2)</f>
        <v>FY27</v>
      </c>
      <c r="H100" s="206" t="str">
        <f aca="false">"FY"&amp;RIGHT(DCF!Q$38,2)</f>
        <v>FY28</v>
      </c>
      <c r="I100" s="206" t="str">
        <f aca="false">"FY"&amp;RIGHT(DCF!R$38,2)</f>
        <v>FY29</v>
      </c>
      <c r="J100" s="206" t="str">
        <f aca="false">"FY"&amp;RIGHT(DCF!S$38,2)</f>
        <v>FY30</v>
      </c>
      <c r="K100" s="206" t="str">
        <f aca="false">"FY"&amp;RIGHT(DCF!T$38,2)</f>
        <v>FY31</v>
      </c>
      <c r="L100" s="206" t="str">
        <f aca="false">"FY"&amp;RIGHT(DCF!U$38,2)</f>
        <v>FY32</v>
      </c>
      <c r="M100" s="206" t="str">
        <f aca="false">"FY"&amp;RIGHT(DCF!V$38,2)</f>
        <v>FY33</v>
      </c>
      <c r="N100" s="206" t="str">
        <f aca="false">"FY"&amp;RIGHT(DCF!W$38,2)</f>
        <v>FY34</v>
      </c>
      <c r="O100" s="206" t="str">
        <f aca="false">"FY"&amp;RIGHT(DCF!X$38,2)</f>
        <v>FY35</v>
      </c>
      <c r="P100" s="206" t="s">
        <v>40</v>
      </c>
    </row>
    <row r="101" customFormat="false" ht="15" hidden="false" customHeight="true" outlineLevel="0" collapsed="false">
      <c r="B101" s="91" t="s">
        <v>293</v>
      </c>
      <c r="C101" s="96" t="n">
        <f aca="false">DCF!$L$11</f>
        <v>0.0909</v>
      </c>
      <c r="E101" s="91" t="s">
        <v>294</v>
      </c>
      <c r="F101" s="207" t="n">
        <f aca="false">$C$101</f>
        <v>0.0909</v>
      </c>
      <c r="G101" s="207" t="n">
        <f aca="false">IF($C$105=1,F101-($C$101-$C$104)/$C$12,$C$101)</f>
        <v>0.0824666666666667</v>
      </c>
      <c r="H101" s="207" t="n">
        <f aca="false">IF($C$105=1,G101-($C$101-$C$104)/$C$12,$C$101)</f>
        <v>0.0740333333333333</v>
      </c>
      <c r="I101" s="207" t="n">
        <f aca="false">IF($C$105=1,H101-($C$101-$C$104)/$C$12,$C$101)</f>
        <v>0.0656</v>
      </c>
      <c r="J101" s="207" t="n">
        <f aca="false">IF($C$105=1,I101-($C$101-$C$104)/$C$12,$C$101)</f>
        <v>0.0571666666666667</v>
      </c>
      <c r="K101" s="207" t="n">
        <f aca="false">IF($C$105=1,J101-($C$101-$C$104)/$C$12,$C$101)</f>
        <v>0.0487333333333333</v>
      </c>
      <c r="L101" s="207" t="n">
        <f aca="false">IF($C$105=1,K101-($C$101-$C$104)/$C$12,$C$101)</f>
        <v>0.0403</v>
      </c>
      <c r="M101" s="207" t="n">
        <f aca="false">IF($C$105=1,L101-($C$101-$C$104)/$C$12,$C$101)</f>
        <v>0.0318666666666667</v>
      </c>
      <c r="N101" s="207" t="n">
        <f aca="false">IF($C$105=1,M101-($C$101-$C$104)/$C$12,$C$101)</f>
        <v>0.0234333333333333</v>
      </c>
      <c r="O101" s="207" t="n">
        <f aca="false">IF($C$105=1,N101-($C$101-$C$104)/$C$12,$C$101)</f>
        <v>0.015</v>
      </c>
    </row>
    <row r="102" customFormat="false" ht="15" hidden="false" customHeight="true" outlineLevel="0" collapsed="false">
      <c r="B102" s="91" t="s">
        <v>295</v>
      </c>
      <c r="C102" s="96" t="n">
        <f aca="false">DCF!$L$13</f>
        <v>0.1722</v>
      </c>
      <c r="E102" s="91" t="s">
        <v>16</v>
      </c>
      <c r="F102" s="208" t="n">
        <f aca="false">$C$8*(1+F101)</f>
        <v>15216.41865</v>
      </c>
      <c r="G102" s="208" t="n">
        <f aca="false">F102*(1+G101)</f>
        <v>16471.26597467</v>
      </c>
      <c r="H102" s="208" t="n">
        <f aca="false">G102*(1+H101)</f>
        <v>17690.6886989947</v>
      </c>
      <c r="I102" s="208" t="n">
        <f aca="false">H102*(1+I101)</f>
        <v>18851.1978776488</v>
      </c>
      <c r="J102" s="208" t="n">
        <f aca="false">I102*(1+J101)</f>
        <v>19928.8580229877</v>
      </c>
      <c r="K102" s="208" t="n">
        <f aca="false">J102*(1+K101)</f>
        <v>20900.0577039746</v>
      </c>
      <c r="L102" s="208" t="n">
        <f aca="false">K102*(1+L101)</f>
        <v>21742.3300294448</v>
      </c>
      <c r="M102" s="208" t="n">
        <f aca="false">L102*(1+M101)</f>
        <v>22435.1856130498</v>
      </c>
      <c r="N102" s="208" t="n">
        <f aca="false">M102*(1+N101)</f>
        <v>22960.9167959156</v>
      </c>
      <c r="O102" s="208" t="n">
        <f aca="false">N102*(1+O101)</f>
        <v>23305.3305478543</v>
      </c>
    </row>
    <row r="103" customFormat="false" ht="15" hidden="false" customHeight="true" outlineLevel="0" collapsed="false">
      <c r="B103" s="91" t="s">
        <v>21</v>
      </c>
      <c r="C103" s="95" t="n">
        <f aca="false">$C$16</f>
        <v>0.0858338239797238</v>
      </c>
      <c r="E103" s="91" t="s">
        <v>296</v>
      </c>
      <c r="F103" s="208" t="n">
        <f aca="false">F102*$C$102*(1-IF($C$108=1,$C$15,$C$4))</f>
        <v>2358.240562377</v>
      </c>
      <c r="G103" s="208" t="n">
        <f aca="false">G102*$C$102*(1-IF($C$108=1,$C$15,$C$4))</f>
        <v>2552.71680075436</v>
      </c>
      <c r="H103" s="208" t="n">
        <f aca="false">H102*$C$102*(1-IF($C$108=1,$C$15,$C$4))</f>
        <v>2741.7029345702</v>
      </c>
      <c r="I103" s="208" t="n">
        <f aca="false">I102*$C$102*(1-IF($C$108=1,$C$15,$C$4))</f>
        <v>2921.55864707801</v>
      </c>
      <c r="J103" s="208" t="n">
        <f aca="false">J102*$C$102*(1-IF($C$108=1,$C$15,$C$4))</f>
        <v>3088.57441640264</v>
      </c>
      <c r="K103" s="208" t="n">
        <f aca="false">K102*$C$102*(1-IF($C$108=1,$C$15,$C$4))</f>
        <v>3239.09094296199</v>
      </c>
      <c r="L103" s="208" t="n">
        <f aca="false">L102*$C$102*(1-IF($C$108=1,$C$15,$C$4))</f>
        <v>3369.62630796336</v>
      </c>
      <c r="M103" s="208" t="n">
        <f aca="false">M102*$C$102*(1-IF($C$108=1,$C$15,$C$4))</f>
        <v>3477.00506631046</v>
      </c>
      <c r="N103" s="208" t="n">
        <f aca="false">N102*$C$102*(1-IF($C$108=1,$C$15,$C$4))</f>
        <v>3558.482885031</v>
      </c>
      <c r="O103" s="208" t="n">
        <f aca="false">O102*$C$102*(1-IF($C$108=1,$C$15,$C$4))</f>
        <v>3611.86012830646</v>
      </c>
      <c r="P103" s="208" t="n">
        <f aca="false">O103*(1+$C$104)</f>
        <v>3666.03803023106</v>
      </c>
    </row>
    <row r="104" customFormat="false" ht="15" hidden="false" customHeight="true" outlineLevel="0" collapsed="false">
      <c r="B104" s="91" t="s">
        <v>297</v>
      </c>
      <c r="C104" s="96" t="n">
        <f aca="false">DCF!$L$17</f>
        <v>0.015</v>
      </c>
      <c r="E104" s="91" t="s">
        <v>46</v>
      </c>
      <c r="F104" s="207" t="n">
        <f aca="false">$C$101/(($C$6-$C$5+$C$7)/($C$102*(1-IF($C$108=1,$C$15,$C$4))))</f>
        <v>0.191408722826087</v>
      </c>
      <c r="G104" s="207" t="n">
        <f aca="false">IF($C$107=1,F104-($F104-$C$103)/$C$12,G101/(($C$6-$C$5+$C$7)/($C$102*(1-IF($C$108=1,$C$15,$C$4)))))</f>
        <v>0.173650597826087</v>
      </c>
      <c r="H104" s="207" t="n">
        <f aca="false">IF($C$107=1,G104-($F104-$C$103)/$C$12,H101/(($C$6-$C$5+$C$7)/($C$102*(1-IF($C$108=1,$C$15,$C$4)))))</f>
        <v>0.155892472826087</v>
      </c>
      <c r="I104" s="207" t="n">
        <f aca="false">IF($C$107=1,H104-($F104-$C$103)/$C$12,I101/(($C$6-$C$5+$C$7)/($C$102*(1-IF($C$108=1,$C$15,$C$4)))))</f>
        <v>0.138134347826087</v>
      </c>
      <c r="J104" s="207" t="n">
        <f aca="false">IF($C$107=1,I104-($F104-$C$103)/$C$12,J101/(($C$6-$C$5+$C$7)/($C$102*(1-IF($C$108=1,$C$15,$C$4)))))</f>
        <v>0.120376222826087</v>
      </c>
      <c r="K104" s="207" t="n">
        <f aca="false">IF($C$107=1,J104-($F104-$C$103)/$C$12,K101/(($C$6-$C$5+$C$7)/($C$102*(1-IF($C$108=1,$C$15,$C$4)))))</f>
        <v>0.102618097826087</v>
      </c>
      <c r="L104" s="207" t="n">
        <f aca="false">IF($C$107=1,K104-($F104-$C$103)/$C$12,L101/(($C$6-$C$5+$C$7)/($C$102*(1-IF($C$108=1,$C$15,$C$4)))))</f>
        <v>0.084859972826087</v>
      </c>
      <c r="M104" s="207" t="n">
        <f aca="false">IF($C$107=1,L104-($F104-$C$103)/$C$12,M101/(($C$6-$C$5+$C$7)/($C$102*(1-IF($C$108=1,$C$15,$C$4)))))</f>
        <v>0.0671018478260869</v>
      </c>
      <c r="N104" s="207" t="n">
        <f aca="false">IF($C$107=1,M104-($F104-$C$103)/$C$12,N101/(($C$6-$C$5+$C$7)/($C$102*(1-IF($C$108=1,$C$15,$C$4)))))</f>
        <v>0.0493437228260869</v>
      </c>
      <c r="O104" s="207" t="n">
        <f aca="false">IF($C$107=1,N104-($F104-$C$103)/$C$12,O101/(($C$6-$C$5+$C$7)/($C$102*(1-IF($C$108=1,$C$15,$C$4)))))</f>
        <v>0.0315855978260869</v>
      </c>
      <c r="P104" s="207" t="n">
        <f aca="false">$C$103</f>
        <v>0.0858338239797238</v>
      </c>
    </row>
    <row r="105" customFormat="false" ht="15" hidden="false" customHeight="true" outlineLevel="0" collapsed="false">
      <c r="B105" s="91" t="s">
        <v>298</v>
      </c>
      <c r="C105" s="209" t="n">
        <v>1</v>
      </c>
      <c r="E105" s="91" t="s">
        <v>45</v>
      </c>
      <c r="F105" s="210" t="n">
        <f aca="false">IF($C$107=1,F101/F104,(($C$6-$C$5+$C$7)/($C$102*(1-IF($C$108=1,$C$15,$C$4)))))</f>
        <v>0.474899987095109</v>
      </c>
      <c r="G105" s="210" t="n">
        <f aca="false">IF($C$107=1,G101/G104,(($C$6-$C$5+$C$7)/($C$102*(1-IF($C$108=1,$C$15,$C$4)))))</f>
        <v>0.474899987095109</v>
      </c>
      <c r="H105" s="210" t="n">
        <f aca="false">IF($C$107=1,H101/H104,(($C$6-$C$5+$C$7)/($C$102*(1-IF($C$108=1,$C$15,$C$4)))))</f>
        <v>0.474899987095109</v>
      </c>
      <c r="I105" s="210" t="n">
        <f aca="false">IF($C$107=1,I101/I104,(($C$6-$C$5+$C$7)/($C$102*(1-IF($C$108=1,$C$15,$C$4)))))</f>
        <v>0.474899987095109</v>
      </c>
      <c r="J105" s="210" t="n">
        <f aca="false">IF($C$107=1,J101/J104,(($C$6-$C$5+$C$7)/($C$102*(1-IF($C$108=1,$C$15,$C$4)))))</f>
        <v>0.474899987095109</v>
      </c>
      <c r="K105" s="210" t="n">
        <f aca="false">IF($C$107=1,K101/K104,(($C$6-$C$5+$C$7)/($C$102*(1-IF($C$108=1,$C$15,$C$4)))))</f>
        <v>0.474899987095109</v>
      </c>
      <c r="L105" s="210" t="n">
        <f aca="false">IF($C$107=1,L101/L104,(($C$6-$C$5+$C$7)/($C$102*(1-IF($C$108=1,$C$15,$C$4)))))</f>
        <v>0.474899987095109</v>
      </c>
      <c r="M105" s="210" t="n">
        <f aca="false">IF($C$107=1,M101/M104,(($C$6-$C$5+$C$7)/($C$102*(1-IF($C$108=1,$C$15,$C$4)))))</f>
        <v>0.474899987095109</v>
      </c>
      <c r="N105" s="210" t="n">
        <f aca="false">IF($C$107=1,N101/N104,(($C$6-$C$5+$C$7)/($C$102*(1-IF($C$108=1,$C$15,$C$4)))))</f>
        <v>0.474899987095109</v>
      </c>
      <c r="O105" s="210" t="n">
        <f aca="false">IF($C$107=1,O101/O104,(($C$6-$C$5+$C$7)/($C$102*(1-IF($C$108=1,$C$15,$C$4)))))</f>
        <v>0.474899987095109</v>
      </c>
      <c r="P105" s="210" t="n">
        <f aca="false">$C$104/P104</f>
        <v>0.174756282599543</v>
      </c>
    </row>
    <row r="106" customFormat="false" ht="15" hidden="false" customHeight="true" outlineLevel="0" collapsed="false">
      <c r="B106" s="91" t="s">
        <v>299</v>
      </c>
      <c r="C106" s="209" t="n">
        <v>1</v>
      </c>
      <c r="E106" s="91" t="s">
        <v>300</v>
      </c>
      <c r="F106" s="208" t="n">
        <f aca="false">F103*F105</f>
        <v>1119.92841264</v>
      </c>
      <c r="G106" s="208" t="n">
        <f aca="false">G103*G105</f>
        <v>1212.28517573571</v>
      </c>
      <c r="H106" s="208" t="n">
        <f aca="false">H103*H105</f>
        <v>1302.03468824601</v>
      </c>
      <c r="I106" s="208" t="n">
        <f aca="false">I103*I105</f>
        <v>1387.44816379495</v>
      </c>
      <c r="J106" s="208" t="n">
        <f aca="false">J103*J105</f>
        <v>1466.7639504919</v>
      </c>
      <c r="K106" s="208" t="n">
        <f aca="false">K103*K105</f>
        <v>1538.24424701253</v>
      </c>
      <c r="L106" s="208" t="n">
        <f aca="false">L103*L105</f>
        <v>1600.23549016714</v>
      </c>
      <c r="M106" s="208" t="n">
        <f aca="false">M103*M105</f>
        <v>1651.22966112047</v>
      </c>
      <c r="N106" s="208" t="n">
        <f aca="false">N103*N105</f>
        <v>1689.92347617939</v>
      </c>
      <c r="O106" s="208" t="n">
        <f aca="false">O103*O105</f>
        <v>1715.27232832208</v>
      </c>
    </row>
    <row r="107" customFormat="false" ht="15" hidden="false" customHeight="true" outlineLevel="0" collapsed="false">
      <c r="B107" s="91" t="s">
        <v>301</v>
      </c>
      <c r="C107" s="209" t="n">
        <v>0</v>
      </c>
      <c r="E107" s="90" t="s">
        <v>47</v>
      </c>
      <c r="F107" s="211" t="n">
        <f aca="false">F103-F106</f>
        <v>1238.312149737</v>
      </c>
      <c r="G107" s="211" t="n">
        <f aca="false">G103-G106</f>
        <v>1340.43162501865</v>
      </c>
      <c r="H107" s="211" t="n">
        <f aca="false">H103-H106</f>
        <v>1439.66824632419</v>
      </c>
      <c r="I107" s="211" t="n">
        <f aca="false">I103-I106</f>
        <v>1534.11048328306</v>
      </c>
      <c r="J107" s="211" t="n">
        <f aca="false">J103-J106</f>
        <v>1621.81046591074</v>
      </c>
      <c r="K107" s="211" t="n">
        <f aca="false">K103-K106</f>
        <v>1700.84669594946</v>
      </c>
      <c r="L107" s="211" t="n">
        <f aca="false">L103-L106</f>
        <v>1769.39081779622</v>
      </c>
      <c r="M107" s="211" t="n">
        <f aca="false">M103-M106</f>
        <v>1825.77540518999</v>
      </c>
      <c r="N107" s="211" t="n">
        <f aca="false">N103-N106</f>
        <v>1868.55940885161</v>
      </c>
      <c r="O107" s="211" t="n">
        <f aca="false">O103-O106</f>
        <v>1896.58779998439</v>
      </c>
      <c r="P107" s="211" t="n">
        <f aca="false">IF($C$106=1,P103*(1-P105),O107*(1+$C$104))</f>
        <v>3025.37485219933</v>
      </c>
    </row>
    <row r="108" customFormat="false" ht="15" hidden="false" customHeight="true" outlineLevel="0" collapsed="false">
      <c r="B108" s="91" t="s">
        <v>302</v>
      </c>
      <c r="C108" s="209" t="n">
        <v>1</v>
      </c>
      <c r="E108" s="91" t="s">
        <v>303</v>
      </c>
      <c r="F108" s="212" t="n">
        <f aca="false">DCF!O$71</f>
        <v>0.0347222222222222</v>
      </c>
      <c r="G108" s="212" t="n">
        <f aca="false">DCF!P$71</f>
        <v>0.569444444444444</v>
      </c>
      <c r="H108" s="212" t="n">
        <f aca="false">DCF!Q$71</f>
        <v>1.56944444444444</v>
      </c>
      <c r="I108" s="212" t="n">
        <f aca="false">DCF!R$71</f>
        <v>2.56944444444444</v>
      </c>
      <c r="J108" s="212" t="n">
        <f aca="false">DCF!S$71</f>
        <v>3.56944444444444</v>
      </c>
      <c r="K108" s="212" t="n">
        <f aca="false">DCF!T$71</f>
        <v>4.56944444444445</v>
      </c>
      <c r="L108" s="212" t="n">
        <f aca="false">DCF!U$71</f>
        <v>5.56944444444445</v>
      </c>
      <c r="M108" s="212" t="n">
        <f aca="false">DCF!V$71</f>
        <v>6.56944444444445</v>
      </c>
      <c r="N108" s="212" t="n">
        <f aca="false">DCF!W$71</f>
        <v>7.56944444444445</v>
      </c>
      <c r="O108" s="212" t="n">
        <f aca="false">DCF!X$71</f>
        <v>8.56944444444445</v>
      </c>
    </row>
    <row r="109" customFormat="false" ht="15" hidden="false" customHeight="true" outlineLevel="0" collapsed="false">
      <c r="B109" s="91" t="s">
        <v>113</v>
      </c>
      <c r="C109" s="97" t="n">
        <f aca="false">SUM(F109:O109)</f>
        <v>11516.4871200723</v>
      </c>
      <c r="E109" s="91" t="s">
        <v>304</v>
      </c>
      <c r="F109" s="208" t="n">
        <f aca="false">F107*IF($C$108=1,1,DCF!$O$70)/(1+$C$103)^F108</f>
        <v>1234.77648581277</v>
      </c>
      <c r="G109" s="208" t="n">
        <f aca="false">G107/(1+$C$103)^G108</f>
        <v>1279.02612587499</v>
      </c>
      <c r="H109" s="208" t="n">
        <f aca="false">H107/(1+$C$103)^H108</f>
        <v>1265.12608380451</v>
      </c>
      <c r="I109" s="208" t="n">
        <f aca="false">I107/(1+$C$103)^I108</f>
        <v>1241.55126238474</v>
      </c>
      <c r="J109" s="208" t="n">
        <f aca="false">J107/(1+$C$103)^J108</f>
        <v>1208.77300058723</v>
      </c>
      <c r="K109" s="208" t="n">
        <f aca="false">K107/(1+$C$103)^K108</f>
        <v>1167.47195579427</v>
      </c>
      <c r="L109" s="208" t="n">
        <f aca="false">L107/(1+$C$103)^L108</f>
        <v>1118.51468317813</v>
      </c>
      <c r="M109" s="208" t="n">
        <f aca="false">M107/(1+$C$103)^M108</f>
        <v>1062.92325055651</v>
      </c>
      <c r="N109" s="208" t="n">
        <f aca="false">N107/(1+$C$103)^N108</f>
        <v>1001.8393803644</v>
      </c>
      <c r="O109" s="208" t="n">
        <f aca="false">O107/(1+$C$103)^O108</f>
        <v>936.484891714753</v>
      </c>
    </row>
    <row r="110" customFormat="false" ht="15" hidden="false" customHeight="true" outlineLevel="0" collapsed="false">
      <c r="B110" s="91" t="s">
        <v>111</v>
      </c>
      <c r="C110" s="97" t="n">
        <f aca="false">P107/($C$103-$C$104)</f>
        <v>42710.8785354486</v>
      </c>
    </row>
    <row r="111" customFormat="false" ht="15" hidden="false" customHeight="true" outlineLevel="0" collapsed="false">
      <c r="B111" s="91" t="s">
        <v>112</v>
      </c>
      <c r="C111" s="97" t="n">
        <f aca="false">C110/(1+$C$103)^O108</f>
        <v>21089.5021367536</v>
      </c>
    </row>
    <row r="112" customFormat="false" ht="15" hidden="false" customHeight="true" outlineLevel="0" collapsed="false">
      <c r="B112" s="91" t="s">
        <v>114</v>
      </c>
      <c r="C112" s="97" t="n">
        <f aca="false">C109+C111</f>
        <v>32605.9892568259</v>
      </c>
    </row>
    <row r="113" customFormat="false" ht="15" hidden="false" customHeight="true" outlineLevel="0" collapsed="false">
      <c r="B113" s="91" t="s">
        <v>305</v>
      </c>
      <c r="C113" s="97" t="n">
        <f aca="false">C112+$C$9-IF($C$108=1,'Sources &amp; Checks'!$B$7,$C$10)</f>
        <v>33505.9892568259</v>
      </c>
    </row>
    <row r="114" customFormat="false" ht="15" hidden="false" customHeight="true" outlineLevel="0" collapsed="false">
      <c r="B114" s="205" t="s">
        <v>117</v>
      </c>
      <c r="C114" s="213" t="n">
        <f aca="false">C113/$C$11</f>
        <v>31.4079389359073</v>
      </c>
    </row>
    <row r="115" customFormat="false" ht="15" hidden="false" customHeight="true" outlineLevel="0" collapsed="false">
      <c r="B115" s="91" t="s">
        <v>110</v>
      </c>
      <c r="C115" s="93" t="n">
        <f aca="false">1-P107/P103</f>
        <v>0.174756282599543</v>
      </c>
    </row>
    <row r="116" customFormat="false" ht="15" hidden="false" customHeight="true" outlineLevel="0" collapsed="false">
      <c r="B116" s="91" t="s">
        <v>306</v>
      </c>
      <c r="C116" s="93" t="n">
        <f aca="false">C111/C112</f>
        <v>0.646798413955149</v>
      </c>
    </row>
    <row r="119" customFormat="false" ht="15" hidden="false" customHeight="true" outlineLevel="0" collapsed="false">
      <c r="B119" s="86" t="s">
        <v>311</v>
      </c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</row>
    <row r="120" customFormat="false" ht="15" hidden="false" customHeight="true" outlineLevel="0" collapsed="false">
      <c r="B120" s="205" t="s">
        <v>291</v>
      </c>
      <c r="C120" s="205" t="s">
        <v>199</v>
      </c>
      <c r="E120" s="205" t="s">
        <v>292</v>
      </c>
      <c r="F120" s="206" t="str">
        <f aca="false">"FY"&amp;RIGHT(DCF!O$38,2)</f>
        <v>FY26</v>
      </c>
      <c r="G120" s="206" t="str">
        <f aca="false">"FY"&amp;RIGHT(DCF!P$38,2)</f>
        <v>FY27</v>
      </c>
      <c r="H120" s="206" t="str">
        <f aca="false">"FY"&amp;RIGHT(DCF!Q$38,2)</f>
        <v>FY28</v>
      </c>
      <c r="I120" s="206" t="str">
        <f aca="false">"FY"&amp;RIGHT(DCF!R$38,2)</f>
        <v>FY29</v>
      </c>
      <c r="J120" s="206" t="str">
        <f aca="false">"FY"&amp;RIGHT(DCF!S$38,2)</f>
        <v>FY30</v>
      </c>
      <c r="K120" s="206" t="str">
        <f aca="false">"FY"&amp;RIGHT(DCF!T$38,2)</f>
        <v>FY31</v>
      </c>
      <c r="L120" s="206" t="str">
        <f aca="false">"FY"&amp;RIGHT(DCF!U$38,2)</f>
        <v>FY32</v>
      </c>
      <c r="M120" s="206" t="str">
        <f aca="false">"FY"&amp;RIGHT(DCF!V$38,2)</f>
        <v>FY33</v>
      </c>
      <c r="N120" s="206" t="str">
        <f aca="false">"FY"&amp;RIGHT(DCF!W$38,2)</f>
        <v>FY34</v>
      </c>
      <c r="O120" s="206" t="str">
        <f aca="false">"FY"&amp;RIGHT(DCF!X$38,2)</f>
        <v>FY35</v>
      </c>
      <c r="P120" s="206" t="s">
        <v>40</v>
      </c>
    </row>
    <row r="121" customFormat="false" ht="15" hidden="false" customHeight="true" outlineLevel="0" collapsed="false">
      <c r="B121" s="91" t="s">
        <v>293</v>
      </c>
      <c r="C121" s="96" t="n">
        <f aca="false">DCF!$L$11</f>
        <v>0.0909</v>
      </c>
      <c r="E121" s="91" t="s">
        <v>294</v>
      </c>
      <c r="F121" s="207" t="n">
        <f aca="false">$C$121</f>
        <v>0.0909</v>
      </c>
      <c r="G121" s="207" t="n">
        <f aca="false">IF($C$125=1,F121-($C$121-$C$124)/$C$12,$C$121)</f>
        <v>0.0824666666666667</v>
      </c>
      <c r="H121" s="207" t="n">
        <f aca="false">IF($C$125=1,G121-($C$121-$C$124)/$C$12,$C$121)</f>
        <v>0.0740333333333333</v>
      </c>
      <c r="I121" s="207" t="n">
        <f aca="false">IF($C$125=1,H121-($C$121-$C$124)/$C$12,$C$121)</f>
        <v>0.0656</v>
      </c>
      <c r="J121" s="207" t="n">
        <f aca="false">IF($C$125=1,I121-($C$121-$C$124)/$C$12,$C$121)</f>
        <v>0.0571666666666667</v>
      </c>
      <c r="K121" s="207" t="n">
        <f aca="false">IF($C$125=1,J121-($C$121-$C$124)/$C$12,$C$121)</f>
        <v>0.0487333333333333</v>
      </c>
      <c r="L121" s="207" t="n">
        <f aca="false">IF($C$125=1,K121-($C$121-$C$124)/$C$12,$C$121)</f>
        <v>0.0403</v>
      </c>
      <c r="M121" s="207" t="n">
        <f aca="false">IF($C$125=1,L121-($C$121-$C$124)/$C$12,$C$121)</f>
        <v>0.0318666666666667</v>
      </c>
      <c r="N121" s="207" t="n">
        <f aca="false">IF($C$125=1,M121-($C$121-$C$124)/$C$12,$C$121)</f>
        <v>0.0234333333333333</v>
      </c>
      <c r="O121" s="207" t="n">
        <f aca="false">IF($C$125=1,N121-($C$121-$C$124)/$C$12,$C$121)</f>
        <v>0.015</v>
      </c>
    </row>
    <row r="122" customFormat="false" ht="15" hidden="false" customHeight="true" outlineLevel="0" collapsed="false">
      <c r="B122" s="91" t="s">
        <v>295</v>
      </c>
      <c r="C122" s="96" t="n">
        <f aca="false">DCF!$L$13</f>
        <v>0.1722</v>
      </c>
      <c r="E122" s="91" t="s">
        <v>16</v>
      </c>
      <c r="F122" s="208" t="n">
        <f aca="false">$C$8*(1+F121)</f>
        <v>15216.41865</v>
      </c>
      <c r="G122" s="208" t="n">
        <f aca="false">F122*(1+G121)</f>
        <v>16471.26597467</v>
      </c>
      <c r="H122" s="208" t="n">
        <f aca="false">G122*(1+H121)</f>
        <v>17690.6886989947</v>
      </c>
      <c r="I122" s="208" t="n">
        <f aca="false">H122*(1+I121)</f>
        <v>18851.1978776488</v>
      </c>
      <c r="J122" s="208" t="n">
        <f aca="false">I122*(1+J121)</f>
        <v>19928.8580229877</v>
      </c>
      <c r="K122" s="208" t="n">
        <f aca="false">J122*(1+K121)</f>
        <v>20900.0577039746</v>
      </c>
      <c r="L122" s="208" t="n">
        <f aca="false">K122*(1+L121)</f>
        <v>21742.3300294448</v>
      </c>
      <c r="M122" s="208" t="n">
        <f aca="false">L122*(1+M121)</f>
        <v>22435.1856130498</v>
      </c>
      <c r="N122" s="208" t="n">
        <f aca="false">M122*(1+N121)</f>
        <v>22960.9167959156</v>
      </c>
      <c r="O122" s="208" t="n">
        <f aca="false">N122*(1+O121)</f>
        <v>23305.3305478543</v>
      </c>
    </row>
    <row r="123" customFormat="false" ht="15" hidden="false" customHeight="true" outlineLevel="0" collapsed="false">
      <c r="B123" s="91" t="s">
        <v>21</v>
      </c>
      <c r="C123" s="95" t="n">
        <f aca="false">$C$16</f>
        <v>0.0858338239797238</v>
      </c>
      <c r="E123" s="91" t="s">
        <v>296</v>
      </c>
      <c r="F123" s="208" t="n">
        <f aca="false">F122*$C$122*(1-IF($C$128=1,$C$15,$C$4))</f>
        <v>2358.240562377</v>
      </c>
      <c r="G123" s="208" t="n">
        <f aca="false">G122*$C$122*(1-IF($C$128=1,$C$15,$C$4))</f>
        <v>2552.71680075436</v>
      </c>
      <c r="H123" s="208" t="n">
        <f aca="false">H122*$C$122*(1-IF($C$128=1,$C$15,$C$4))</f>
        <v>2741.7029345702</v>
      </c>
      <c r="I123" s="208" t="n">
        <f aca="false">I122*$C$122*(1-IF($C$128=1,$C$15,$C$4))</f>
        <v>2921.55864707801</v>
      </c>
      <c r="J123" s="208" t="n">
        <f aca="false">J122*$C$122*(1-IF($C$128=1,$C$15,$C$4))</f>
        <v>3088.57441640264</v>
      </c>
      <c r="K123" s="208" t="n">
        <f aca="false">K122*$C$122*(1-IF($C$128=1,$C$15,$C$4))</f>
        <v>3239.09094296199</v>
      </c>
      <c r="L123" s="208" t="n">
        <f aca="false">L122*$C$122*(1-IF($C$128=1,$C$15,$C$4))</f>
        <v>3369.62630796336</v>
      </c>
      <c r="M123" s="208" t="n">
        <f aca="false">M122*$C$122*(1-IF($C$128=1,$C$15,$C$4))</f>
        <v>3477.00506631046</v>
      </c>
      <c r="N123" s="208" t="n">
        <f aca="false">N122*$C$122*(1-IF($C$128=1,$C$15,$C$4))</f>
        <v>3558.482885031</v>
      </c>
      <c r="O123" s="208" t="n">
        <f aca="false">O122*$C$122*(1-IF($C$128=1,$C$15,$C$4))</f>
        <v>3611.86012830646</v>
      </c>
      <c r="P123" s="208" t="n">
        <f aca="false">O123*(1+$C$124)</f>
        <v>3666.03803023106</v>
      </c>
    </row>
    <row r="124" customFormat="false" ht="15" hidden="false" customHeight="true" outlineLevel="0" collapsed="false">
      <c r="B124" s="91" t="s">
        <v>297</v>
      </c>
      <c r="C124" s="96" t="n">
        <f aca="false">DCF!$L$17</f>
        <v>0.015</v>
      </c>
      <c r="E124" s="91" t="s">
        <v>46</v>
      </c>
      <c r="F124" s="207" t="n">
        <f aca="false">$C$121/(($C$6-$C$5+$C$7)/($C$122*(1-IF($C$128=1,$C$15,$C$4))))</f>
        <v>0.191408722826087</v>
      </c>
      <c r="G124" s="207" t="n">
        <f aca="false">IF($C$127=1,F124-($F124-$C$123)/$C$12,G121/(($C$6-$C$5+$C$7)/($C$122*(1-IF($C$128=1,$C$15,$C$4)))))</f>
        <v>0.179678178509824</v>
      </c>
      <c r="H124" s="207" t="n">
        <f aca="false">IF($C$127=1,G124-($F124-$C$123)/$C$12,H121/(($C$6-$C$5+$C$7)/($C$122*(1-IF($C$128=1,$C$15,$C$4)))))</f>
        <v>0.167947634193562</v>
      </c>
      <c r="I124" s="207" t="n">
        <f aca="false">IF($C$127=1,H124-($F124-$C$123)/$C$12,I121/(($C$6-$C$5+$C$7)/($C$122*(1-IF($C$128=1,$C$15,$C$4)))))</f>
        <v>0.156217089877299</v>
      </c>
      <c r="J124" s="207" t="n">
        <f aca="false">IF($C$127=1,I124-($F124-$C$123)/$C$12,J121/(($C$6-$C$5+$C$7)/($C$122*(1-IF($C$128=1,$C$15,$C$4)))))</f>
        <v>0.144486545561037</v>
      </c>
      <c r="K124" s="207" t="n">
        <f aca="false">IF($C$127=1,J124-($F124-$C$123)/$C$12,K121/(($C$6-$C$5+$C$7)/($C$122*(1-IF($C$128=1,$C$15,$C$4)))))</f>
        <v>0.132756001244774</v>
      </c>
      <c r="L124" s="207" t="n">
        <f aca="false">IF($C$127=1,K124-($F124-$C$123)/$C$12,L121/(($C$6-$C$5+$C$7)/($C$122*(1-IF($C$128=1,$C$15,$C$4)))))</f>
        <v>0.121025456928512</v>
      </c>
      <c r="M124" s="207" t="n">
        <f aca="false">IF($C$127=1,L124-($F124-$C$123)/$C$12,M121/(($C$6-$C$5+$C$7)/($C$122*(1-IF($C$128=1,$C$15,$C$4)))))</f>
        <v>0.109294912612249</v>
      </c>
      <c r="N124" s="207" t="n">
        <f aca="false">IF($C$127=1,M124-($F124-$C$123)/$C$12,N121/(($C$6-$C$5+$C$7)/($C$122*(1-IF($C$128=1,$C$15,$C$4)))))</f>
        <v>0.0975643682959863</v>
      </c>
      <c r="O124" s="207" t="n">
        <f aca="false">IF($C$127=1,N124-($F124-$C$123)/$C$12,O121/(($C$6-$C$5+$C$7)/($C$122*(1-IF($C$128=1,$C$15,$C$4)))))</f>
        <v>0.0858338239797238</v>
      </c>
      <c r="P124" s="207" t="n">
        <f aca="false">$C$123</f>
        <v>0.0858338239797238</v>
      </c>
    </row>
    <row r="125" customFormat="false" ht="15" hidden="false" customHeight="true" outlineLevel="0" collapsed="false">
      <c r="B125" s="91" t="s">
        <v>298</v>
      </c>
      <c r="C125" s="209" t="n">
        <v>1</v>
      </c>
      <c r="E125" s="91" t="s">
        <v>45</v>
      </c>
      <c r="F125" s="210" t="n">
        <f aca="false">IF($C$127=1,F121/F124,(($C$6-$C$5+$C$7)/($C$122*(1-IF($C$128=1,$C$15,$C$4)))))</f>
        <v>0.474899987095109</v>
      </c>
      <c r="G125" s="210" t="n">
        <f aca="false">IF($C$127=1,G121/G124,(($C$6-$C$5+$C$7)/($C$122*(1-IF($C$128=1,$C$15,$C$4)))))</f>
        <v>0.458968737053162</v>
      </c>
      <c r="H125" s="210" t="n">
        <f aca="false">IF($C$127=1,H121/H124,(($C$6-$C$5+$C$7)/($C$122*(1-IF($C$128=1,$C$15,$C$4)))))</f>
        <v>0.440812004818174</v>
      </c>
      <c r="I125" s="210" t="n">
        <f aca="false">IF($C$127=1,I121/I124,(($C$6-$C$5+$C$7)/($C$122*(1-IF($C$128=1,$C$15,$C$4)))))</f>
        <v>0.419928447339056</v>
      </c>
      <c r="J125" s="210" t="n">
        <f aca="false">IF($C$127=1,J121/J124,(($C$6-$C$5+$C$7)/($C$122*(1-IF($C$128=1,$C$15,$C$4)))))</f>
        <v>0.395653909813473</v>
      </c>
      <c r="K125" s="210" t="n">
        <f aca="false">IF($C$127=1,K121/K124,(($C$6-$C$5+$C$7)/($C$122*(1-IF($C$128=1,$C$15,$C$4)))))</f>
        <v>0.3670894940823</v>
      </c>
      <c r="L125" s="210" t="n">
        <f aca="false">IF($C$127=1,L121/L124,(($C$6-$C$5+$C$7)/($C$122*(1-IF($C$128=1,$C$15,$C$4)))))</f>
        <v>0.332987794657159</v>
      </c>
      <c r="M125" s="210" t="n">
        <f aca="false">IF($C$127=1,M121/M124,(($C$6-$C$5+$C$7)/($C$122*(1-IF($C$128=1,$C$15,$C$4)))))</f>
        <v>0.291565873516196</v>
      </c>
      <c r="N125" s="210" t="n">
        <f aca="false">IF($C$127=1,N121/N124,(($C$6-$C$5+$C$7)/($C$122*(1-IF($C$128=1,$C$15,$C$4)))))</f>
        <v>0.24018331428378</v>
      </c>
      <c r="O125" s="210" t="n">
        <f aca="false">IF($C$127=1,O121/O124,(($C$6-$C$5+$C$7)/($C$122*(1-IF($C$128=1,$C$15,$C$4)))))</f>
        <v>0.174756282599542</v>
      </c>
      <c r="P125" s="210" t="n">
        <f aca="false">$C$124/P124</f>
        <v>0.174756282599543</v>
      </c>
    </row>
    <row r="126" customFormat="false" ht="15" hidden="false" customHeight="true" outlineLevel="0" collapsed="false">
      <c r="B126" s="91" t="s">
        <v>299</v>
      </c>
      <c r="C126" s="209" t="n">
        <v>1</v>
      </c>
      <c r="E126" s="91" t="s">
        <v>300</v>
      </c>
      <c r="F126" s="208" t="n">
        <f aca="false">F123*F125</f>
        <v>1119.92841264</v>
      </c>
      <c r="G126" s="208" t="n">
        <f aca="false">G123*G125</f>
        <v>1171.61720609661</v>
      </c>
      <c r="H126" s="208" t="n">
        <f aca="false">H123*H125</f>
        <v>1208.57556720376</v>
      </c>
      <c r="I126" s="208" t="n">
        <f aca="false">I123*I125</f>
        <v>1226.84558647746</v>
      </c>
      <c r="J126" s="208" t="n">
        <f aca="false">J123*J125</f>
        <v>1222.00654359957</v>
      </c>
      <c r="K126" s="208" t="n">
        <f aca="false">K123*K125</f>
        <v>1189.03625553848</v>
      </c>
      <c r="L126" s="208" t="n">
        <f aca="false">L123*L125</f>
        <v>1122.04443310746</v>
      </c>
      <c r="M126" s="208" t="n">
        <f aca="false">M123*M125</f>
        <v>1013.77601937905</v>
      </c>
      <c r="N126" s="208" t="n">
        <f aca="false">N123*N125</f>
        <v>854.688213148852</v>
      </c>
      <c r="O126" s="208" t="n">
        <f aca="false">O123*O125</f>
        <v>631.195249292344</v>
      </c>
    </row>
    <row r="127" customFormat="false" ht="15" hidden="false" customHeight="true" outlineLevel="0" collapsed="false">
      <c r="B127" s="91" t="s">
        <v>301</v>
      </c>
      <c r="C127" s="209" t="n">
        <v>1</v>
      </c>
      <c r="E127" s="90" t="s">
        <v>47</v>
      </c>
      <c r="F127" s="211" t="n">
        <f aca="false">F123-F126</f>
        <v>1238.312149737</v>
      </c>
      <c r="G127" s="211" t="n">
        <f aca="false">G123-G126</f>
        <v>1381.09959465774</v>
      </c>
      <c r="H127" s="211" t="n">
        <f aca="false">H123-H126</f>
        <v>1533.12736736644</v>
      </c>
      <c r="I127" s="211" t="n">
        <f aca="false">I123-I126</f>
        <v>1694.71306060055</v>
      </c>
      <c r="J127" s="211" t="n">
        <f aca="false">J123-J126</f>
        <v>1866.56787280307</v>
      </c>
      <c r="K127" s="211" t="n">
        <f aca="false">K123-K126</f>
        <v>2050.05468742351</v>
      </c>
      <c r="L127" s="211" t="n">
        <f aca="false">L123-L126</f>
        <v>2247.5818748559</v>
      </c>
      <c r="M127" s="211" t="n">
        <f aca="false">M123-M126</f>
        <v>2463.22904693141</v>
      </c>
      <c r="N127" s="211" t="n">
        <f aca="false">N123-N126</f>
        <v>2703.79467188215</v>
      </c>
      <c r="O127" s="211" t="n">
        <f aca="false">O123-O126</f>
        <v>2980.66487901412</v>
      </c>
      <c r="P127" s="211" t="n">
        <f aca="false">IF($C$126=1,P123*(1-P125),O127*(1+$C$124))</f>
        <v>3025.37485219933</v>
      </c>
    </row>
    <row r="128" customFormat="false" ht="15" hidden="false" customHeight="true" outlineLevel="0" collapsed="false">
      <c r="B128" s="91" t="s">
        <v>302</v>
      </c>
      <c r="C128" s="209" t="n">
        <v>1</v>
      </c>
      <c r="E128" s="91" t="s">
        <v>303</v>
      </c>
      <c r="F128" s="212" t="n">
        <f aca="false">DCF!O$71</f>
        <v>0.0347222222222222</v>
      </c>
      <c r="G128" s="212" t="n">
        <f aca="false">DCF!P$71</f>
        <v>0.569444444444444</v>
      </c>
      <c r="H128" s="212" t="n">
        <f aca="false">DCF!Q$71</f>
        <v>1.56944444444444</v>
      </c>
      <c r="I128" s="212" t="n">
        <f aca="false">DCF!R$71</f>
        <v>2.56944444444444</v>
      </c>
      <c r="J128" s="212" t="n">
        <f aca="false">DCF!S$71</f>
        <v>3.56944444444444</v>
      </c>
      <c r="K128" s="212" t="n">
        <f aca="false">DCF!T$71</f>
        <v>4.56944444444445</v>
      </c>
      <c r="L128" s="212" t="n">
        <f aca="false">DCF!U$71</f>
        <v>5.56944444444445</v>
      </c>
      <c r="M128" s="212" t="n">
        <f aca="false">DCF!V$71</f>
        <v>6.56944444444445</v>
      </c>
      <c r="N128" s="212" t="n">
        <f aca="false">DCF!W$71</f>
        <v>7.56944444444445</v>
      </c>
      <c r="O128" s="212" t="n">
        <f aca="false">DCF!X$71</f>
        <v>8.56944444444445</v>
      </c>
    </row>
    <row r="129" customFormat="false" ht="15" hidden="false" customHeight="true" outlineLevel="0" collapsed="false">
      <c r="B129" s="91" t="s">
        <v>113</v>
      </c>
      <c r="C129" s="97" t="n">
        <f aca="false">SUM(F129:O129)</f>
        <v>13846.0199602466</v>
      </c>
      <c r="E129" s="91" t="s">
        <v>304</v>
      </c>
      <c r="F129" s="208" t="n">
        <f aca="false">F127*IF($C$128=1,1,DCF!$O$70)/(1+$C$123)^F128</f>
        <v>1234.77648581277</v>
      </c>
      <c r="G129" s="208" t="n">
        <f aca="false">G127/(1+$C$123)^G128</f>
        <v>1317.83108592208</v>
      </c>
      <c r="H129" s="208" t="n">
        <f aca="false">H127/(1+$C$123)^H128</f>
        <v>1347.25442976329</v>
      </c>
      <c r="I129" s="208" t="n">
        <f aca="false">I127/(1+$C$123)^I128</f>
        <v>1371.52647263431</v>
      </c>
      <c r="J129" s="208" t="n">
        <f aca="false">J127/(1+$C$123)^J128</f>
        <v>1391.19637949855</v>
      </c>
      <c r="K129" s="208" t="n">
        <f aca="false">K127/(1+$C$123)^K128</f>
        <v>1407.17053518776</v>
      </c>
      <c r="L129" s="208" t="n">
        <f aca="false">L127/(1+$C$123)^L128</f>
        <v>1420.8016134064</v>
      </c>
      <c r="M129" s="208" t="n">
        <f aca="false">M127/(1+$C$123)^M128</f>
        <v>1434.03368124411</v>
      </c>
      <c r="N129" s="208" t="n">
        <f aca="false">N127/(1+$C$123)^N128</f>
        <v>1449.65579680217</v>
      </c>
      <c r="O129" s="208" t="n">
        <f aca="false">O127/(1+$C$123)^O128</f>
        <v>1471.77347997519</v>
      </c>
    </row>
    <row r="130" customFormat="false" ht="15" hidden="false" customHeight="true" outlineLevel="0" collapsed="false">
      <c r="B130" s="91" t="s">
        <v>111</v>
      </c>
      <c r="C130" s="97" t="n">
        <f aca="false">P127/($C$123-$C$124)</f>
        <v>42710.8785354486</v>
      </c>
    </row>
    <row r="131" customFormat="false" ht="15" hidden="false" customHeight="true" outlineLevel="0" collapsed="false">
      <c r="B131" s="91" t="s">
        <v>112</v>
      </c>
      <c r="C131" s="97" t="n">
        <f aca="false">C130/(1+$C$123)^O128</f>
        <v>21089.5021367536</v>
      </c>
    </row>
    <row r="132" customFormat="false" ht="15" hidden="false" customHeight="true" outlineLevel="0" collapsed="false">
      <c r="B132" s="91" t="s">
        <v>114</v>
      </c>
      <c r="C132" s="97" t="n">
        <f aca="false">C129+C131</f>
        <v>34935.5220970003</v>
      </c>
    </row>
    <row r="133" customFormat="false" ht="15" hidden="false" customHeight="true" outlineLevel="0" collapsed="false">
      <c r="B133" s="91" t="s">
        <v>305</v>
      </c>
      <c r="C133" s="97" t="n">
        <f aca="false">C132+$C$9-IF($C$128=1,'Sources &amp; Checks'!$B$7,$C$10)</f>
        <v>35835.5220970003</v>
      </c>
    </row>
    <row r="134" customFormat="false" ht="15" hidden="false" customHeight="true" outlineLevel="0" collapsed="false">
      <c r="B134" s="205" t="s">
        <v>117</v>
      </c>
      <c r="C134" s="213" t="n">
        <f aca="false">C133/$C$11</f>
        <v>33.5916030155608</v>
      </c>
    </row>
    <row r="135" customFormat="false" ht="15" hidden="false" customHeight="true" outlineLevel="0" collapsed="false">
      <c r="B135" s="91" t="s">
        <v>110</v>
      </c>
      <c r="C135" s="93" t="n">
        <f aca="false">1-P127/P123</f>
        <v>0.174756282599543</v>
      </c>
    </row>
    <row r="136" customFormat="false" ht="15" hidden="false" customHeight="true" outlineLevel="0" collapsed="false">
      <c r="B136" s="91" t="s">
        <v>306</v>
      </c>
      <c r="C136" s="93" t="n">
        <f aca="false">C131/C132</f>
        <v>0.603669299064647</v>
      </c>
    </row>
    <row r="139" customFormat="false" ht="15" hidden="false" customHeight="true" outlineLevel="0" collapsed="false">
      <c r="B139" s="86" t="s">
        <v>312</v>
      </c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</row>
    <row r="140" customFormat="false" ht="15" hidden="false" customHeight="true" outlineLevel="0" collapsed="false">
      <c r="B140" s="205" t="s">
        <v>291</v>
      </c>
      <c r="C140" s="205" t="s">
        <v>199</v>
      </c>
      <c r="E140" s="205" t="s">
        <v>292</v>
      </c>
      <c r="F140" s="206" t="str">
        <f aca="false">"FY"&amp;RIGHT(DCF!O$38,2)</f>
        <v>FY26</v>
      </c>
      <c r="G140" s="206" t="str">
        <f aca="false">"FY"&amp;RIGHT(DCF!P$38,2)</f>
        <v>FY27</v>
      </c>
      <c r="H140" s="206" t="str">
        <f aca="false">"FY"&amp;RIGHT(DCF!Q$38,2)</f>
        <v>FY28</v>
      </c>
      <c r="I140" s="206" t="str">
        <f aca="false">"FY"&amp;RIGHT(DCF!R$38,2)</f>
        <v>FY29</v>
      </c>
      <c r="J140" s="206" t="str">
        <f aca="false">"FY"&amp;RIGHT(DCF!S$38,2)</f>
        <v>FY30</v>
      </c>
      <c r="K140" s="206" t="str">
        <f aca="false">"FY"&amp;RIGHT(DCF!T$38,2)</f>
        <v>FY31</v>
      </c>
      <c r="L140" s="206" t="str">
        <f aca="false">"FY"&amp;RIGHT(DCF!U$38,2)</f>
        <v>FY32</v>
      </c>
      <c r="M140" s="206" t="str">
        <f aca="false">"FY"&amp;RIGHT(DCF!V$38,2)</f>
        <v>FY33</v>
      </c>
      <c r="N140" s="206" t="str">
        <f aca="false">"FY"&amp;RIGHT(DCF!W$38,2)</f>
        <v>FY34</v>
      </c>
      <c r="O140" s="206" t="str">
        <f aca="false">"FY"&amp;RIGHT(DCF!X$38,2)</f>
        <v>FY35</v>
      </c>
      <c r="P140" s="206" t="s">
        <v>40</v>
      </c>
    </row>
    <row r="141" customFormat="false" ht="15" hidden="false" customHeight="true" outlineLevel="0" collapsed="false">
      <c r="B141" s="91" t="s">
        <v>293</v>
      </c>
      <c r="C141" s="96" t="n">
        <f aca="false">DCF!$L$11</f>
        <v>0.0909</v>
      </c>
      <c r="E141" s="91" t="s">
        <v>294</v>
      </c>
      <c r="F141" s="207" t="n">
        <f aca="false">$C$141</f>
        <v>0.0909</v>
      </c>
      <c r="G141" s="207" t="n">
        <f aca="false">IF($C$145=1,F141-($C$141-$C$144)/$C$12,$C$141)</f>
        <v>0.0824666666666667</v>
      </c>
      <c r="H141" s="207" t="n">
        <f aca="false">IF($C$145=1,G141-($C$141-$C$144)/$C$12,$C$141)</f>
        <v>0.0740333333333333</v>
      </c>
      <c r="I141" s="207" t="n">
        <f aca="false">IF($C$145=1,H141-($C$141-$C$144)/$C$12,$C$141)</f>
        <v>0.0656</v>
      </c>
      <c r="J141" s="207" t="n">
        <f aca="false">IF($C$145=1,I141-($C$141-$C$144)/$C$12,$C$141)</f>
        <v>0.0571666666666667</v>
      </c>
      <c r="K141" s="207" t="n">
        <f aca="false">IF($C$145=1,J141-($C$141-$C$144)/$C$12,$C$141)</f>
        <v>0.0487333333333333</v>
      </c>
      <c r="L141" s="207" t="n">
        <f aca="false">IF($C$145=1,K141-($C$141-$C$144)/$C$12,$C$141)</f>
        <v>0.0403</v>
      </c>
      <c r="M141" s="207" t="n">
        <f aca="false">IF($C$145=1,L141-($C$141-$C$144)/$C$12,$C$141)</f>
        <v>0.0318666666666667</v>
      </c>
      <c r="N141" s="207" t="n">
        <f aca="false">IF($C$145=1,M141-($C$141-$C$144)/$C$12,$C$141)</f>
        <v>0.0234333333333333</v>
      </c>
      <c r="O141" s="207" t="n">
        <f aca="false">IF($C$145=1,N141-($C$141-$C$144)/$C$12,$C$141)</f>
        <v>0.015</v>
      </c>
    </row>
    <row r="142" customFormat="false" ht="15" hidden="false" customHeight="true" outlineLevel="0" collapsed="false">
      <c r="B142" s="91" t="s">
        <v>295</v>
      </c>
      <c r="C142" s="96" t="n">
        <f aca="false">DCF!$L$13</f>
        <v>0.1722</v>
      </c>
      <c r="E142" s="91" t="s">
        <v>16</v>
      </c>
      <c r="F142" s="208" t="n">
        <f aca="false">$C$8*(1+F141)</f>
        <v>15216.41865</v>
      </c>
      <c r="G142" s="208" t="n">
        <f aca="false">F142*(1+G141)</f>
        <v>16471.26597467</v>
      </c>
      <c r="H142" s="208" t="n">
        <f aca="false">G142*(1+H141)</f>
        <v>17690.6886989947</v>
      </c>
      <c r="I142" s="208" t="n">
        <f aca="false">H142*(1+I141)</f>
        <v>18851.1978776488</v>
      </c>
      <c r="J142" s="208" t="n">
        <f aca="false">I142*(1+J141)</f>
        <v>19928.8580229877</v>
      </c>
      <c r="K142" s="208" t="n">
        <f aca="false">J142*(1+K141)</f>
        <v>20900.0577039746</v>
      </c>
      <c r="L142" s="208" t="n">
        <f aca="false">K142*(1+L141)</f>
        <v>21742.3300294448</v>
      </c>
      <c r="M142" s="208" t="n">
        <f aca="false">L142*(1+M141)</f>
        <v>22435.1856130498</v>
      </c>
      <c r="N142" s="208" t="n">
        <f aca="false">M142*(1+N141)</f>
        <v>22960.9167959156</v>
      </c>
      <c r="O142" s="208" t="n">
        <f aca="false">N142*(1+O141)</f>
        <v>23305.3305478543</v>
      </c>
    </row>
    <row r="143" customFormat="false" ht="15" hidden="false" customHeight="true" outlineLevel="0" collapsed="false">
      <c r="B143" s="91" t="s">
        <v>21</v>
      </c>
      <c r="C143" s="95" t="n">
        <f aca="false">WACC!$F$22</f>
        <v>0.0858027889618787</v>
      </c>
      <c r="E143" s="91" t="s">
        <v>296</v>
      </c>
      <c r="F143" s="208" t="n">
        <f aca="false">F142*$C$142*(1-IF($C$148=1,$C$15,$C$4))</f>
        <v>2305.8352165464</v>
      </c>
      <c r="G143" s="208" t="n">
        <f aca="false">G142*$C$142*(1-IF($C$148=1,$C$15,$C$4))</f>
        <v>2495.98976073759</v>
      </c>
      <c r="H143" s="208" t="n">
        <f aca="false">H142*$C$142*(1-IF($C$148=1,$C$15,$C$4))</f>
        <v>2680.77620269087</v>
      </c>
      <c r="I143" s="208" t="n">
        <f aca="false">I142*$C$142*(1-IF($C$148=1,$C$15,$C$4))</f>
        <v>2856.63512158739</v>
      </c>
      <c r="J143" s="208" t="n">
        <f aca="false">J142*$C$142*(1-IF($C$148=1,$C$15,$C$4))</f>
        <v>3019.93942937147</v>
      </c>
      <c r="K143" s="208" t="n">
        <f aca="false">K142*$C$142*(1-IF($C$148=1,$C$15,$C$4))</f>
        <v>3167.1111442295</v>
      </c>
      <c r="L143" s="208" t="n">
        <f aca="false">L142*$C$142*(1-IF($C$148=1,$C$15,$C$4))</f>
        <v>3294.74572334195</v>
      </c>
      <c r="M143" s="208" t="n">
        <f aca="false">M142*$C$142*(1-IF($C$148=1,$C$15,$C$4))</f>
        <v>3399.73828705911</v>
      </c>
      <c r="N143" s="208" t="n">
        <f aca="false">N142*$C$142*(1-IF($C$148=1,$C$15,$C$4))</f>
        <v>3479.40548758587</v>
      </c>
      <c r="O143" s="208" t="n">
        <f aca="false">O142*$C$142*(1-IF($C$148=1,$C$15,$C$4))</f>
        <v>3531.59656989965</v>
      </c>
      <c r="P143" s="208" t="n">
        <f aca="false">O143*(1+$C$144)</f>
        <v>3584.57051844815</v>
      </c>
    </row>
    <row r="144" customFormat="false" ht="15" hidden="false" customHeight="true" outlineLevel="0" collapsed="false">
      <c r="B144" s="91" t="s">
        <v>297</v>
      </c>
      <c r="C144" s="96" t="n">
        <f aca="false">DCF!$L$17</f>
        <v>0.015</v>
      </c>
      <c r="E144" s="91" t="s">
        <v>46</v>
      </c>
      <c r="F144" s="207" t="n">
        <f aca="false">$C$141/(($C$6-$C$5+$C$7)/($C$142*(1-IF($C$148=1,$C$15,$C$4))))</f>
        <v>0.187155195652174</v>
      </c>
      <c r="G144" s="207" t="n">
        <f aca="false">IF($C$147=1,F144-($F144-$C$143)/$C$12,G141/(($C$6-$C$5+$C$7)/($C$142*(1-IF($C$148=1,$C$15,$C$4)))))</f>
        <v>0.17589381713103</v>
      </c>
      <c r="H144" s="207" t="n">
        <f aca="false">IF($C$147=1,G144-($F144-$C$143)/$C$12,H141/(($C$6-$C$5+$C$7)/($C$142*(1-IF($C$148=1,$C$15,$C$4)))))</f>
        <v>0.164632438609886</v>
      </c>
      <c r="I144" s="207" t="n">
        <f aca="false">IF($C$147=1,H144-($F144-$C$143)/$C$12,I141/(($C$6-$C$5+$C$7)/($C$142*(1-IF($C$148=1,$C$15,$C$4)))))</f>
        <v>0.153371060088742</v>
      </c>
      <c r="J144" s="207" t="n">
        <f aca="false">IF($C$147=1,I144-($F144-$C$143)/$C$12,J141/(($C$6-$C$5+$C$7)/($C$142*(1-IF($C$148=1,$C$15,$C$4)))))</f>
        <v>0.142109681567598</v>
      </c>
      <c r="K144" s="207" t="n">
        <f aca="false">IF($C$147=1,J144-($F144-$C$143)/$C$12,K141/(($C$6-$C$5+$C$7)/($C$142*(1-IF($C$148=1,$C$15,$C$4)))))</f>
        <v>0.130848303046454</v>
      </c>
      <c r="L144" s="207" t="n">
        <f aca="false">IF($C$147=1,K144-($F144-$C$143)/$C$12,L141/(($C$6-$C$5+$C$7)/($C$142*(1-IF($C$148=1,$C$15,$C$4)))))</f>
        <v>0.11958692452531</v>
      </c>
      <c r="M144" s="207" t="n">
        <f aca="false">IF($C$147=1,L144-($F144-$C$143)/$C$12,M141/(($C$6-$C$5+$C$7)/($C$142*(1-IF($C$148=1,$C$15,$C$4)))))</f>
        <v>0.108325546004167</v>
      </c>
      <c r="N144" s="207" t="n">
        <f aca="false">IF($C$147=1,M144-($F144-$C$143)/$C$12,N141/(($C$6-$C$5+$C$7)/($C$142*(1-IF($C$148=1,$C$15,$C$4)))))</f>
        <v>0.0970641674830226</v>
      </c>
      <c r="O144" s="207" t="n">
        <f aca="false">IF($C$147=1,N144-($F144-$C$143)/$C$12,O141/(($C$6-$C$5+$C$7)/($C$142*(1-IF($C$148=1,$C$15,$C$4)))))</f>
        <v>0.0858027889618787</v>
      </c>
      <c r="P144" s="207" t="n">
        <f aca="false">$C$143</f>
        <v>0.0858027889618787</v>
      </c>
    </row>
    <row r="145" customFormat="false" ht="15" hidden="false" customHeight="true" outlineLevel="0" collapsed="false">
      <c r="B145" s="91" t="s">
        <v>298</v>
      </c>
      <c r="C145" s="209" t="n">
        <v>1</v>
      </c>
      <c r="E145" s="91" t="s">
        <v>45</v>
      </c>
      <c r="F145" s="210" t="n">
        <f aca="false">IF($C$147=1,F141/F144,(($C$6-$C$5+$C$7)/($C$142*(1-IF($C$148=1,$C$15,$C$4)))))</f>
        <v>0.485693168619998</v>
      </c>
      <c r="G145" s="210" t="n">
        <f aca="false">IF($C$147=1,G141/G144,(($C$6-$C$5+$C$7)/($C$142*(1-IF($C$148=1,$C$15,$C$4)))))</f>
        <v>0.468843464834435</v>
      </c>
      <c r="H145" s="210" t="n">
        <f aca="false">IF($C$147=1,H141/H144,(($C$6-$C$5+$C$7)/($C$142*(1-IF($C$148=1,$C$15,$C$4)))))</f>
        <v>0.449688615186969</v>
      </c>
      <c r="I145" s="210" t="n">
        <f aca="false">IF($C$147=1,I141/I144,(($C$6-$C$5+$C$7)/($C$142*(1-IF($C$148=1,$C$15,$C$4)))))</f>
        <v>0.427720848783617</v>
      </c>
      <c r="J145" s="210" t="n">
        <f aca="false">IF($C$147=1,J141/J144,(($C$6-$C$5+$C$7)/($C$142*(1-IF($C$148=1,$C$15,$C$4)))))</f>
        <v>0.402271442987323</v>
      </c>
      <c r="K145" s="210" t="n">
        <f aca="false">IF($C$147=1,K141/K144,(($C$6-$C$5+$C$7)/($C$142*(1-IF($C$148=1,$C$15,$C$4)))))</f>
        <v>0.372441462355318</v>
      </c>
      <c r="L145" s="210" t="n">
        <f aca="false">IF($C$147=1,L141/L144,(($C$6-$C$5+$C$7)/($C$142*(1-IF($C$148=1,$C$15,$C$4)))))</f>
        <v>0.33699336411541</v>
      </c>
      <c r="M145" s="210" t="n">
        <f aca="false">IF($C$147=1,M141/M144,(($C$6-$C$5+$C$7)/($C$142*(1-IF($C$148=1,$C$15,$C$4)))))</f>
        <v>0.294174992346136</v>
      </c>
      <c r="N145" s="210" t="n">
        <f aca="false">IF($C$147=1,N141/N144,(($C$6-$C$5+$C$7)/($C$142*(1-IF($C$148=1,$C$15,$C$4)))))</f>
        <v>0.241421051052975</v>
      </c>
      <c r="O145" s="210" t="n">
        <f aca="false">IF($C$147=1,O141/O144,(($C$6-$C$5+$C$7)/($C$142*(1-IF($C$148=1,$C$15,$C$4)))))</f>
        <v>0.174819492250588</v>
      </c>
      <c r="P145" s="210" t="n">
        <f aca="false">$C$144/P144</f>
        <v>0.174819492250588</v>
      </c>
    </row>
    <row r="146" customFormat="false" ht="15" hidden="false" customHeight="true" outlineLevel="0" collapsed="false">
      <c r="B146" s="91" t="s">
        <v>299</v>
      </c>
      <c r="C146" s="209" t="n">
        <v>1</v>
      </c>
      <c r="E146" s="91" t="s">
        <v>300</v>
      </c>
      <c r="F146" s="208" t="n">
        <f aca="false">F143*F145</f>
        <v>1119.92841264</v>
      </c>
      <c r="G146" s="208" t="n">
        <f aca="false">G143*G145</f>
        <v>1170.22848761549</v>
      </c>
      <c r="H146" s="208" t="n">
        <f aca="false">H143*H145</f>
        <v>1205.51453821424</v>
      </c>
      <c r="I146" s="208" t="n">
        <f aca="false">I143*I145</f>
        <v>1221.84239887045</v>
      </c>
      <c r="J146" s="208" t="n">
        <f aca="false">J143*J145</f>
        <v>1214.83539198757</v>
      </c>
      <c r="K146" s="208" t="n">
        <f aca="false">K143*K145</f>
        <v>1179.56350599866</v>
      </c>
      <c r="L146" s="208" t="n">
        <f aca="false">L143*L145</f>
        <v>1110.30744521386</v>
      </c>
      <c r="M146" s="208" t="n">
        <f aca="false">M143*M145</f>
        <v>1000.11798457448</v>
      </c>
      <c r="N146" s="208" t="n">
        <f aca="false">N143*N145</f>
        <v>840.001729852469</v>
      </c>
      <c r="O146" s="208" t="n">
        <f aca="false">O143*O145</f>
        <v>617.391919183776</v>
      </c>
    </row>
    <row r="147" customFormat="false" ht="15" hidden="false" customHeight="true" outlineLevel="0" collapsed="false">
      <c r="B147" s="91" t="s">
        <v>301</v>
      </c>
      <c r="C147" s="209" t="n">
        <v>1</v>
      </c>
      <c r="E147" s="90" t="s">
        <v>47</v>
      </c>
      <c r="F147" s="211" t="n">
        <f aca="false">F143-F146</f>
        <v>1185.9068039064</v>
      </c>
      <c r="G147" s="211" t="n">
        <f aca="false">G143-G146</f>
        <v>1325.76127312211</v>
      </c>
      <c r="H147" s="211" t="n">
        <f aca="false">H143-H146</f>
        <v>1475.26166447663</v>
      </c>
      <c r="I147" s="211" t="n">
        <f aca="false">I143-I146</f>
        <v>1634.79272271694</v>
      </c>
      <c r="J147" s="211" t="n">
        <f aca="false">J143-J146</f>
        <v>1805.1040373839</v>
      </c>
      <c r="K147" s="211" t="n">
        <f aca="false">K143-K146</f>
        <v>1987.54763823084</v>
      </c>
      <c r="L147" s="211" t="n">
        <f aca="false">L143-L146</f>
        <v>2184.43827812809</v>
      </c>
      <c r="M147" s="211" t="n">
        <f aca="false">M143-M146</f>
        <v>2399.62030248463</v>
      </c>
      <c r="N147" s="211" t="n">
        <f aca="false">N143-N146</f>
        <v>2639.4037577334</v>
      </c>
      <c r="O147" s="211" t="n">
        <f aca="false">O143-O146</f>
        <v>2914.20465071588</v>
      </c>
      <c r="P147" s="211" t="n">
        <f aca="false">IF($C$146=1,P143*(1-P145),O147*(1+$C$144))</f>
        <v>2957.91772047662</v>
      </c>
    </row>
    <row r="148" customFormat="false" ht="15" hidden="false" customHeight="true" outlineLevel="0" collapsed="false">
      <c r="B148" s="91" t="s">
        <v>302</v>
      </c>
      <c r="C148" s="209" t="n">
        <v>0</v>
      </c>
      <c r="E148" s="91" t="s">
        <v>303</v>
      </c>
      <c r="F148" s="212" t="n">
        <f aca="false">DCF!O$71</f>
        <v>0.0347222222222222</v>
      </c>
      <c r="G148" s="212" t="n">
        <f aca="false">DCF!P$71</f>
        <v>0.569444444444444</v>
      </c>
      <c r="H148" s="212" t="n">
        <f aca="false">DCF!Q$71</f>
        <v>1.56944444444444</v>
      </c>
      <c r="I148" s="212" t="n">
        <f aca="false">DCF!R$71</f>
        <v>2.56944444444444</v>
      </c>
      <c r="J148" s="212" t="n">
        <f aca="false">DCF!S$71</f>
        <v>3.56944444444444</v>
      </c>
      <c r="K148" s="212" t="n">
        <f aca="false">DCF!T$71</f>
        <v>4.56944444444445</v>
      </c>
      <c r="L148" s="212" t="n">
        <f aca="false">DCF!U$71</f>
        <v>5.56944444444445</v>
      </c>
      <c r="M148" s="212" t="n">
        <f aca="false">DCF!V$71</f>
        <v>6.56944444444445</v>
      </c>
      <c r="N148" s="212" t="n">
        <f aca="false">DCF!W$71</f>
        <v>7.56944444444445</v>
      </c>
      <c r="O148" s="212" t="n">
        <f aca="false">DCF!X$71</f>
        <v>8.56944444444445</v>
      </c>
    </row>
    <row r="149" customFormat="false" ht="15" hidden="false" customHeight="true" outlineLevel="0" collapsed="false">
      <c r="B149" s="91" t="s">
        <v>113</v>
      </c>
      <c r="C149" s="97" t="n">
        <f aca="false">SUM(F149:O149)</f>
        <v>12309.8454096608</v>
      </c>
      <c r="E149" s="91" t="s">
        <v>304</v>
      </c>
      <c r="F149" s="208" t="n">
        <f aca="false">F147*IF($C$148=1,1,DCF!$O$70)/(1+$C$143)^F148</f>
        <v>82.1195793601576</v>
      </c>
      <c r="G149" s="208" t="n">
        <f aca="false">G147/(1+$C$143)^G148</f>
        <v>1265.04841606139</v>
      </c>
      <c r="H149" s="208" t="n">
        <f aca="false">H147/(1+$C$143)^H148</f>
        <v>1296.4623909656</v>
      </c>
      <c r="I149" s="208" t="n">
        <f aca="false">I147/(1+$C$143)^I148</f>
        <v>1323.13028059206</v>
      </c>
      <c r="J149" s="208" t="n">
        <f aca="false">J147/(1+$C$143)^J148</f>
        <v>1345.52322218258</v>
      </c>
      <c r="K149" s="208" t="n">
        <f aca="false">K147/(1+$C$143)^K148</f>
        <v>1364.44349117996</v>
      </c>
      <c r="L149" s="208" t="n">
        <f aca="false">L147/(1+$C$143)^L148</f>
        <v>1381.10542902973</v>
      </c>
      <c r="M149" s="208" t="n">
        <f aca="false">M147/(1+$C$143)^M148</f>
        <v>1397.2645130318</v>
      </c>
      <c r="N149" s="208" t="n">
        <f aca="false">N147/(1+$C$143)^N148</f>
        <v>1415.43841874013</v>
      </c>
      <c r="O149" s="208" t="n">
        <f aca="false">O147/(1+$C$143)^O148</f>
        <v>1439.30966851738</v>
      </c>
    </row>
    <row r="150" customFormat="false" ht="15" hidden="false" customHeight="true" outlineLevel="0" collapsed="false">
      <c r="B150" s="91" t="s">
        <v>111</v>
      </c>
      <c r="C150" s="97" t="n">
        <f aca="false">P147/($C$143-$C$144)</f>
        <v>41776.8531981022</v>
      </c>
    </row>
    <row r="151" customFormat="false" ht="15" hidden="false" customHeight="true" outlineLevel="0" collapsed="false">
      <c r="B151" s="91" t="s">
        <v>112</v>
      </c>
      <c r="C151" s="97" t="n">
        <f aca="false">C150/(1+$C$143)^O148</f>
        <v>20633.3583036074</v>
      </c>
    </row>
    <row r="152" customFormat="false" ht="15" hidden="false" customHeight="true" outlineLevel="0" collapsed="false">
      <c r="B152" s="91" t="s">
        <v>114</v>
      </c>
      <c r="C152" s="97" t="n">
        <f aca="false">C149+C151</f>
        <v>32943.2037132682</v>
      </c>
    </row>
    <row r="153" customFormat="false" ht="15" hidden="false" customHeight="true" outlineLevel="0" collapsed="false">
      <c r="B153" s="91" t="s">
        <v>305</v>
      </c>
      <c r="C153" s="97" t="n">
        <f aca="false">C152+$C$9-IF($C$148=1,'Sources &amp; Checks'!$B$7,$C$10)</f>
        <v>33732.0037132682</v>
      </c>
    </row>
    <row r="154" customFormat="false" ht="15" hidden="false" customHeight="true" outlineLevel="0" collapsed="false">
      <c r="B154" s="205" t="s">
        <v>117</v>
      </c>
      <c r="C154" s="213" t="n">
        <f aca="false">C153/$C$11</f>
        <v>31.6198010060632</v>
      </c>
    </row>
    <row r="155" customFormat="false" ht="15" hidden="false" customHeight="true" outlineLevel="0" collapsed="false">
      <c r="B155" s="91" t="s">
        <v>110</v>
      </c>
      <c r="C155" s="93" t="n">
        <f aca="false">1-P147/P143</f>
        <v>0.174819492250588</v>
      </c>
    </row>
    <row r="156" customFormat="false" ht="15" hidden="false" customHeight="true" outlineLevel="0" collapsed="false">
      <c r="B156" s="91" t="s">
        <v>306</v>
      </c>
      <c r="C156" s="93" t="n">
        <f aca="false">C151/C152</f>
        <v>0.626331260407959</v>
      </c>
    </row>
    <row r="159" customFormat="false" ht="15" hidden="false" customHeight="true" outlineLevel="0" collapsed="false">
      <c r="B159" s="204" t="s">
        <v>313</v>
      </c>
    </row>
    <row r="160" customFormat="false" ht="15" hidden="false" customHeight="true" outlineLevel="0" collapsed="false">
      <c r="B160" s="86" t="s">
        <v>13</v>
      </c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</row>
    <row r="161" customFormat="false" ht="15" hidden="false" customHeight="true" outlineLevel="0" collapsed="false">
      <c r="B161" s="205" t="s">
        <v>291</v>
      </c>
      <c r="C161" s="205" t="s">
        <v>199</v>
      </c>
      <c r="E161" s="205" t="s">
        <v>292</v>
      </c>
      <c r="F161" s="206" t="str">
        <f aca="false">"FY"&amp;RIGHT(DCF!O$38,2)</f>
        <v>FY26</v>
      </c>
      <c r="G161" s="206" t="str">
        <f aca="false">"FY"&amp;RIGHT(DCF!P$38,2)</f>
        <v>FY27</v>
      </c>
      <c r="H161" s="206" t="str">
        <f aca="false">"FY"&amp;RIGHT(DCF!Q$38,2)</f>
        <v>FY28</v>
      </c>
      <c r="I161" s="206" t="str">
        <f aca="false">"FY"&amp;RIGHT(DCF!R$38,2)</f>
        <v>FY29</v>
      </c>
      <c r="J161" s="206" t="str">
        <f aca="false">"FY"&amp;RIGHT(DCF!S$38,2)</f>
        <v>FY30</v>
      </c>
      <c r="K161" s="206" t="str">
        <f aca="false">"FY"&amp;RIGHT(DCF!T$38,2)</f>
        <v>FY31</v>
      </c>
      <c r="L161" s="206" t="str">
        <f aca="false">"FY"&amp;RIGHT(DCF!U$38,2)</f>
        <v>FY32</v>
      </c>
      <c r="M161" s="206" t="str">
        <f aca="false">"FY"&amp;RIGHT(DCF!V$38,2)</f>
        <v>FY33</v>
      </c>
      <c r="N161" s="206" t="str">
        <f aca="false">"FY"&amp;RIGHT(DCF!W$38,2)</f>
        <v>FY34</v>
      </c>
      <c r="O161" s="206" t="str">
        <f aca="false">"FY"&amp;RIGHT(DCF!X$38,2)</f>
        <v>FY35</v>
      </c>
      <c r="P161" s="206" t="s">
        <v>40</v>
      </c>
    </row>
    <row r="162" customFormat="false" ht="15" hidden="false" customHeight="true" outlineLevel="0" collapsed="false">
      <c r="B162" s="91" t="s">
        <v>293</v>
      </c>
      <c r="C162" s="96" t="n">
        <f aca="false">DCF!$H$11</f>
        <v>0.07</v>
      </c>
      <c r="E162" s="91" t="s">
        <v>294</v>
      </c>
      <c r="F162" s="207" t="n">
        <f aca="false">$C$162</f>
        <v>0.07</v>
      </c>
      <c r="G162" s="207" t="n">
        <f aca="false">IF($C$166=1,F162-($C$162-$C$165)/$C$12,$C$162)</f>
        <v>0.0633333333333333</v>
      </c>
      <c r="H162" s="207" t="n">
        <f aca="false">IF($C$166=1,G162-($C$162-$C$165)/$C$12,$C$162)</f>
        <v>0.0566666666666667</v>
      </c>
      <c r="I162" s="207" t="n">
        <f aca="false">IF($C$166=1,H162-($C$162-$C$165)/$C$12,$C$162)</f>
        <v>0.05</v>
      </c>
      <c r="J162" s="207" t="n">
        <f aca="false">IF($C$166=1,I162-($C$162-$C$165)/$C$12,$C$162)</f>
        <v>0.0433333333333333</v>
      </c>
      <c r="K162" s="207" t="n">
        <f aca="false">IF($C$166=1,J162-($C$162-$C$165)/$C$12,$C$162)</f>
        <v>0.0366666666666667</v>
      </c>
      <c r="L162" s="207" t="n">
        <f aca="false">IF($C$166=1,K162-($C$162-$C$165)/$C$12,$C$162)</f>
        <v>0.03</v>
      </c>
      <c r="M162" s="207" t="n">
        <f aca="false">IF($C$166=1,L162-($C$162-$C$165)/$C$12,$C$162)</f>
        <v>0.0233333333333333</v>
      </c>
      <c r="N162" s="207" t="n">
        <f aca="false">IF($C$166=1,M162-($C$162-$C$165)/$C$12,$C$162)</f>
        <v>0.0166666666666667</v>
      </c>
      <c r="O162" s="207" t="n">
        <f aca="false">IF($C$166=1,N162-($C$162-$C$165)/$C$12,$C$162)</f>
        <v>0.01</v>
      </c>
    </row>
    <row r="163" customFormat="false" ht="15" hidden="false" customHeight="true" outlineLevel="0" collapsed="false">
      <c r="B163" s="91" t="s">
        <v>295</v>
      </c>
      <c r="C163" s="96" t="n">
        <f aca="false">DCF!$H$13</f>
        <v>0.16</v>
      </c>
      <c r="E163" s="91" t="s">
        <v>16</v>
      </c>
      <c r="F163" s="208" t="n">
        <f aca="false">$C$8*(1+F162)</f>
        <v>14924.895</v>
      </c>
      <c r="G163" s="208" t="n">
        <f aca="false">F163*(1+G162)</f>
        <v>15870.13835</v>
      </c>
      <c r="H163" s="208" t="n">
        <f aca="false">G163*(1+H162)</f>
        <v>16769.4461898333</v>
      </c>
      <c r="I163" s="208" t="n">
        <f aca="false">H163*(1+I162)</f>
        <v>17607.918499325</v>
      </c>
      <c r="J163" s="208" t="n">
        <f aca="false">I163*(1+J162)</f>
        <v>18370.9283009624</v>
      </c>
      <c r="K163" s="208" t="n">
        <f aca="false">J163*(1+K162)</f>
        <v>19044.529005331</v>
      </c>
      <c r="L163" s="208" t="n">
        <f aca="false">K163*(1+L162)</f>
        <v>19615.864875491</v>
      </c>
      <c r="M163" s="208" t="n">
        <f aca="false">L163*(1+M162)</f>
        <v>20073.5683892524</v>
      </c>
      <c r="N163" s="208" t="n">
        <f aca="false">M163*(1+N162)</f>
        <v>20408.1278624066</v>
      </c>
      <c r="O163" s="208" t="n">
        <f aca="false">N163*(1+O162)</f>
        <v>20612.2091410307</v>
      </c>
    </row>
    <row r="164" customFormat="false" ht="15" hidden="false" customHeight="true" outlineLevel="0" collapsed="false">
      <c r="B164" s="91" t="s">
        <v>21</v>
      </c>
      <c r="C164" s="95" t="n">
        <f aca="false">DCF!$H$16</f>
        <v>0.092</v>
      </c>
      <c r="E164" s="91" t="s">
        <v>296</v>
      </c>
      <c r="F164" s="208" t="n">
        <f aca="false">F163*$C$163*(1-IF($C$169=1,$C$15,$C$4))</f>
        <v>2101.425216</v>
      </c>
      <c r="G164" s="208" t="n">
        <f aca="false">G163*$C$163*(1-IF($C$169=1,$C$15,$C$4))</f>
        <v>2234.51547968</v>
      </c>
      <c r="H164" s="208" t="n">
        <f aca="false">H163*$C$163*(1-IF($C$169=1,$C$15,$C$4))</f>
        <v>2361.13802352853</v>
      </c>
      <c r="I164" s="208" t="n">
        <f aca="false">I163*$C$163*(1-IF($C$169=1,$C$15,$C$4))</f>
        <v>2479.19492470496</v>
      </c>
      <c r="J164" s="208" t="n">
        <f aca="false">J163*$C$163*(1-IF($C$169=1,$C$15,$C$4))</f>
        <v>2586.62670477551</v>
      </c>
      <c r="K164" s="208" t="n">
        <f aca="false">K163*$C$163*(1-IF($C$169=1,$C$15,$C$4))</f>
        <v>2681.46968395061</v>
      </c>
      <c r="L164" s="208" t="n">
        <f aca="false">L163*$C$163*(1-IF($C$169=1,$C$15,$C$4))</f>
        <v>2761.91377446913</v>
      </c>
      <c r="M164" s="208" t="n">
        <f aca="false">M163*$C$163*(1-IF($C$169=1,$C$15,$C$4))</f>
        <v>2826.35842920674</v>
      </c>
      <c r="N164" s="208" t="n">
        <f aca="false">N163*$C$163*(1-IF($C$169=1,$C$15,$C$4))</f>
        <v>2873.46440302685</v>
      </c>
      <c r="O164" s="208" t="n">
        <f aca="false">O163*$C$163*(1-IF($C$169=1,$C$15,$C$4))</f>
        <v>2902.19904705712</v>
      </c>
      <c r="P164" s="208" t="n">
        <f aca="false">O164*(1+$C$165)</f>
        <v>2931.22103752769</v>
      </c>
    </row>
    <row r="165" customFormat="false" ht="15" hidden="false" customHeight="true" outlineLevel="0" collapsed="false">
      <c r="B165" s="91" t="s">
        <v>297</v>
      </c>
      <c r="C165" s="96" t="n">
        <f aca="false">DCF!$H$17</f>
        <v>0.01</v>
      </c>
      <c r="E165" s="91" t="s">
        <v>46</v>
      </c>
      <c r="F165" s="207" t="n">
        <f aca="false">$C$162/(($C$6-$C$5+$C$7)/($C$163*(1-IF($C$169=1,$C$15,$C$4))))</f>
        <v>0.133913043478261</v>
      </c>
      <c r="G165" s="207" t="n">
        <f aca="false">IF($C$168=1,F165-($F165-$C$164)/$C$12,G162/(($C$6-$C$5+$C$7)/($C$163*(1-IF($C$169=1,$C$15,$C$4)))))</f>
        <v>0.129256038647343</v>
      </c>
      <c r="H165" s="207" t="n">
        <f aca="false">IF($C$168=1,G165-($F165-$C$164)/$C$12,H162/(($C$6-$C$5+$C$7)/($C$163*(1-IF($C$169=1,$C$15,$C$4)))))</f>
        <v>0.124599033816425</v>
      </c>
      <c r="I165" s="207" t="n">
        <f aca="false">IF($C$168=1,H165-($F165-$C$164)/$C$12,I162/(($C$6-$C$5+$C$7)/($C$163*(1-IF($C$169=1,$C$15,$C$4)))))</f>
        <v>0.119942028985507</v>
      </c>
      <c r="J165" s="207" t="n">
        <f aca="false">IF($C$168=1,I165-($F165-$C$164)/$C$12,J162/(($C$6-$C$5+$C$7)/($C$163*(1-IF($C$169=1,$C$15,$C$4)))))</f>
        <v>0.115285024154589</v>
      </c>
      <c r="K165" s="207" t="n">
        <f aca="false">IF($C$168=1,J165-($F165-$C$164)/$C$12,K162/(($C$6-$C$5+$C$7)/($C$163*(1-IF($C$169=1,$C$15,$C$4)))))</f>
        <v>0.110628019323672</v>
      </c>
      <c r="L165" s="207" t="n">
        <f aca="false">IF($C$168=1,K165-($F165-$C$164)/$C$12,L162/(($C$6-$C$5+$C$7)/($C$163*(1-IF($C$169=1,$C$15,$C$4)))))</f>
        <v>0.105971014492754</v>
      </c>
      <c r="M165" s="207" t="n">
        <f aca="false">IF($C$168=1,L165-($F165-$C$164)/$C$12,M162/(($C$6-$C$5+$C$7)/($C$163*(1-IF($C$169=1,$C$15,$C$4)))))</f>
        <v>0.101314009661836</v>
      </c>
      <c r="N165" s="207" t="n">
        <f aca="false">IF($C$168=1,M165-($F165-$C$164)/$C$12,N162/(($C$6-$C$5+$C$7)/($C$163*(1-IF($C$169=1,$C$15,$C$4)))))</f>
        <v>0.0966570048309179</v>
      </c>
      <c r="O165" s="207" t="n">
        <f aca="false">IF($C$168=1,N165-($F165-$C$164)/$C$12,O162/(($C$6-$C$5+$C$7)/($C$163*(1-IF($C$169=1,$C$15,$C$4)))))</f>
        <v>0.092</v>
      </c>
      <c r="P165" s="207" t="n">
        <f aca="false">$C$164</f>
        <v>0.092</v>
      </c>
    </row>
    <row r="166" customFormat="false" ht="15" hidden="false" customHeight="true" outlineLevel="0" collapsed="false">
      <c r="B166" s="91" t="s">
        <v>298</v>
      </c>
      <c r="C166" s="209" t="n">
        <v>1</v>
      </c>
      <c r="E166" s="91" t="s">
        <v>45</v>
      </c>
      <c r="F166" s="210" t="n">
        <f aca="false">IF($C$168=1,F162/F165,(($C$6-$C$5+$C$7)/($C$163*(1-IF($C$169=1,$C$15,$C$4)))))</f>
        <v>0.522727272727273</v>
      </c>
      <c r="G166" s="210" t="n">
        <f aca="false">IF($C$168=1,G162/G165,(($C$6-$C$5+$C$7)/($C$163*(1-IF($C$169=1,$C$15,$C$4)))))</f>
        <v>0.489983555090447</v>
      </c>
      <c r="H166" s="210" t="n">
        <f aca="false">IF($C$168=1,H162/H165,(($C$6-$C$5+$C$7)/($C$163*(1-IF($C$169=1,$C$15,$C$4)))))</f>
        <v>0.454792183622829</v>
      </c>
      <c r="I166" s="210" t="n">
        <f aca="false">IF($C$168=1,I162/I165,(($C$6-$C$5+$C$7)/($C$163*(1-IF($C$169=1,$C$15,$C$4)))))</f>
        <v>0.41686805219913</v>
      </c>
      <c r="J166" s="210" t="n">
        <f aca="false">IF($C$168=1,J162/J165,(($C$6-$C$5+$C$7)/($C$163*(1-IF($C$169=1,$C$15,$C$4)))))</f>
        <v>0.375879986590681</v>
      </c>
      <c r="K166" s="210" t="n">
        <f aca="false">IF($C$168=1,K162/K165,(($C$6-$C$5+$C$7)/($C$163*(1-IF($C$169=1,$C$15,$C$4)))))</f>
        <v>0.331441048034935</v>
      </c>
      <c r="L166" s="210" t="n">
        <f aca="false">IF($C$168=1,L162/L165,(($C$6-$C$5+$C$7)/($C$163*(1-IF($C$169=1,$C$15,$C$4)))))</f>
        <v>0.283096280087527</v>
      </c>
      <c r="M166" s="210" t="n">
        <f aca="false">IF($C$168=1,M162/M165,(($C$6-$C$5+$C$7)/($C$163*(1-IF($C$169=1,$C$15,$C$4)))))</f>
        <v>0.230307076101469</v>
      </c>
      <c r="N166" s="210" t="n">
        <f aca="false">IF($C$168=1,N162/N165,(($C$6-$C$5+$C$7)/($C$163*(1-IF($C$169=1,$C$15,$C$4)))))</f>
        <v>0.172431027588964</v>
      </c>
      <c r="O166" s="210" t="n">
        <f aca="false">IF($C$168=1,O162/O165,(($C$6-$C$5+$C$7)/($C$163*(1-IF($C$169=1,$C$15,$C$4)))))</f>
        <v>0.108695652173913</v>
      </c>
      <c r="P166" s="210" t="n">
        <f aca="false">$C$165/P165</f>
        <v>0.108695652173913</v>
      </c>
    </row>
    <row r="167" customFormat="false" ht="15" hidden="false" customHeight="true" outlineLevel="0" collapsed="false">
      <c r="B167" s="91" t="s">
        <v>299</v>
      </c>
      <c r="C167" s="209" t="n">
        <v>1</v>
      </c>
      <c r="E167" s="91" t="s">
        <v>300</v>
      </c>
      <c r="F167" s="208" t="n">
        <f aca="false">F164*F166</f>
        <v>1098.472272</v>
      </c>
      <c r="G167" s="208" t="n">
        <f aca="false">G164*G166</f>
        <v>1094.87583863824</v>
      </c>
      <c r="H167" s="208" t="n">
        <f aca="false">H164*H166</f>
        <v>1073.82711755543</v>
      </c>
      <c r="I167" s="208" t="n">
        <f aca="false">I164*I166</f>
        <v>1033.49715928373</v>
      </c>
      <c r="J167" s="208" t="n">
        <f aca="false">J164*J166</f>
        <v>972.261211106114</v>
      </c>
      <c r="K167" s="208" t="n">
        <f aca="false">K164*K166</f>
        <v>888.749122322495</v>
      </c>
      <c r="L167" s="208" t="n">
        <f aca="false">L164*L166</f>
        <v>781.887515474712</v>
      </c>
      <c r="M167" s="208" t="n">
        <f aca="false">M164*M166</f>
        <v>650.930345845345</v>
      </c>
      <c r="N167" s="208" t="n">
        <f aca="false">N164*N166</f>
        <v>495.474419754231</v>
      </c>
      <c r="O167" s="208" t="n">
        <f aca="false">O164*O166</f>
        <v>315.456418158383</v>
      </c>
    </row>
    <row r="168" customFormat="false" ht="15" hidden="false" customHeight="true" outlineLevel="0" collapsed="false">
      <c r="B168" s="91" t="s">
        <v>301</v>
      </c>
      <c r="C168" s="209" t="n">
        <v>1</v>
      </c>
      <c r="E168" s="90" t="s">
        <v>47</v>
      </c>
      <c r="F168" s="211" t="n">
        <f aca="false">F164-F167</f>
        <v>1002.952944</v>
      </c>
      <c r="G168" s="211" t="n">
        <f aca="false">G164-G167</f>
        <v>1139.63964104176</v>
      </c>
      <c r="H168" s="211" t="n">
        <f aca="false">H164-H167</f>
        <v>1287.3109059731</v>
      </c>
      <c r="I168" s="211" t="n">
        <f aca="false">I164-I167</f>
        <v>1445.69776542123</v>
      </c>
      <c r="J168" s="211" t="n">
        <f aca="false">J164-J167</f>
        <v>1614.36549366939</v>
      </c>
      <c r="K168" s="211" t="n">
        <f aca="false">K164-K167</f>
        <v>1792.72056162812</v>
      </c>
      <c r="L168" s="211" t="n">
        <f aca="false">L164-L167</f>
        <v>1980.02625899442</v>
      </c>
      <c r="M168" s="211" t="n">
        <f aca="false">M164-M167</f>
        <v>2175.4280833614</v>
      </c>
      <c r="N168" s="211" t="n">
        <f aca="false">N164-N167</f>
        <v>2377.98998327262</v>
      </c>
      <c r="O168" s="211" t="n">
        <f aca="false">O164-O167</f>
        <v>2586.74262889874</v>
      </c>
      <c r="P168" s="211" t="n">
        <f aca="false">IF($C$167=1,P164*(1-P166),O168*(1+$C$165))</f>
        <v>2612.61005518773</v>
      </c>
    </row>
    <row r="169" customFormat="false" ht="15" hidden="false" customHeight="true" outlineLevel="0" collapsed="false">
      <c r="B169" s="91" t="s">
        <v>302</v>
      </c>
      <c r="C169" s="209" t="n">
        <v>0</v>
      </c>
      <c r="E169" s="91" t="s">
        <v>303</v>
      </c>
      <c r="F169" s="212" t="n">
        <f aca="false">DCF!O$71</f>
        <v>0.0347222222222222</v>
      </c>
      <c r="G169" s="212" t="n">
        <f aca="false">DCF!P$71</f>
        <v>0.569444444444444</v>
      </c>
      <c r="H169" s="212" t="n">
        <f aca="false">DCF!Q$71</f>
        <v>1.56944444444444</v>
      </c>
      <c r="I169" s="212" t="n">
        <f aca="false">DCF!R$71</f>
        <v>2.56944444444444</v>
      </c>
      <c r="J169" s="212" t="n">
        <f aca="false">DCF!S$71</f>
        <v>3.56944444444444</v>
      </c>
      <c r="K169" s="212" t="n">
        <f aca="false">DCF!T$71</f>
        <v>4.56944444444445</v>
      </c>
      <c r="L169" s="212" t="n">
        <f aca="false">DCF!U$71</f>
        <v>5.56944444444445</v>
      </c>
      <c r="M169" s="212" t="n">
        <f aca="false">DCF!V$71</f>
        <v>6.56944444444445</v>
      </c>
      <c r="N169" s="212" t="n">
        <f aca="false">DCF!W$71</f>
        <v>7.56944444444445</v>
      </c>
      <c r="O169" s="212" t="n">
        <f aca="false">DCF!X$71</f>
        <v>8.56944444444445</v>
      </c>
    </row>
    <row r="170" customFormat="false" ht="15" hidden="false" customHeight="true" outlineLevel="0" collapsed="false">
      <c r="B170" s="91" t="s">
        <v>113</v>
      </c>
      <c r="C170" s="97" t="n">
        <f aca="false">SUM(F170:O170)</f>
        <v>10677.2345379775</v>
      </c>
      <c r="E170" s="91" t="s">
        <v>304</v>
      </c>
      <c r="F170" s="208" t="n">
        <f aca="false">F168*IF($C$169=1,1,DCF!$O$70)/(1+$C$164)^F169</f>
        <v>69.4369906350995</v>
      </c>
      <c r="G170" s="208" t="n">
        <f aca="false">G168/(1+$C$164)^G169</f>
        <v>1083.93160167778</v>
      </c>
      <c r="H170" s="208" t="n">
        <f aca="false">H168/(1+$C$164)^H169</f>
        <v>1121.23111468364</v>
      </c>
      <c r="I170" s="208" t="n">
        <f aca="false">I168/(1+$C$164)^I169</f>
        <v>1153.09891617424</v>
      </c>
      <c r="J170" s="208" t="n">
        <f aca="false">J168/(1+$C$164)^J169</f>
        <v>1179.14790024581</v>
      </c>
      <c r="K170" s="208" t="n">
        <f aca="false">K168/(1+$C$164)^K169</f>
        <v>1199.10268960731</v>
      </c>
      <c r="L170" s="208" t="n">
        <f aca="false">L168/(1+$C$164)^L169</f>
        <v>1212.80810040952</v>
      </c>
      <c r="M170" s="208" t="n">
        <f aca="false">M168/(1+$C$164)^M169</f>
        <v>1220.2343079872</v>
      </c>
      <c r="N170" s="208" t="n">
        <f aca="false">N168/(1+$C$164)^N169</f>
        <v>1221.47865800931</v>
      </c>
      <c r="O170" s="208" t="n">
        <f aca="false">O168/(1+$C$164)^O169</f>
        <v>1216.76425854759</v>
      </c>
    </row>
    <row r="171" customFormat="false" ht="15" hidden="false" customHeight="true" outlineLevel="0" collapsed="false">
      <c r="B171" s="91" t="s">
        <v>111</v>
      </c>
      <c r="C171" s="97" t="n">
        <f aca="false">P168/($C$164-$C$165)</f>
        <v>31861.0982339967</v>
      </c>
    </row>
    <row r="172" customFormat="false" ht="15" hidden="false" customHeight="true" outlineLevel="0" collapsed="false">
      <c r="B172" s="91" t="s">
        <v>112</v>
      </c>
      <c r="C172" s="97" t="n">
        <f aca="false">C171/(1+$C$164)^O169</f>
        <v>14986.9744040618</v>
      </c>
    </row>
    <row r="173" customFormat="false" ht="15" hidden="false" customHeight="true" outlineLevel="0" collapsed="false">
      <c r="B173" s="91" t="s">
        <v>114</v>
      </c>
      <c r="C173" s="97" t="n">
        <f aca="false">C170+C172</f>
        <v>25664.2089420393</v>
      </c>
    </row>
    <row r="174" customFormat="false" ht="15" hidden="false" customHeight="true" outlineLevel="0" collapsed="false">
      <c r="B174" s="91" t="s">
        <v>305</v>
      </c>
      <c r="C174" s="97" t="n">
        <f aca="false">C173+$C$9-IF($C$169=1,'Sources &amp; Checks'!$B$7,$C$10)</f>
        <v>26453.0089420393</v>
      </c>
    </row>
    <row r="175" customFormat="false" ht="15" hidden="false" customHeight="true" outlineLevel="0" collapsed="false">
      <c r="B175" s="205" t="s">
        <v>117</v>
      </c>
      <c r="C175" s="213" t="n">
        <f aca="false">C174/$C$11</f>
        <v>24.7965963086233</v>
      </c>
    </row>
    <row r="176" customFormat="false" ht="15" hidden="false" customHeight="true" outlineLevel="0" collapsed="false">
      <c r="B176" s="91" t="s">
        <v>110</v>
      </c>
      <c r="C176" s="93" t="n">
        <f aca="false">1-P168/P164</f>
        <v>0.108695652173913</v>
      </c>
    </row>
    <row r="177" customFormat="false" ht="15" hidden="false" customHeight="true" outlineLevel="0" collapsed="false">
      <c r="B177" s="91" t="s">
        <v>306</v>
      </c>
      <c r="C177" s="93" t="n">
        <f aca="false">C172/C173</f>
        <v>0.58396401143354</v>
      </c>
    </row>
    <row r="180" customFormat="false" ht="15" hidden="false" customHeight="true" outlineLevel="0" collapsed="false">
      <c r="B180" s="86" t="s">
        <v>65</v>
      </c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</row>
    <row r="181" customFormat="false" ht="15" hidden="false" customHeight="true" outlineLevel="0" collapsed="false">
      <c r="B181" s="205" t="s">
        <v>291</v>
      </c>
      <c r="C181" s="205" t="s">
        <v>199</v>
      </c>
      <c r="E181" s="205" t="s">
        <v>292</v>
      </c>
      <c r="F181" s="206" t="str">
        <f aca="false">"FY"&amp;RIGHT(DCF!O$38,2)</f>
        <v>FY26</v>
      </c>
      <c r="G181" s="206" t="str">
        <f aca="false">"FY"&amp;RIGHT(DCF!P$38,2)</f>
        <v>FY27</v>
      </c>
      <c r="H181" s="206" t="str">
        <f aca="false">"FY"&amp;RIGHT(DCF!Q$38,2)</f>
        <v>FY28</v>
      </c>
      <c r="I181" s="206" t="str">
        <f aca="false">"FY"&amp;RIGHT(DCF!R$38,2)</f>
        <v>FY29</v>
      </c>
      <c r="J181" s="206" t="str">
        <f aca="false">"FY"&amp;RIGHT(DCF!S$38,2)</f>
        <v>FY30</v>
      </c>
      <c r="K181" s="206" t="str">
        <f aca="false">"FY"&amp;RIGHT(DCF!T$38,2)</f>
        <v>FY31</v>
      </c>
      <c r="L181" s="206" t="str">
        <f aca="false">"FY"&amp;RIGHT(DCF!U$38,2)</f>
        <v>FY32</v>
      </c>
      <c r="M181" s="206" t="str">
        <f aca="false">"FY"&amp;RIGHT(DCF!V$38,2)</f>
        <v>FY33</v>
      </c>
      <c r="N181" s="206" t="str">
        <f aca="false">"FY"&amp;RIGHT(DCF!W$38,2)</f>
        <v>FY34</v>
      </c>
      <c r="O181" s="206" t="str">
        <f aca="false">"FY"&amp;RIGHT(DCF!X$38,2)</f>
        <v>FY35</v>
      </c>
      <c r="P181" s="206" t="s">
        <v>40</v>
      </c>
    </row>
    <row r="182" customFormat="false" ht="15" hidden="false" customHeight="true" outlineLevel="0" collapsed="false">
      <c r="B182" s="91" t="s">
        <v>293</v>
      </c>
      <c r="C182" s="96" t="n">
        <f aca="false">DCF!$L$11</f>
        <v>0.0909</v>
      </c>
      <c r="E182" s="91" t="s">
        <v>294</v>
      </c>
      <c r="F182" s="207" t="n">
        <f aca="false">$C$182</f>
        <v>0.0909</v>
      </c>
      <c r="G182" s="207" t="n">
        <f aca="false">IF($C$186=1,F182-($C$182-$C$185)/$C$12,$C$182)</f>
        <v>0.0824666666666667</v>
      </c>
      <c r="H182" s="207" t="n">
        <f aca="false">IF($C$186=1,G182-($C$182-$C$185)/$C$12,$C$182)</f>
        <v>0.0740333333333333</v>
      </c>
      <c r="I182" s="207" t="n">
        <f aca="false">IF($C$186=1,H182-($C$182-$C$185)/$C$12,$C$182)</f>
        <v>0.0656</v>
      </c>
      <c r="J182" s="207" t="n">
        <f aca="false">IF($C$186=1,I182-($C$182-$C$185)/$C$12,$C$182)</f>
        <v>0.0571666666666667</v>
      </c>
      <c r="K182" s="207" t="n">
        <f aca="false">IF($C$186=1,J182-($C$182-$C$185)/$C$12,$C$182)</f>
        <v>0.0487333333333333</v>
      </c>
      <c r="L182" s="207" t="n">
        <f aca="false">IF($C$186=1,K182-($C$182-$C$185)/$C$12,$C$182)</f>
        <v>0.0403</v>
      </c>
      <c r="M182" s="207" t="n">
        <f aca="false">IF($C$186=1,L182-($C$182-$C$185)/$C$12,$C$182)</f>
        <v>0.0318666666666667</v>
      </c>
      <c r="N182" s="207" t="n">
        <f aca="false">IF($C$186=1,M182-($C$182-$C$185)/$C$12,$C$182)</f>
        <v>0.0234333333333333</v>
      </c>
      <c r="O182" s="207" t="n">
        <f aca="false">IF($C$186=1,N182-($C$182-$C$185)/$C$12,$C$182)</f>
        <v>0.015</v>
      </c>
    </row>
    <row r="183" customFormat="false" ht="15" hidden="false" customHeight="true" outlineLevel="0" collapsed="false">
      <c r="B183" s="91" t="s">
        <v>295</v>
      </c>
      <c r="C183" s="96" t="n">
        <f aca="false">DCF!$L$13</f>
        <v>0.1722</v>
      </c>
      <c r="E183" s="91" t="s">
        <v>16</v>
      </c>
      <c r="F183" s="208" t="n">
        <f aca="false">$C$8*(1+F182)</f>
        <v>15216.41865</v>
      </c>
      <c r="G183" s="208" t="n">
        <f aca="false">F183*(1+G182)</f>
        <v>16471.26597467</v>
      </c>
      <c r="H183" s="208" t="n">
        <f aca="false">G183*(1+H182)</f>
        <v>17690.6886989947</v>
      </c>
      <c r="I183" s="208" t="n">
        <f aca="false">H183*(1+I182)</f>
        <v>18851.1978776488</v>
      </c>
      <c r="J183" s="208" t="n">
        <f aca="false">I183*(1+J182)</f>
        <v>19928.8580229877</v>
      </c>
      <c r="K183" s="208" t="n">
        <f aca="false">J183*(1+K182)</f>
        <v>20900.0577039746</v>
      </c>
      <c r="L183" s="208" t="n">
        <f aca="false">K183*(1+L182)</f>
        <v>21742.3300294448</v>
      </c>
      <c r="M183" s="208" t="n">
        <f aca="false">L183*(1+M182)</f>
        <v>22435.1856130498</v>
      </c>
      <c r="N183" s="208" t="n">
        <f aca="false">M183*(1+N182)</f>
        <v>22960.9167959156</v>
      </c>
      <c r="O183" s="208" t="n">
        <f aca="false">N183*(1+O182)</f>
        <v>23305.3305478543</v>
      </c>
    </row>
    <row r="184" customFormat="false" ht="15" hidden="false" customHeight="true" outlineLevel="0" collapsed="false">
      <c r="B184" s="91" t="s">
        <v>21</v>
      </c>
      <c r="C184" s="95" t="n">
        <f aca="false">DCF!$L$16</f>
        <v>0.0858027889618787</v>
      </c>
      <c r="E184" s="91" t="s">
        <v>296</v>
      </c>
      <c r="F184" s="208" t="n">
        <f aca="false">F183*$C$183*(1-IF($C$189=1,$C$15,$C$4))</f>
        <v>2305.8352165464</v>
      </c>
      <c r="G184" s="208" t="n">
        <f aca="false">G183*$C$183*(1-IF($C$189=1,$C$15,$C$4))</f>
        <v>2495.98976073759</v>
      </c>
      <c r="H184" s="208" t="n">
        <f aca="false">H183*$C$183*(1-IF($C$189=1,$C$15,$C$4))</f>
        <v>2680.77620269087</v>
      </c>
      <c r="I184" s="208" t="n">
        <f aca="false">I183*$C$183*(1-IF($C$189=1,$C$15,$C$4))</f>
        <v>2856.63512158739</v>
      </c>
      <c r="J184" s="208" t="n">
        <f aca="false">J183*$C$183*(1-IF($C$189=1,$C$15,$C$4))</f>
        <v>3019.93942937147</v>
      </c>
      <c r="K184" s="208" t="n">
        <f aca="false">K183*$C$183*(1-IF($C$189=1,$C$15,$C$4))</f>
        <v>3167.1111442295</v>
      </c>
      <c r="L184" s="208" t="n">
        <f aca="false">L183*$C$183*(1-IF($C$189=1,$C$15,$C$4))</f>
        <v>3294.74572334195</v>
      </c>
      <c r="M184" s="208" t="n">
        <f aca="false">M183*$C$183*(1-IF($C$189=1,$C$15,$C$4))</f>
        <v>3399.73828705911</v>
      </c>
      <c r="N184" s="208" t="n">
        <f aca="false">N183*$C$183*(1-IF($C$189=1,$C$15,$C$4))</f>
        <v>3479.40548758587</v>
      </c>
      <c r="O184" s="208" t="n">
        <f aca="false">O183*$C$183*(1-IF($C$189=1,$C$15,$C$4))</f>
        <v>3531.59656989965</v>
      </c>
      <c r="P184" s="208" t="n">
        <f aca="false">O184*(1+$C$185)</f>
        <v>3584.57051844815</v>
      </c>
    </row>
    <row r="185" customFormat="false" ht="15" hidden="false" customHeight="true" outlineLevel="0" collapsed="false">
      <c r="B185" s="91" t="s">
        <v>297</v>
      </c>
      <c r="C185" s="96" t="n">
        <f aca="false">DCF!$L$17</f>
        <v>0.015</v>
      </c>
      <c r="E185" s="91" t="s">
        <v>46</v>
      </c>
      <c r="F185" s="207" t="n">
        <f aca="false">$C$182/(($C$6-$C$5+$C$7)/($C$183*(1-IF($C$189=1,$C$15,$C$4))))</f>
        <v>0.187155195652174</v>
      </c>
      <c r="G185" s="207" t="n">
        <f aca="false">IF($C$188=1,F185-($F185-$C$184)/$C$12,G182/(($C$6-$C$5+$C$7)/($C$183*(1-IF($C$189=1,$C$15,$C$4)))))</f>
        <v>0.17589381713103</v>
      </c>
      <c r="H185" s="207" t="n">
        <f aca="false">IF($C$188=1,G185-($F185-$C$184)/$C$12,H182/(($C$6-$C$5+$C$7)/($C$183*(1-IF($C$189=1,$C$15,$C$4)))))</f>
        <v>0.164632438609886</v>
      </c>
      <c r="I185" s="207" t="n">
        <f aca="false">IF($C$188=1,H185-($F185-$C$184)/$C$12,I182/(($C$6-$C$5+$C$7)/($C$183*(1-IF($C$189=1,$C$15,$C$4)))))</f>
        <v>0.153371060088742</v>
      </c>
      <c r="J185" s="207" t="n">
        <f aca="false">IF($C$188=1,I185-($F185-$C$184)/$C$12,J182/(($C$6-$C$5+$C$7)/($C$183*(1-IF($C$189=1,$C$15,$C$4)))))</f>
        <v>0.142109681567598</v>
      </c>
      <c r="K185" s="207" t="n">
        <f aca="false">IF($C$188=1,J185-($F185-$C$184)/$C$12,K182/(($C$6-$C$5+$C$7)/($C$183*(1-IF($C$189=1,$C$15,$C$4)))))</f>
        <v>0.130848303046454</v>
      </c>
      <c r="L185" s="207" t="n">
        <f aca="false">IF($C$188=1,K185-($F185-$C$184)/$C$12,L182/(($C$6-$C$5+$C$7)/($C$183*(1-IF($C$189=1,$C$15,$C$4)))))</f>
        <v>0.11958692452531</v>
      </c>
      <c r="M185" s="207" t="n">
        <f aca="false">IF($C$188=1,L185-($F185-$C$184)/$C$12,M182/(($C$6-$C$5+$C$7)/($C$183*(1-IF($C$189=1,$C$15,$C$4)))))</f>
        <v>0.108325546004167</v>
      </c>
      <c r="N185" s="207" t="n">
        <f aca="false">IF($C$188=1,M185-($F185-$C$184)/$C$12,N182/(($C$6-$C$5+$C$7)/($C$183*(1-IF($C$189=1,$C$15,$C$4)))))</f>
        <v>0.0970641674830226</v>
      </c>
      <c r="O185" s="207" t="n">
        <f aca="false">IF($C$188=1,N185-($F185-$C$184)/$C$12,O182/(($C$6-$C$5+$C$7)/($C$183*(1-IF($C$189=1,$C$15,$C$4)))))</f>
        <v>0.0858027889618787</v>
      </c>
      <c r="P185" s="207" t="n">
        <f aca="false">$C$184</f>
        <v>0.0858027889618787</v>
      </c>
    </row>
    <row r="186" customFormat="false" ht="15" hidden="false" customHeight="true" outlineLevel="0" collapsed="false">
      <c r="B186" s="91" t="s">
        <v>298</v>
      </c>
      <c r="C186" s="209" t="n">
        <v>1</v>
      </c>
      <c r="E186" s="91" t="s">
        <v>45</v>
      </c>
      <c r="F186" s="210" t="n">
        <f aca="false">IF($C$188=1,F182/F185,(($C$6-$C$5+$C$7)/($C$183*(1-IF($C$189=1,$C$15,$C$4)))))</f>
        <v>0.485693168619998</v>
      </c>
      <c r="G186" s="210" t="n">
        <f aca="false">IF($C$188=1,G182/G185,(($C$6-$C$5+$C$7)/($C$183*(1-IF($C$189=1,$C$15,$C$4)))))</f>
        <v>0.468843464834435</v>
      </c>
      <c r="H186" s="210" t="n">
        <f aca="false">IF($C$188=1,H182/H185,(($C$6-$C$5+$C$7)/($C$183*(1-IF($C$189=1,$C$15,$C$4)))))</f>
        <v>0.449688615186969</v>
      </c>
      <c r="I186" s="210" t="n">
        <f aca="false">IF($C$188=1,I182/I185,(($C$6-$C$5+$C$7)/($C$183*(1-IF($C$189=1,$C$15,$C$4)))))</f>
        <v>0.427720848783617</v>
      </c>
      <c r="J186" s="210" t="n">
        <f aca="false">IF($C$188=1,J182/J185,(($C$6-$C$5+$C$7)/($C$183*(1-IF($C$189=1,$C$15,$C$4)))))</f>
        <v>0.402271442987323</v>
      </c>
      <c r="K186" s="210" t="n">
        <f aca="false">IF($C$188=1,K182/K185,(($C$6-$C$5+$C$7)/($C$183*(1-IF($C$189=1,$C$15,$C$4)))))</f>
        <v>0.372441462355318</v>
      </c>
      <c r="L186" s="210" t="n">
        <f aca="false">IF($C$188=1,L182/L185,(($C$6-$C$5+$C$7)/($C$183*(1-IF($C$189=1,$C$15,$C$4)))))</f>
        <v>0.33699336411541</v>
      </c>
      <c r="M186" s="210" t="n">
        <f aca="false">IF($C$188=1,M182/M185,(($C$6-$C$5+$C$7)/($C$183*(1-IF($C$189=1,$C$15,$C$4)))))</f>
        <v>0.294174992346136</v>
      </c>
      <c r="N186" s="210" t="n">
        <f aca="false">IF($C$188=1,N182/N185,(($C$6-$C$5+$C$7)/($C$183*(1-IF($C$189=1,$C$15,$C$4)))))</f>
        <v>0.241421051052975</v>
      </c>
      <c r="O186" s="210" t="n">
        <f aca="false">IF($C$188=1,O182/O185,(($C$6-$C$5+$C$7)/($C$183*(1-IF($C$189=1,$C$15,$C$4)))))</f>
        <v>0.174819492250588</v>
      </c>
      <c r="P186" s="210" t="n">
        <f aca="false">$C$185/P185</f>
        <v>0.174819492250588</v>
      </c>
    </row>
    <row r="187" customFormat="false" ht="15" hidden="false" customHeight="true" outlineLevel="0" collapsed="false">
      <c r="B187" s="91" t="s">
        <v>299</v>
      </c>
      <c r="C187" s="209" t="n">
        <v>1</v>
      </c>
      <c r="E187" s="91" t="s">
        <v>300</v>
      </c>
      <c r="F187" s="208" t="n">
        <f aca="false">F184*F186</f>
        <v>1119.92841264</v>
      </c>
      <c r="G187" s="208" t="n">
        <f aca="false">G184*G186</f>
        <v>1170.22848761549</v>
      </c>
      <c r="H187" s="208" t="n">
        <f aca="false">H184*H186</f>
        <v>1205.51453821424</v>
      </c>
      <c r="I187" s="208" t="n">
        <f aca="false">I184*I186</f>
        <v>1221.84239887045</v>
      </c>
      <c r="J187" s="208" t="n">
        <f aca="false">J184*J186</f>
        <v>1214.83539198757</v>
      </c>
      <c r="K187" s="208" t="n">
        <f aca="false">K184*K186</f>
        <v>1179.56350599866</v>
      </c>
      <c r="L187" s="208" t="n">
        <f aca="false">L184*L186</f>
        <v>1110.30744521386</v>
      </c>
      <c r="M187" s="208" t="n">
        <f aca="false">M184*M186</f>
        <v>1000.11798457448</v>
      </c>
      <c r="N187" s="208" t="n">
        <f aca="false">N184*N186</f>
        <v>840.001729852469</v>
      </c>
      <c r="O187" s="208" t="n">
        <f aca="false">O184*O186</f>
        <v>617.391919183776</v>
      </c>
    </row>
    <row r="188" customFormat="false" ht="15" hidden="false" customHeight="true" outlineLevel="0" collapsed="false">
      <c r="B188" s="91" t="s">
        <v>301</v>
      </c>
      <c r="C188" s="209" t="n">
        <v>1</v>
      </c>
      <c r="E188" s="90" t="s">
        <v>47</v>
      </c>
      <c r="F188" s="211" t="n">
        <f aca="false">F184-F187</f>
        <v>1185.9068039064</v>
      </c>
      <c r="G188" s="211" t="n">
        <f aca="false">G184-G187</f>
        <v>1325.76127312211</v>
      </c>
      <c r="H188" s="211" t="n">
        <f aca="false">H184-H187</f>
        <v>1475.26166447663</v>
      </c>
      <c r="I188" s="211" t="n">
        <f aca="false">I184-I187</f>
        <v>1634.79272271694</v>
      </c>
      <c r="J188" s="211" t="n">
        <f aca="false">J184-J187</f>
        <v>1805.1040373839</v>
      </c>
      <c r="K188" s="211" t="n">
        <f aca="false">K184-K187</f>
        <v>1987.54763823084</v>
      </c>
      <c r="L188" s="211" t="n">
        <f aca="false">L184-L187</f>
        <v>2184.43827812809</v>
      </c>
      <c r="M188" s="211" t="n">
        <f aca="false">M184-M187</f>
        <v>2399.62030248463</v>
      </c>
      <c r="N188" s="211" t="n">
        <f aca="false">N184-N187</f>
        <v>2639.4037577334</v>
      </c>
      <c r="O188" s="211" t="n">
        <f aca="false">O184-O187</f>
        <v>2914.20465071588</v>
      </c>
      <c r="P188" s="211" t="n">
        <f aca="false">IF($C$187=1,P184*(1-P186),O188*(1+$C$185))</f>
        <v>2957.91772047662</v>
      </c>
    </row>
    <row r="189" customFormat="false" ht="15" hidden="false" customHeight="true" outlineLevel="0" collapsed="false">
      <c r="B189" s="91" t="s">
        <v>302</v>
      </c>
      <c r="C189" s="209" t="n">
        <v>0</v>
      </c>
      <c r="E189" s="91" t="s">
        <v>303</v>
      </c>
      <c r="F189" s="212" t="n">
        <f aca="false">DCF!O$71</f>
        <v>0.0347222222222222</v>
      </c>
      <c r="G189" s="212" t="n">
        <f aca="false">DCF!P$71</f>
        <v>0.569444444444444</v>
      </c>
      <c r="H189" s="212" t="n">
        <f aca="false">DCF!Q$71</f>
        <v>1.56944444444444</v>
      </c>
      <c r="I189" s="212" t="n">
        <f aca="false">DCF!R$71</f>
        <v>2.56944444444444</v>
      </c>
      <c r="J189" s="212" t="n">
        <f aca="false">DCF!S$71</f>
        <v>3.56944444444444</v>
      </c>
      <c r="K189" s="212" t="n">
        <f aca="false">DCF!T$71</f>
        <v>4.56944444444445</v>
      </c>
      <c r="L189" s="212" t="n">
        <f aca="false">DCF!U$71</f>
        <v>5.56944444444445</v>
      </c>
      <c r="M189" s="212" t="n">
        <f aca="false">DCF!V$71</f>
        <v>6.56944444444445</v>
      </c>
      <c r="N189" s="212" t="n">
        <f aca="false">DCF!W$71</f>
        <v>7.56944444444445</v>
      </c>
      <c r="O189" s="212" t="n">
        <f aca="false">DCF!X$71</f>
        <v>8.56944444444445</v>
      </c>
    </row>
    <row r="190" customFormat="false" ht="15" hidden="false" customHeight="true" outlineLevel="0" collapsed="false">
      <c r="B190" s="91" t="s">
        <v>113</v>
      </c>
      <c r="C190" s="97" t="n">
        <f aca="false">SUM(F190:O190)</f>
        <v>12309.8454096608</v>
      </c>
      <c r="E190" s="91" t="s">
        <v>304</v>
      </c>
      <c r="F190" s="208" t="n">
        <f aca="false">F188*IF($C$189=1,1,DCF!$O$70)/(1+$C$184)^F189</f>
        <v>82.1195793601576</v>
      </c>
      <c r="G190" s="208" t="n">
        <f aca="false">G188/(1+$C$184)^G189</f>
        <v>1265.04841606139</v>
      </c>
      <c r="H190" s="208" t="n">
        <f aca="false">H188/(1+$C$184)^H189</f>
        <v>1296.4623909656</v>
      </c>
      <c r="I190" s="208" t="n">
        <f aca="false">I188/(1+$C$184)^I189</f>
        <v>1323.13028059206</v>
      </c>
      <c r="J190" s="208" t="n">
        <f aca="false">J188/(1+$C$184)^J189</f>
        <v>1345.52322218258</v>
      </c>
      <c r="K190" s="208" t="n">
        <f aca="false">K188/(1+$C$184)^K189</f>
        <v>1364.44349117996</v>
      </c>
      <c r="L190" s="208" t="n">
        <f aca="false">L188/(1+$C$184)^L189</f>
        <v>1381.10542902973</v>
      </c>
      <c r="M190" s="208" t="n">
        <f aca="false">M188/(1+$C$184)^M189</f>
        <v>1397.2645130318</v>
      </c>
      <c r="N190" s="208" t="n">
        <f aca="false">N188/(1+$C$184)^N189</f>
        <v>1415.43841874013</v>
      </c>
      <c r="O190" s="208" t="n">
        <f aca="false">O188/(1+$C$184)^O189</f>
        <v>1439.30966851738</v>
      </c>
    </row>
    <row r="191" customFormat="false" ht="15" hidden="false" customHeight="true" outlineLevel="0" collapsed="false">
      <c r="B191" s="91" t="s">
        <v>111</v>
      </c>
      <c r="C191" s="97" t="n">
        <f aca="false">P188/($C$184-$C$185)</f>
        <v>41776.8531981022</v>
      </c>
    </row>
    <row r="192" customFormat="false" ht="15" hidden="false" customHeight="true" outlineLevel="0" collapsed="false">
      <c r="B192" s="91" t="s">
        <v>112</v>
      </c>
      <c r="C192" s="97" t="n">
        <f aca="false">C191/(1+$C$184)^O189</f>
        <v>20633.3583036074</v>
      </c>
    </row>
    <row r="193" customFormat="false" ht="15" hidden="false" customHeight="true" outlineLevel="0" collapsed="false">
      <c r="B193" s="91" t="s">
        <v>114</v>
      </c>
      <c r="C193" s="97" t="n">
        <f aca="false">C190+C192</f>
        <v>32943.2037132682</v>
      </c>
    </row>
    <row r="194" customFormat="false" ht="15" hidden="false" customHeight="true" outlineLevel="0" collapsed="false">
      <c r="B194" s="91" t="s">
        <v>305</v>
      </c>
      <c r="C194" s="97" t="n">
        <f aca="false">C193+$C$9-IF($C$189=1,'Sources &amp; Checks'!$B$7,$C$10)</f>
        <v>33732.0037132682</v>
      </c>
    </row>
    <row r="195" customFormat="false" ht="15" hidden="false" customHeight="true" outlineLevel="0" collapsed="false">
      <c r="B195" s="205" t="s">
        <v>117</v>
      </c>
      <c r="C195" s="213" t="n">
        <f aca="false">C194/$C$11</f>
        <v>31.6198010060632</v>
      </c>
    </row>
    <row r="196" customFormat="false" ht="15" hidden="false" customHeight="true" outlineLevel="0" collapsed="false">
      <c r="B196" s="91" t="s">
        <v>110</v>
      </c>
      <c r="C196" s="93" t="n">
        <f aca="false">1-P188/P184</f>
        <v>0.174819492250588</v>
      </c>
    </row>
    <row r="197" customFormat="false" ht="15" hidden="false" customHeight="true" outlineLevel="0" collapsed="false">
      <c r="B197" s="91" t="s">
        <v>306</v>
      </c>
      <c r="C197" s="93" t="n">
        <f aca="false">C192/C193</f>
        <v>0.626331260407959</v>
      </c>
    </row>
    <row r="200" customFormat="false" ht="15" hidden="false" customHeight="true" outlineLevel="0" collapsed="false">
      <c r="B200" s="86" t="s">
        <v>15</v>
      </c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</row>
    <row r="201" customFormat="false" ht="15" hidden="false" customHeight="true" outlineLevel="0" collapsed="false">
      <c r="B201" s="205" t="s">
        <v>291</v>
      </c>
      <c r="C201" s="205" t="s">
        <v>199</v>
      </c>
      <c r="E201" s="205" t="s">
        <v>292</v>
      </c>
      <c r="F201" s="206" t="str">
        <f aca="false">"FY"&amp;RIGHT(DCF!O$38,2)</f>
        <v>FY26</v>
      </c>
      <c r="G201" s="206" t="str">
        <f aca="false">"FY"&amp;RIGHT(DCF!P$38,2)</f>
        <v>FY27</v>
      </c>
      <c r="H201" s="206" t="str">
        <f aca="false">"FY"&amp;RIGHT(DCF!Q$38,2)</f>
        <v>FY28</v>
      </c>
      <c r="I201" s="206" t="str">
        <f aca="false">"FY"&amp;RIGHT(DCF!R$38,2)</f>
        <v>FY29</v>
      </c>
      <c r="J201" s="206" t="str">
        <f aca="false">"FY"&amp;RIGHT(DCF!S$38,2)</f>
        <v>FY30</v>
      </c>
      <c r="K201" s="206" t="str">
        <f aca="false">"FY"&amp;RIGHT(DCF!T$38,2)</f>
        <v>FY31</v>
      </c>
      <c r="L201" s="206" t="str">
        <f aca="false">"FY"&amp;RIGHT(DCF!U$38,2)</f>
        <v>FY32</v>
      </c>
      <c r="M201" s="206" t="str">
        <f aca="false">"FY"&amp;RIGHT(DCF!V$38,2)</f>
        <v>FY33</v>
      </c>
      <c r="N201" s="206" t="str">
        <f aca="false">"FY"&amp;RIGHT(DCF!W$38,2)</f>
        <v>FY34</v>
      </c>
      <c r="O201" s="206" t="str">
        <f aca="false">"FY"&amp;RIGHT(DCF!X$38,2)</f>
        <v>FY35</v>
      </c>
      <c r="P201" s="206" t="s">
        <v>40</v>
      </c>
    </row>
    <row r="202" customFormat="false" ht="15" hidden="false" customHeight="true" outlineLevel="0" collapsed="false">
      <c r="B202" s="91" t="s">
        <v>293</v>
      </c>
      <c r="C202" s="96" t="n">
        <f aca="false">DCF!$P$11</f>
        <v>0.11</v>
      </c>
      <c r="E202" s="91" t="s">
        <v>294</v>
      </c>
      <c r="F202" s="207" t="n">
        <f aca="false">$C$202</f>
        <v>0.11</v>
      </c>
      <c r="G202" s="207" t="n">
        <f aca="false">IF($C$206=1,F202-($C$202-$C$205)/$C$12,$C$202)</f>
        <v>0.1</v>
      </c>
      <c r="H202" s="207" t="n">
        <f aca="false">IF($C$206=1,G202-($C$202-$C$205)/$C$12,$C$202)</f>
        <v>0.09</v>
      </c>
      <c r="I202" s="207" t="n">
        <f aca="false">IF($C$206=1,H202-($C$202-$C$205)/$C$12,$C$202)</f>
        <v>0.08</v>
      </c>
      <c r="J202" s="207" t="n">
        <f aca="false">IF($C$206=1,I202-($C$202-$C$205)/$C$12,$C$202)</f>
        <v>0.07</v>
      </c>
      <c r="K202" s="207" t="n">
        <f aca="false">IF($C$206=1,J202-($C$202-$C$205)/$C$12,$C$202)</f>
        <v>0.06</v>
      </c>
      <c r="L202" s="207" t="n">
        <f aca="false">IF($C$206=1,K202-($C$202-$C$205)/$C$12,$C$202)</f>
        <v>0.05</v>
      </c>
      <c r="M202" s="207" t="n">
        <f aca="false">IF($C$206=1,L202-($C$202-$C$205)/$C$12,$C$202)</f>
        <v>0.04</v>
      </c>
      <c r="N202" s="207" t="n">
        <f aca="false">IF($C$206=1,M202-($C$202-$C$205)/$C$12,$C$202)</f>
        <v>0.03</v>
      </c>
      <c r="O202" s="207" t="n">
        <f aca="false">IF($C$206=1,N202-($C$202-$C$205)/$C$12,$C$202)</f>
        <v>0.02</v>
      </c>
    </row>
    <row r="203" customFormat="false" ht="15" hidden="false" customHeight="true" outlineLevel="0" collapsed="false">
      <c r="B203" s="91" t="s">
        <v>295</v>
      </c>
      <c r="C203" s="96" t="n">
        <f aca="false">DCF!$P$13</f>
        <v>0.185</v>
      </c>
      <c r="E203" s="91" t="s">
        <v>16</v>
      </c>
      <c r="F203" s="208" t="n">
        <f aca="false">$C$8*(1+F202)</f>
        <v>15482.835</v>
      </c>
      <c r="G203" s="208" t="n">
        <f aca="false">F203*(1+G202)</f>
        <v>17031.1185</v>
      </c>
      <c r="H203" s="208" t="n">
        <f aca="false">G203*(1+H202)</f>
        <v>18563.919165</v>
      </c>
      <c r="I203" s="208" t="n">
        <f aca="false">H203*(1+I202)</f>
        <v>20049.0326982</v>
      </c>
      <c r="J203" s="208" t="n">
        <f aca="false">I203*(1+J202)</f>
        <v>21452.464987074</v>
      </c>
      <c r="K203" s="208" t="n">
        <f aca="false">J203*(1+K202)</f>
        <v>22739.6128862985</v>
      </c>
      <c r="L203" s="208" t="n">
        <f aca="false">K203*(1+L202)</f>
        <v>23876.5935306134</v>
      </c>
      <c r="M203" s="208" t="n">
        <f aca="false">L203*(1+M202)</f>
        <v>24831.6572718379</v>
      </c>
      <c r="N203" s="208" t="n">
        <f aca="false">M203*(1+N202)</f>
        <v>25576.606989993</v>
      </c>
      <c r="O203" s="208" t="n">
        <f aca="false">N203*(1+O202)</f>
        <v>26088.1391297929</v>
      </c>
    </row>
    <row r="204" customFormat="false" ht="15" hidden="false" customHeight="true" outlineLevel="0" collapsed="false">
      <c r="B204" s="91" t="s">
        <v>21</v>
      </c>
      <c r="C204" s="95" t="n">
        <f aca="false">DCF!$P$16</f>
        <v>0.082</v>
      </c>
      <c r="E204" s="91" t="s">
        <v>296</v>
      </c>
      <c r="F204" s="208" t="n">
        <f aca="false">F203*$C$203*(1-IF($C$209=1,$C$15,$C$4))</f>
        <v>2520.605538</v>
      </c>
      <c r="G204" s="208" t="n">
        <f aca="false">G203*$C$203*(1-IF($C$209=1,$C$15,$C$4))</f>
        <v>2772.6660918</v>
      </c>
      <c r="H204" s="208" t="n">
        <f aca="false">H203*$C$203*(1-IF($C$209=1,$C$15,$C$4))</f>
        <v>3022.206040062</v>
      </c>
      <c r="I204" s="208" t="n">
        <f aca="false">I203*$C$203*(1-IF($C$209=1,$C$15,$C$4))</f>
        <v>3263.98252326696</v>
      </c>
      <c r="J204" s="208" t="n">
        <f aca="false">J203*$C$203*(1-IF($C$209=1,$C$15,$C$4))</f>
        <v>3492.46129989565</v>
      </c>
      <c r="K204" s="208" t="n">
        <f aca="false">K203*$C$203*(1-IF($C$209=1,$C$15,$C$4))</f>
        <v>3702.00897788939</v>
      </c>
      <c r="L204" s="208" t="n">
        <f aca="false">L203*$C$203*(1-IF($C$209=1,$C$15,$C$4))</f>
        <v>3887.10942678386</v>
      </c>
      <c r="M204" s="208" t="n">
        <f aca="false">M203*$C$203*(1-IF($C$209=1,$C$15,$C$4))</f>
        <v>4042.59380385521</v>
      </c>
      <c r="N204" s="208" t="n">
        <f aca="false">N203*$C$203*(1-IF($C$209=1,$C$15,$C$4))</f>
        <v>4163.87161797087</v>
      </c>
      <c r="O204" s="208" t="n">
        <f aca="false">O203*$C$203*(1-IF($C$209=1,$C$15,$C$4))</f>
        <v>4247.14905033029</v>
      </c>
      <c r="P204" s="208" t="n">
        <f aca="false">O204*(1+$C$205)</f>
        <v>4332.09203133689</v>
      </c>
    </row>
    <row r="205" customFormat="false" ht="15" hidden="false" customHeight="true" outlineLevel="0" collapsed="false">
      <c r="B205" s="91" t="s">
        <v>297</v>
      </c>
      <c r="C205" s="96" t="n">
        <f aca="false">DCF!$P$17</f>
        <v>0.02</v>
      </c>
      <c r="E205" s="91" t="s">
        <v>46</v>
      </c>
      <c r="F205" s="207" t="n">
        <f aca="false">$C$202/(($C$6-$C$5+$C$7)/($C$203*(1-IF($C$209=1,$C$15,$C$4))))</f>
        <v>0.243315217391304</v>
      </c>
      <c r="G205" s="207" t="n">
        <f aca="false">IF($C$208=1,F205-($F205-$C$204)/$C$12,G202/(($C$6-$C$5+$C$7)/($C$203*(1-IF($C$209=1,$C$15,$C$4)))))</f>
        <v>0.225391304347826</v>
      </c>
      <c r="H205" s="207" t="n">
        <f aca="false">IF($C$208=1,G205-($F205-$C$204)/$C$12,H202/(($C$6-$C$5+$C$7)/($C$203*(1-IF($C$209=1,$C$15,$C$4)))))</f>
        <v>0.207467391304348</v>
      </c>
      <c r="I205" s="207" t="n">
        <f aca="false">IF($C$208=1,H205-($F205-$C$204)/$C$12,I202/(($C$6-$C$5+$C$7)/($C$203*(1-IF($C$209=1,$C$15,$C$4)))))</f>
        <v>0.18954347826087</v>
      </c>
      <c r="J205" s="207" t="n">
        <f aca="false">IF($C$208=1,I205-($F205-$C$204)/$C$12,J202/(($C$6-$C$5+$C$7)/($C$203*(1-IF($C$209=1,$C$15,$C$4)))))</f>
        <v>0.171619565217391</v>
      </c>
      <c r="K205" s="207" t="n">
        <f aca="false">IF($C$208=1,J205-($F205-$C$204)/$C$12,K202/(($C$6-$C$5+$C$7)/($C$203*(1-IF($C$209=1,$C$15,$C$4)))))</f>
        <v>0.153695652173913</v>
      </c>
      <c r="L205" s="207" t="n">
        <f aca="false">IF($C$208=1,K205-($F205-$C$204)/$C$12,L202/(($C$6-$C$5+$C$7)/($C$203*(1-IF($C$209=1,$C$15,$C$4)))))</f>
        <v>0.135771739130435</v>
      </c>
      <c r="M205" s="207" t="n">
        <f aca="false">IF($C$208=1,L205-($F205-$C$204)/$C$12,M202/(($C$6-$C$5+$C$7)/($C$203*(1-IF($C$209=1,$C$15,$C$4)))))</f>
        <v>0.117847826086957</v>
      </c>
      <c r="N205" s="207" t="n">
        <f aca="false">IF($C$208=1,M205-($F205-$C$204)/$C$12,N202/(($C$6-$C$5+$C$7)/($C$203*(1-IF($C$209=1,$C$15,$C$4)))))</f>
        <v>0.0999239130434783</v>
      </c>
      <c r="O205" s="207" t="n">
        <f aca="false">IF($C$208=1,N205-($F205-$C$204)/$C$12,O202/(($C$6-$C$5+$C$7)/($C$203*(1-IF($C$209=1,$C$15,$C$4)))))</f>
        <v>0.0820000000000001</v>
      </c>
      <c r="P205" s="207" t="n">
        <f aca="false">$C$204</f>
        <v>0.082</v>
      </c>
    </row>
    <row r="206" customFormat="false" ht="15" hidden="false" customHeight="true" outlineLevel="0" collapsed="false">
      <c r="B206" s="91" t="s">
        <v>298</v>
      </c>
      <c r="C206" s="209" t="n">
        <v>1</v>
      </c>
      <c r="E206" s="91" t="s">
        <v>45</v>
      </c>
      <c r="F206" s="210" t="n">
        <f aca="false">IF($C$208=1,F202/F205,(($C$6-$C$5+$C$7)/($C$203*(1-IF($C$209=1,$C$15,$C$4)))))</f>
        <v>0.452088452088452</v>
      </c>
      <c r="G206" s="210" t="n">
        <f aca="false">IF($C$208=1,G202/G205,(($C$6-$C$5+$C$7)/($C$203*(1-IF($C$209=1,$C$15,$C$4)))))</f>
        <v>0.443672839506173</v>
      </c>
      <c r="H206" s="210" t="n">
        <f aca="false">IF($C$208=1,H202/H205,(($C$6-$C$5+$C$7)/($C$203*(1-IF($C$209=1,$C$15,$C$4)))))</f>
        <v>0.433803112065804</v>
      </c>
      <c r="I206" s="210" t="n">
        <f aca="false">IF($C$208=1,I202/I205,(($C$6-$C$5+$C$7)/($C$203*(1-IF($C$209=1,$C$15,$C$4)))))</f>
        <v>0.422066750774171</v>
      </c>
      <c r="J206" s="210" t="n">
        <f aca="false">IF($C$208=1,J202/J205,(($C$6-$C$5+$C$7)/($C$203*(1-IF($C$209=1,$C$15,$C$4)))))</f>
        <v>0.407878903033758</v>
      </c>
      <c r="K206" s="210" t="n">
        <f aca="false">IF($C$208=1,K202/K205,(($C$6-$C$5+$C$7)/($C$203*(1-IF($C$209=1,$C$15,$C$4)))))</f>
        <v>0.39038189533239</v>
      </c>
      <c r="L206" s="210" t="n">
        <f aca="false">IF($C$208=1,L202/L205,(($C$6-$C$5+$C$7)/($C$203*(1-IF($C$209=1,$C$15,$C$4)))))</f>
        <v>0.368265150908654</v>
      </c>
      <c r="M206" s="210" t="n">
        <f aca="false">IF($C$208=1,M202/M205,(($C$6-$C$5+$C$7)/($C$203*(1-IF($C$209=1,$C$15,$C$4)))))</f>
        <v>0.339420771075447</v>
      </c>
      <c r="N206" s="210" t="n">
        <f aca="false">IF($C$208=1,N202/N205,(($C$6-$C$5+$C$7)/($C$203*(1-IF($C$209=1,$C$15,$C$4)))))</f>
        <v>0.30022843467856</v>
      </c>
      <c r="O206" s="210" t="n">
        <f aca="false">IF($C$208=1,O202/O205,(($C$6-$C$5+$C$7)/($C$203*(1-IF($C$209=1,$C$15,$C$4)))))</f>
        <v>0.24390243902439</v>
      </c>
      <c r="P206" s="210" t="n">
        <f aca="false">$C$205/P205</f>
        <v>0.24390243902439</v>
      </c>
    </row>
    <row r="207" customFormat="false" ht="15" hidden="false" customHeight="true" outlineLevel="0" collapsed="false">
      <c r="B207" s="91" t="s">
        <v>299</v>
      </c>
      <c r="C207" s="209" t="n">
        <v>1</v>
      </c>
      <c r="E207" s="91" t="s">
        <v>300</v>
      </c>
      <c r="F207" s="208" t="n">
        <f aca="false">F204*F206</f>
        <v>1139.536656</v>
      </c>
      <c r="G207" s="208" t="n">
        <f aca="false">G204*G206</f>
        <v>1230.15663795139</v>
      </c>
      <c r="H207" s="208" t="n">
        <f aca="false">H204*H206</f>
        <v>1311.04238548297</v>
      </c>
      <c r="I207" s="208" t="n">
        <f aca="false">I204*I206</f>
        <v>1377.61849817897</v>
      </c>
      <c r="J207" s="208" t="n">
        <f aca="false">J204*J206</f>
        <v>1424.50128388929</v>
      </c>
      <c r="K207" s="208" t="n">
        <f aca="false">K204*K206</f>
        <v>1445.19728132598</v>
      </c>
      <c r="L207" s="208" t="n">
        <f aca="false">L204*L206</f>
        <v>1431.48693965301</v>
      </c>
      <c r="M207" s="208" t="n">
        <f aca="false">M204*M206</f>
        <v>1372.14030604936</v>
      </c>
      <c r="N207" s="208" t="n">
        <f aca="false">N204*N206</f>
        <v>1250.11265806588</v>
      </c>
      <c r="O207" s="208" t="n">
        <f aca="false">O204*O206</f>
        <v>1035.89001227568</v>
      </c>
    </row>
    <row r="208" customFormat="false" ht="15" hidden="false" customHeight="true" outlineLevel="0" collapsed="false">
      <c r="B208" s="91" t="s">
        <v>301</v>
      </c>
      <c r="C208" s="209" t="n">
        <v>1</v>
      </c>
      <c r="E208" s="90" t="s">
        <v>47</v>
      </c>
      <c r="F208" s="211" t="n">
        <f aca="false">F204-F207</f>
        <v>1381.068882</v>
      </c>
      <c r="G208" s="211" t="n">
        <f aca="false">G204-G207</f>
        <v>1542.50945384861</v>
      </c>
      <c r="H208" s="211" t="n">
        <f aca="false">H204-H207</f>
        <v>1711.16365457904</v>
      </c>
      <c r="I208" s="211" t="n">
        <f aca="false">I204-I207</f>
        <v>1886.36402508799</v>
      </c>
      <c r="J208" s="211" t="n">
        <f aca="false">J204-J207</f>
        <v>2067.96001600636</v>
      </c>
      <c r="K208" s="211" t="n">
        <f aca="false">K204-K207</f>
        <v>2256.8116965634</v>
      </c>
      <c r="L208" s="211" t="n">
        <f aca="false">L204-L207</f>
        <v>2455.62248713085</v>
      </c>
      <c r="M208" s="211" t="n">
        <f aca="false">M204-M207</f>
        <v>2670.45349780585</v>
      </c>
      <c r="N208" s="211" t="n">
        <f aca="false">N204-N207</f>
        <v>2913.75895990499</v>
      </c>
      <c r="O208" s="211" t="n">
        <f aca="false">O204-O207</f>
        <v>3211.25903805461</v>
      </c>
      <c r="P208" s="211" t="n">
        <f aca="false">IF($C$207=1,P204*(1-P206),O208*(1+$C$205))</f>
        <v>3275.4842188157</v>
      </c>
    </row>
    <row r="209" customFormat="false" ht="15" hidden="false" customHeight="true" outlineLevel="0" collapsed="false">
      <c r="B209" s="91" t="s">
        <v>302</v>
      </c>
      <c r="C209" s="209" t="n">
        <v>0</v>
      </c>
      <c r="E209" s="91" t="s">
        <v>303</v>
      </c>
      <c r="F209" s="212" t="n">
        <f aca="false">DCF!O$71</f>
        <v>0.0347222222222222</v>
      </c>
      <c r="G209" s="212" t="n">
        <f aca="false">DCF!P$71</f>
        <v>0.569444444444444</v>
      </c>
      <c r="H209" s="212" t="n">
        <f aca="false">DCF!Q$71</f>
        <v>1.56944444444444</v>
      </c>
      <c r="I209" s="212" t="n">
        <f aca="false">DCF!R$71</f>
        <v>2.56944444444444</v>
      </c>
      <c r="J209" s="212" t="n">
        <f aca="false">DCF!S$71</f>
        <v>3.56944444444444</v>
      </c>
      <c r="K209" s="212" t="n">
        <f aca="false">DCF!T$71</f>
        <v>4.56944444444445</v>
      </c>
      <c r="L209" s="212" t="n">
        <f aca="false">DCF!U$71</f>
        <v>5.56944444444445</v>
      </c>
      <c r="M209" s="212" t="n">
        <f aca="false">DCF!V$71</f>
        <v>6.56944444444445</v>
      </c>
      <c r="N209" s="212" t="n">
        <f aca="false">DCF!W$71</f>
        <v>7.56944444444445</v>
      </c>
      <c r="O209" s="212" t="n">
        <f aca="false">DCF!X$71</f>
        <v>8.56944444444445</v>
      </c>
    </row>
    <row r="210" customFormat="false" ht="15" hidden="false" customHeight="true" outlineLevel="0" collapsed="false">
      <c r="B210" s="91" t="s">
        <v>113</v>
      </c>
      <c r="C210" s="97" t="n">
        <f aca="false">SUM(F210:O210)</f>
        <v>14171.7844838877</v>
      </c>
      <c r="E210" s="91" t="s">
        <v>304</v>
      </c>
      <c r="F210" s="208" t="n">
        <f aca="false">F208*IF($C$209=1,1,DCF!$O$70)/(1+$C$204)^F209</f>
        <v>95.6454690449543</v>
      </c>
      <c r="G210" s="208" t="n">
        <f aca="false">G208/(1+$C$204)^G209</f>
        <v>1474.81420159783</v>
      </c>
      <c r="H210" s="208" t="n">
        <f aca="false">H208/(1+$C$204)^H209</f>
        <v>1512.07649673523</v>
      </c>
      <c r="I210" s="208" t="n">
        <f aca="false">I208/(1+$C$204)^I209</f>
        <v>1540.56653746999</v>
      </c>
      <c r="J210" s="208" t="n">
        <f aca="false">J208/(1+$C$204)^J209</f>
        <v>1560.88113465781</v>
      </c>
      <c r="K210" s="208" t="n">
        <f aca="false">K208/(1+$C$204)^K209</f>
        <v>1574.32994963098</v>
      </c>
      <c r="L210" s="208" t="n">
        <f aca="false">L208/(1+$C$204)^L209</f>
        <v>1583.19632973223</v>
      </c>
      <c r="M210" s="208" t="n">
        <f aca="false">M208/(1+$C$204)^M209</f>
        <v>1591.2225751491</v>
      </c>
      <c r="N210" s="208" t="n">
        <f aca="false">N208/(1+$C$204)^N209</f>
        <v>1604.62026661976</v>
      </c>
      <c r="O210" s="208" t="n">
        <f aca="false">O208/(1+$C$204)^O209</f>
        <v>1634.43152324979</v>
      </c>
    </row>
    <row r="211" customFormat="false" ht="15" hidden="false" customHeight="true" outlineLevel="0" collapsed="false">
      <c r="B211" s="91" t="s">
        <v>111</v>
      </c>
      <c r="C211" s="97" t="n">
        <f aca="false">P208/($C$204-$C$205)</f>
        <v>52830.3906260597</v>
      </c>
    </row>
    <row r="212" customFormat="false" ht="15" hidden="false" customHeight="true" outlineLevel="0" collapsed="false">
      <c r="B212" s="91" t="s">
        <v>112</v>
      </c>
      <c r="C212" s="97" t="n">
        <f aca="false">C211/(1+$C$204)^O209</f>
        <v>26889.0347373352</v>
      </c>
    </row>
    <row r="213" customFormat="false" ht="15" hidden="false" customHeight="true" outlineLevel="0" collapsed="false">
      <c r="B213" s="91" t="s">
        <v>114</v>
      </c>
      <c r="C213" s="97" t="n">
        <f aca="false">C210+C212</f>
        <v>41060.8192212229</v>
      </c>
    </row>
    <row r="214" customFormat="false" ht="15" hidden="false" customHeight="true" outlineLevel="0" collapsed="false">
      <c r="B214" s="91" t="s">
        <v>305</v>
      </c>
      <c r="C214" s="97" t="n">
        <f aca="false">C213+$C$9-IF($C$209=1,'Sources &amp; Checks'!$B$7,$C$10)</f>
        <v>41849.6192212229</v>
      </c>
    </row>
    <row r="215" customFormat="false" ht="15" hidden="false" customHeight="true" outlineLevel="0" collapsed="false">
      <c r="B215" s="205" t="s">
        <v>117</v>
      </c>
      <c r="C215" s="213" t="n">
        <f aca="false">C214/$C$11</f>
        <v>39.2291143805989</v>
      </c>
    </row>
    <row r="216" customFormat="false" ht="15" hidden="false" customHeight="true" outlineLevel="0" collapsed="false">
      <c r="B216" s="91" t="s">
        <v>110</v>
      </c>
      <c r="C216" s="93" t="n">
        <f aca="false">1-P208/P204</f>
        <v>0.24390243902439</v>
      </c>
    </row>
    <row r="217" customFormat="false" ht="15" hidden="false" customHeight="true" outlineLevel="0" collapsed="false">
      <c r="B217" s="91" t="s">
        <v>306</v>
      </c>
      <c r="C217" s="93" t="n">
        <f aca="false">C212/C213</f>
        <v>0.654858701003151</v>
      </c>
    </row>
    <row r="220" customFormat="false" ht="15" hidden="false" customHeight="true" outlineLevel="0" collapsed="false">
      <c r="B220" s="86" t="s">
        <v>314</v>
      </c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</row>
    <row r="221" customFormat="false" ht="15" hidden="false" customHeight="true" outlineLevel="0" collapsed="false">
      <c r="B221" s="205" t="s">
        <v>291</v>
      </c>
      <c r="C221" s="205" t="s">
        <v>199</v>
      </c>
      <c r="E221" s="205" t="s">
        <v>292</v>
      </c>
      <c r="F221" s="206" t="str">
        <f aca="false">"FY"&amp;RIGHT(DCF!O$38,2)</f>
        <v>FY26</v>
      </c>
      <c r="G221" s="206" t="str">
        <f aca="false">"FY"&amp;RIGHT(DCF!P$38,2)</f>
        <v>FY27</v>
      </c>
      <c r="H221" s="206" t="str">
        <f aca="false">"FY"&amp;RIGHT(DCF!Q$38,2)</f>
        <v>FY28</v>
      </c>
      <c r="I221" s="206" t="str">
        <f aca="false">"FY"&amp;RIGHT(DCF!R$38,2)</f>
        <v>FY29</v>
      </c>
      <c r="J221" s="206" t="str">
        <f aca="false">"FY"&amp;RIGHT(DCF!S$38,2)</f>
        <v>FY30</v>
      </c>
      <c r="K221" s="206" t="str">
        <f aca="false">"FY"&amp;RIGHT(DCF!T$38,2)</f>
        <v>FY31</v>
      </c>
      <c r="L221" s="206" t="str">
        <f aca="false">"FY"&amp;RIGHT(DCF!U$38,2)</f>
        <v>FY32</v>
      </c>
      <c r="M221" s="206" t="str">
        <f aca="false">"FY"&amp;RIGHT(DCF!V$38,2)</f>
        <v>FY33</v>
      </c>
      <c r="N221" s="206" t="str">
        <f aca="false">"FY"&amp;RIGHT(DCF!W$38,2)</f>
        <v>FY34</v>
      </c>
      <c r="O221" s="206" t="str">
        <f aca="false">"FY"&amp;RIGHT(DCF!X$38,2)</f>
        <v>FY35</v>
      </c>
      <c r="P221" s="206" t="s">
        <v>40</v>
      </c>
    </row>
    <row r="222" customFormat="false" ht="15" hidden="false" customHeight="true" outlineLevel="0" collapsed="false">
      <c r="B222" s="91" t="s">
        <v>293</v>
      </c>
      <c r="C222" s="96" t="n">
        <f aca="false">DCF!$H$11</f>
        <v>0.07</v>
      </c>
      <c r="E222" s="91" t="s">
        <v>294</v>
      </c>
      <c r="F222" s="207" t="n">
        <f aca="false">$C$222</f>
        <v>0.07</v>
      </c>
      <c r="G222" s="207" t="n">
        <f aca="false">IF($C$226=1,F222-($C$222-$C$225)/$C$12,$C$222)</f>
        <v>0.07</v>
      </c>
      <c r="H222" s="207" t="n">
        <f aca="false">IF($C$226=1,G222-($C$222-$C$225)/$C$12,$C$222)</f>
        <v>0.07</v>
      </c>
      <c r="I222" s="207" t="n">
        <f aca="false">IF($C$226=1,H222-($C$222-$C$225)/$C$12,$C$222)</f>
        <v>0.07</v>
      </c>
      <c r="J222" s="207" t="n">
        <f aca="false">IF($C$226=1,I222-($C$222-$C$225)/$C$12,$C$222)</f>
        <v>0.07</v>
      </c>
      <c r="K222" s="207" t="n">
        <f aca="false">IF($C$226=1,J222-($C$222-$C$225)/$C$12,$C$222)</f>
        <v>0.07</v>
      </c>
      <c r="L222" s="207" t="n">
        <f aca="false">IF($C$226=1,K222-($C$222-$C$225)/$C$12,$C$222)</f>
        <v>0.07</v>
      </c>
      <c r="M222" s="207" t="n">
        <f aca="false">IF($C$226=1,L222-($C$222-$C$225)/$C$12,$C$222)</f>
        <v>0.07</v>
      </c>
      <c r="N222" s="207" t="n">
        <f aca="false">IF($C$226=1,M222-($C$222-$C$225)/$C$12,$C$222)</f>
        <v>0.07</v>
      </c>
      <c r="O222" s="207" t="n">
        <f aca="false">IF($C$226=1,N222-($C$222-$C$225)/$C$12,$C$222)</f>
        <v>0.07</v>
      </c>
    </row>
    <row r="223" customFormat="false" ht="15" hidden="false" customHeight="true" outlineLevel="0" collapsed="false">
      <c r="B223" s="91" t="s">
        <v>295</v>
      </c>
      <c r="C223" s="96" t="n">
        <f aca="false">DCF!$H$13</f>
        <v>0.16</v>
      </c>
      <c r="E223" s="91" t="s">
        <v>16</v>
      </c>
      <c r="F223" s="208" t="n">
        <f aca="false">$C$8*(1+F222)</f>
        <v>14924.895</v>
      </c>
      <c r="G223" s="208" t="n">
        <f aca="false">F223*(1+G222)</f>
        <v>15969.63765</v>
      </c>
      <c r="H223" s="208" t="n">
        <f aca="false">G223*(1+H222)</f>
        <v>17087.5122855</v>
      </c>
      <c r="I223" s="208" t="n">
        <f aca="false">H223*(1+I222)</f>
        <v>18283.638145485</v>
      </c>
      <c r="J223" s="208" t="n">
        <f aca="false">I223*(1+J222)</f>
        <v>19563.492815669</v>
      </c>
      <c r="K223" s="208" t="n">
        <f aca="false">J223*(1+K222)</f>
        <v>20932.9373127658</v>
      </c>
      <c r="L223" s="208" t="n">
        <f aca="false">K223*(1+L222)</f>
        <v>22398.2429246594</v>
      </c>
      <c r="M223" s="208" t="n">
        <f aca="false">L223*(1+M222)</f>
        <v>23966.1199293855</v>
      </c>
      <c r="N223" s="208" t="n">
        <f aca="false">M223*(1+N222)</f>
        <v>25643.7483244425</v>
      </c>
      <c r="O223" s="208" t="n">
        <f aca="false">N223*(1+O222)</f>
        <v>27438.8107071535</v>
      </c>
    </row>
    <row r="224" customFormat="false" ht="15" hidden="false" customHeight="true" outlineLevel="0" collapsed="false">
      <c r="B224" s="91" t="s">
        <v>21</v>
      </c>
      <c r="C224" s="95" t="n">
        <f aca="false">DCF!$H$16</f>
        <v>0.092</v>
      </c>
      <c r="E224" s="91" t="s">
        <v>296</v>
      </c>
      <c r="F224" s="208" t="n">
        <f aca="false">F223*$C$223*(1-IF($C$229=1,$C$15,$C$4))</f>
        <v>2149.18488</v>
      </c>
      <c r="G224" s="208" t="n">
        <f aca="false">G223*$C$223*(1-IF($C$229=1,$C$15,$C$4))</f>
        <v>2299.6278216</v>
      </c>
      <c r="H224" s="208" t="n">
        <f aca="false">H223*$C$223*(1-IF($C$229=1,$C$15,$C$4))</f>
        <v>2460.601769112</v>
      </c>
      <c r="I224" s="208" t="n">
        <f aca="false">I223*$C$223*(1-IF($C$229=1,$C$15,$C$4))</f>
        <v>2632.84389294984</v>
      </c>
      <c r="J224" s="208" t="n">
        <f aca="false">J223*$C$223*(1-IF($C$229=1,$C$15,$C$4))</f>
        <v>2817.14296545633</v>
      </c>
      <c r="K224" s="208" t="n">
        <f aca="false">K223*$C$223*(1-IF($C$229=1,$C$15,$C$4))</f>
        <v>3014.34297303827</v>
      </c>
      <c r="L224" s="208" t="n">
        <f aca="false">L223*$C$223*(1-IF($C$229=1,$C$15,$C$4))</f>
        <v>3225.34698115095</v>
      </c>
      <c r="M224" s="208" t="n">
        <f aca="false">M223*$C$223*(1-IF($C$229=1,$C$15,$C$4))</f>
        <v>3451.12126983152</v>
      </c>
      <c r="N224" s="208" t="n">
        <f aca="false">N223*$C$223*(1-IF($C$229=1,$C$15,$C$4))</f>
        <v>3692.69975871973</v>
      </c>
      <c r="O224" s="208" t="n">
        <f aca="false">O223*$C$223*(1-IF($C$229=1,$C$15,$C$4))</f>
        <v>3951.18874183011</v>
      </c>
      <c r="P224" s="208" t="n">
        <f aca="false">O224*(1+$C$225)</f>
        <v>3990.70062924841</v>
      </c>
    </row>
    <row r="225" customFormat="false" ht="15" hidden="false" customHeight="true" outlineLevel="0" collapsed="false">
      <c r="B225" s="91" t="s">
        <v>297</v>
      </c>
      <c r="C225" s="96" t="n">
        <f aca="false">DCF!$H$17</f>
        <v>0.01</v>
      </c>
      <c r="E225" s="91" t="s">
        <v>46</v>
      </c>
      <c r="F225" s="207" t="n">
        <f aca="false">$C$222/(($C$6-$C$5+$C$7)/($C$223*(1-IF($C$229=1,$C$15,$C$4))))</f>
        <v>0.13695652173913</v>
      </c>
      <c r="G225" s="207" t="n">
        <f aca="false">IF($C$228=1,F225-($F225-$C$224)/$C$12,G222/(($C$6-$C$5+$C$7)/($C$223*(1-IF($C$229=1,$C$15,$C$4)))))</f>
        <v>0.13695652173913</v>
      </c>
      <c r="H225" s="207" t="n">
        <f aca="false">IF($C$228=1,G225-($F225-$C$224)/$C$12,H222/(($C$6-$C$5+$C$7)/($C$223*(1-IF($C$229=1,$C$15,$C$4)))))</f>
        <v>0.13695652173913</v>
      </c>
      <c r="I225" s="207" t="n">
        <f aca="false">IF($C$228=1,H225-($F225-$C$224)/$C$12,I222/(($C$6-$C$5+$C$7)/($C$223*(1-IF($C$229=1,$C$15,$C$4)))))</f>
        <v>0.13695652173913</v>
      </c>
      <c r="J225" s="207" t="n">
        <f aca="false">IF($C$228=1,I225-($F225-$C$224)/$C$12,J222/(($C$6-$C$5+$C$7)/($C$223*(1-IF($C$229=1,$C$15,$C$4)))))</f>
        <v>0.13695652173913</v>
      </c>
      <c r="K225" s="207" t="n">
        <f aca="false">IF($C$228=1,J225-($F225-$C$224)/$C$12,K222/(($C$6-$C$5+$C$7)/($C$223*(1-IF($C$229=1,$C$15,$C$4)))))</f>
        <v>0.13695652173913</v>
      </c>
      <c r="L225" s="207" t="n">
        <f aca="false">IF($C$228=1,K225-($F225-$C$224)/$C$12,L222/(($C$6-$C$5+$C$7)/($C$223*(1-IF($C$229=1,$C$15,$C$4)))))</f>
        <v>0.13695652173913</v>
      </c>
      <c r="M225" s="207" t="n">
        <f aca="false">IF($C$228=1,L225-($F225-$C$224)/$C$12,M222/(($C$6-$C$5+$C$7)/($C$223*(1-IF($C$229=1,$C$15,$C$4)))))</f>
        <v>0.13695652173913</v>
      </c>
      <c r="N225" s="207" t="n">
        <f aca="false">IF($C$228=1,M225-($F225-$C$224)/$C$12,N222/(($C$6-$C$5+$C$7)/($C$223*(1-IF($C$229=1,$C$15,$C$4)))))</f>
        <v>0.13695652173913</v>
      </c>
      <c r="O225" s="207" t="n">
        <f aca="false">IF($C$228=1,N225-($F225-$C$224)/$C$12,O222/(($C$6-$C$5+$C$7)/($C$223*(1-IF($C$229=1,$C$15,$C$4)))))</f>
        <v>0.13695652173913</v>
      </c>
      <c r="P225" s="207" t="n">
        <f aca="false">$C$224</f>
        <v>0.092</v>
      </c>
    </row>
    <row r="226" customFormat="false" ht="15" hidden="false" customHeight="true" outlineLevel="0" collapsed="false">
      <c r="B226" s="91" t="s">
        <v>298</v>
      </c>
      <c r="C226" s="209" t="n">
        <v>0</v>
      </c>
      <c r="E226" s="91" t="s">
        <v>45</v>
      </c>
      <c r="F226" s="210" t="n">
        <f aca="false">IF($C$228=1,F222/F225,(($C$6-$C$5+$C$7)/($C$223*(1-IF($C$229=1,$C$15,$C$4)))))</f>
        <v>0.511111111111111</v>
      </c>
      <c r="G226" s="210" t="n">
        <f aca="false">IF($C$228=1,G222/G225,(($C$6-$C$5+$C$7)/($C$223*(1-IF($C$229=1,$C$15,$C$4)))))</f>
        <v>0.511111111111111</v>
      </c>
      <c r="H226" s="210" t="n">
        <f aca="false">IF($C$228=1,H222/H225,(($C$6-$C$5+$C$7)/($C$223*(1-IF($C$229=1,$C$15,$C$4)))))</f>
        <v>0.511111111111111</v>
      </c>
      <c r="I226" s="210" t="n">
        <f aca="false">IF($C$228=1,I222/I225,(($C$6-$C$5+$C$7)/($C$223*(1-IF($C$229=1,$C$15,$C$4)))))</f>
        <v>0.511111111111111</v>
      </c>
      <c r="J226" s="210" t="n">
        <f aca="false">IF($C$228=1,J222/J225,(($C$6-$C$5+$C$7)/($C$223*(1-IF($C$229=1,$C$15,$C$4)))))</f>
        <v>0.511111111111111</v>
      </c>
      <c r="K226" s="210" t="n">
        <f aca="false">IF($C$228=1,K222/K225,(($C$6-$C$5+$C$7)/($C$223*(1-IF($C$229=1,$C$15,$C$4)))))</f>
        <v>0.511111111111111</v>
      </c>
      <c r="L226" s="210" t="n">
        <f aca="false">IF($C$228=1,L222/L225,(($C$6-$C$5+$C$7)/($C$223*(1-IF($C$229=1,$C$15,$C$4)))))</f>
        <v>0.511111111111111</v>
      </c>
      <c r="M226" s="210" t="n">
        <f aca="false">IF($C$228=1,M222/M225,(($C$6-$C$5+$C$7)/($C$223*(1-IF($C$229=1,$C$15,$C$4)))))</f>
        <v>0.511111111111111</v>
      </c>
      <c r="N226" s="210" t="n">
        <f aca="false">IF($C$228=1,N222/N225,(($C$6-$C$5+$C$7)/($C$223*(1-IF($C$229=1,$C$15,$C$4)))))</f>
        <v>0.511111111111111</v>
      </c>
      <c r="O226" s="210" t="n">
        <f aca="false">IF($C$228=1,O222/O225,(($C$6-$C$5+$C$7)/($C$223*(1-IF($C$229=1,$C$15,$C$4)))))</f>
        <v>0.511111111111111</v>
      </c>
      <c r="P226" s="210" t="n">
        <f aca="false">$C$225/P225</f>
        <v>0.108695652173913</v>
      </c>
    </row>
    <row r="227" customFormat="false" ht="15" hidden="false" customHeight="true" outlineLevel="0" collapsed="false">
      <c r="B227" s="91" t="s">
        <v>299</v>
      </c>
      <c r="C227" s="209" t="n">
        <v>0</v>
      </c>
      <c r="E227" s="91" t="s">
        <v>300</v>
      </c>
      <c r="F227" s="208" t="n">
        <f aca="false">F224*F226</f>
        <v>1098.472272</v>
      </c>
      <c r="G227" s="208" t="n">
        <f aca="false">G224*G226</f>
        <v>1175.36533104</v>
      </c>
      <c r="H227" s="208" t="n">
        <f aca="false">H224*H226</f>
        <v>1257.6409042128</v>
      </c>
      <c r="I227" s="208" t="n">
        <f aca="false">I224*I226</f>
        <v>1345.6757675077</v>
      </c>
      <c r="J227" s="208" t="n">
        <f aca="false">J224*J226</f>
        <v>1439.87307123323</v>
      </c>
      <c r="K227" s="208" t="n">
        <f aca="false">K224*K226</f>
        <v>1540.66418621956</v>
      </c>
      <c r="L227" s="208" t="n">
        <f aca="false">L224*L226</f>
        <v>1648.51067925493</v>
      </c>
      <c r="M227" s="208" t="n">
        <f aca="false">M224*M226</f>
        <v>1763.90642680278</v>
      </c>
      <c r="N227" s="208" t="n">
        <f aca="false">N224*N226</f>
        <v>1887.37987667897</v>
      </c>
      <c r="O227" s="208" t="n">
        <f aca="false">O224*O226</f>
        <v>2019.4964680465</v>
      </c>
    </row>
    <row r="228" customFormat="false" ht="15" hidden="false" customHeight="true" outlineLevel="0" collapsed="false">
      <c r="B228" s="91" t="s">
        <v>301</v>
      </c>
      <c r="C228" s="209" t="n">
        <v>0</v>
      </c>
      <c r="E228" s="90" t="s">
        <v>47</v>
      </c>
      <c r="F228" s="211" t="n">
        <f aca="false">F224-F227</f>
        <v>1050.712608</v>
      </c>
      <c r="G228" s="211" t="n">
        <f aca="false">G224-G227</f>
        <v>1124.26249056</v>
      </c>
      <c r="H228" s="211" t="n">
        <f aca="false">H224-H227</f>
        <v>1202.9608648992</v>
      </c>
      <c r="I228" s="211" t="n">
        <f aca="false">I224-I227</f>
        <v>1287.16812544214</v>
      </c>
      <c r="J228" s="211" t="n">
        <f aca="false">J224-J227</f>
        <v>1377.26989422309</v>
      </c>
      <c r="K228" s="211" t="n">
        <f aca="false">K224-K227</f>
        <v>1473.67878681871</v>
      </c>
      <c r="L228" s="211" t="n">
        <f aca="false">L224-L227</f>
        <v>1576.83630189602</v>
      </c>
      <c r="M228" s="211" t="n">
        <f aca="false">M224-M227</f>
        <v>1687.21484302874</v>
      </c>
      <c r="N228" s="211" t="n">
        <f aca="false">N224-N227</f>
        <v>1805.31988204076</v>
      </c>
      <c r="O228" s="211" t="n">
        <f aca="false">O224-O227</f>
        <v>1931.69227378361</v>
      </c>
      <c r="P228" s="211" t="n">
        <f aca="false">IF($C$227=1,P224*(1-P226),O228*(1+$C$225))</f>
        <v>1951.00919652144</v>
      </c>
    </row>
    <row r="229" customFormat="false" ht="15" hidden="false" customHeight="true" outlineLevel="0" collapsed="false">
      <c r="B229" s="91" t="s">
        <v>302</v>
      </c>
      <c r="C229" s="209" t="n">
        <v>1</v>
      </c>
      <c r="E229" s="91" t="s">
        <v>303</v>
      </c>
      <c r="F229" s="212" t="n">
        <f aca="false">DCF!O$71</f>
        <v>0.0347222222222222</v>
      </c>
      <c r="G229" s="212" t="n">
        <f aca="false">DCF!P$71</f>
        <v>0.569444444444444</v>
      </c>
      <c r="H229" s="212" t="n">
        <f aca="false">DCF!Q$71</f>
        <v>1.56944444444444</v>
      </c>
      <c r="I229" s="212" t="n">
        <f aca="false">DCF!R$71</f>
        <v>2.56944444444444</v>
      </c>
      <c r="J229" s="212" t="n">
        <f aca="false">DCF!S$71</f>
        <v>3.56944444444444</v>
      </c>
      <c r="K229" s="212" t="n">
        <f aca="false">DCF!T$71</f>
        <v>4.56944444444445</v>
      </c>
      <c r="L229" s="212" t="n">
        <f aca="false">DCF!U$71</f>
        <v>5.56944444444445</v>
      </c>
      <c r="M229" s="212" t="n">
        <f aca="false">DCF!V$71</f>
        <v>6.56944444444445</v>
      </c>
      <c r="N229" s="212" t="n">
        <f aca="false">DCF!W$71</f>
        <v>7.56944444444445</v>
      </c>
      <c r="O229" s="212" t="n">
        <f aca="false">DCF!X$71</f>
        <v>8.56944444444445</v>
      </c>
    </row>
    <row r="230" customFormat="false" ht="15" hidden="false" customHeight="true" outlineLevel="0" collapsed="false">
      <c r="B230" s="91" t="s">
        <v>113</v>
      </c>
      <c r="C230" s="97" t="n">
        <f aca="false">SUM(F230:O230)</f>
        <v>9931.09819247139</v>
      </c>
      <c r="E230" s="91" t="s">
        <v>304</v>
      </c>
      <c r="F230" s="208" t="n">
        <f aca="false">F228*IF($C$229=1,1,DCF!$O$70)/(1+$C$224)^F229</f>
        <v>1047.50660158093</v>
      </c>
      <c r="G230" s="208" t="n">
        <f aca="false">G228/(1+$C$224)^G229</f>
        <v>1069.30611941946</v>
      </c>
      <c r="H230" s="208" t="n">
        <f aca="false">H228/(1+$C$224)^H229</f>
        <v>1047.76332214178</v>
      </c>
      <c r="I230" s="208" t="n">
        <f aca="false">I228/(1+$C$224)^I229</f>
        <v>1026.65453726347</v>
      </c>
      <c r="J230" s="208" t="n">
        <f aca="false">J228/(1+$C$224)^J229</f>
        <v>1005.97102094497</v>
      </c>
      <c r="K230" s="208" t="n">
        <f aca="false">K228/(1+$C$224)^K229</f>
        <v>985.704205504688</v>
      </c>
      <c r="L230" s="208" t="n">
        <f aca="false">L228/(1+$C$224)^L229</f>
        <v>965.845695869978</v>
      </c>
      <c r="M230" s="208" t="n">
        <f aca="false">M228/(1+$C$224)^M229</f>
        <v>946.387266099704</v>
      </c>
      <c r="N230" s="208" t="n">
        <f aca="false">N228/(1+$C$224)^N229</f>
        <v>927.320855976816</v>
      </c>
      <c r="O230" s="208" t="n">
        <f aca="false">O228/(1+$C$224)^O229</f>
        <v>908.638567669591</v>
      </c>
    </row>
    <row r="231" customFormat="false" ht="15" hidden="false" customHeight="true" outlineLevel="0" collapsed="false">
      <c r="B231" s="91" t="s">
        <v>111</v>
      </c>
      <c r="C231" s="97" t="n">
        <f aca="false">P228/($C$224-$C$225)</f>
        <v>23792.7950795298</v>
      </c>
    </row>
    <row r="232" customFormat="false" ht="15" hidden="false" customHeight="true" outlineLevel="0" collapsed="false">
      <c r="B232" s="91" t="s">
        <v>112</v>
      </c>
      <c r="C232" s="97" t="n">
        <f aca="false">C231/(1+$C$224)^O229</f>
        <v>11191.7677237352</v>
      </c>
    </row>
    <row r="233" customFormat="false" ht="15" hidden="false" customHeight="true" outlineLevel="0" collapsed="false">
      <c r="B233" s="91" t="s">
        <v>114</v>
      </c>
      <c r="C233" s="97" t="n">
        <f aca="false">C230+C232</f>
        <v>21122.8659162066</v>
      </c>
    </row>
    <row r="234" customFormat="false" ht="15" hidden="false" customHeight="true" outlineLevel="0" collapsed="false">
      <c r="B234" s="91" t="s">
        <v>305</v>
      </c>
      <c r="C234" s="97" t="n">
        <f aca="false">C233+$C$9-IF($C$229=1,'Sources &amp; Checks'!$B$7,$C$10)</f>
        <v>22022.8659162066</v>
      </c>
    </row>
    <row r="235" customFormat="false" ht="15" hidden="false" customHeight="true" outlineLevel="0" collapsed="false">
      <c r="B235" s="205" t="s">
        <v>117</v>
      </c>
      <c r="C235" s="213" t="n">
        <f aca="false">C234/$C$11</f>
        <v>20.6438563144044</v>
      </c>
    </row>
    <row r="236" customFormat="false" ht="15" hidden="false" customHeight="true" outlineLevel="0" collapsed="false">
      <c r="B236" s="91" t="s">
        <v>110</v>
      </c>
      <c r="C236" s="93" t="n">
        <f aca="false">1-P228/P224</f>
        <v>0.511111111111111</v>
      </c>
    </row>
    <row r="237" customFormat="false" ht="15" hidden="false" customHeight="true" outlineLevel="0" collapsed="false">
      <c r="B237" s="91" t="s">
        <v>306</v>
      </c>
      <c r="C237" s="93" t="n">
        <f aca="false">C232/C233</f>
        <v>0.529841346725033</v>
      </c>
    </row>
    <row r="240" customFormat="false" ht="15" hidden="false" customHeight="true" outlineLevel="0" collapsed="false">
      <c r="B240" s="86" t="s">
        <v>315</v>
      </c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</row>
    <row r="241" customFormat="false" ht="15" hidden="false" customHeight="true" outlineLevel="0" collapsed="false">
      <c r="B241" s="205" t="s">
        <v>291</v>
      </c>
      <c r="C241" s="205" t="s">
        <v>199</v>
      </c>
      <c r="E241" s="205" t="s">
        <v>292</v>
      </c>
      <c r="F241" s="206" t="str">
        <f aca="false">"FY"&amp;RIGHT(DCF!O$38,2)</f>
        <v>FY26</v>
      </c>
      <c r="G241" s="206" t="str">
        <f aca="false">"FY"&amp;RIGHT(DCF!P$38,2)</f>
        <v>FY27</v>
      </c>
      <c r="H241" s="206" t="str">
        <f aca="false">"FY"&amp;RIGHT(DCF!Q$38,2)</f>
        <v>FY28</v>
      </c>
      <c r="I241" s="206" t="str">
        <f aca="false">"FY"&amp;RIGHT(DCF!R$38,2)</f>
        <v>FY29</v>
      </c>
      <c r="J241" s="206" t="str">
        <f aca="false">"FY"&amp;RIGHT(DCF!S$38,2)</f>
        <v>FY30</v>
      </c>
      <c r="K241" s="206" t="str">
        <f aca="false">"FY"&amp;RIGHT(DCF!T$38,2)</f>
        <v>FY31</v>
      </c>
      <c r="L241" s="206" t="str">
        <f aca="false">"FY"&amp;RIGHT(DCF!U$38,2)</f>
        <v>FY32</v>
      </c>
      <c r="M241" s="206" t="str">
        <f aca="false">"FY"&amp;RIGHT(DCF!V$38,2)</f>
        <v>FY33</v>
      </c>
      <c r="N241" s="206" t="str">
        <f aca="false">"FY"&amp;RIGHT(DCF!W$38,2)</f>
        <v>FY34</v>
      </c>
      <c r="O241" s="206" t="str">
        <f aca="false">"FY"&amp;RIGHT(DCF!X$38,2)</f>
        <v>FY35</v>
      </c>
      <c r="P241" s="206" t="s">
        <v>40</v>
      </c>
    </row>
    <row r="242" customFormat="false" ht="15" hidden="false" customHeight="true" outlineLevel="0" collapsed="false">
      <c r="B242" s="91" t="s">
        <v>293</v>
      </c>
      <c r="C242" s="96" t="n">
        <f aca="false">DCF!$P$11</f>
        <v>0.11</v>
      </c>
      <c r="E242" s="91" t="s">
        <v>294</v>
      </c>
      <c r="F242" s="207" t="n">
        <f aca="false">$C$242</f>
        <v>0.11</v>
      </c>
      <c r="G242" s="207" t="n">
        <f aca="false">IF($C$246=1,F242-($C$242-$C$245)/$C$12,$C$242)</f>
        <v>0.11</v>
      </c>
      <c r="H242" s="207" t="n">
        <f aca="false">IF($C$246=1,G242-($C$242-$C$245)/$C$12,$C$242)</f>
        <v>0.11</v>
      </c>
      <c r="I242" s="207" t="n">
        <f aca="false">IF($C$246=1,H242-($C$242-$C$245)/$C$12,$C$242)</f>
        <v>0.11</v>
      </c>
      <c r="J242" s="207" t="n">
        <f aca="false">IF($C$246=1,I242-($C$242-$C$245)/$C$12,$C$242)</f>
        <v>0.11</v>
      </c>
      <c r="K242" s="207" t="n">
        <f aca="false">IF($C$246=1,J242-($C$242-$C$245)/$C$12,$C$242)</f>
        <v>0.11</v>
      </c>
      <c r="L242" s="207" t="n">
        <f aca="false">IF($C$246=1,K242-($C$242-$C$245)/$C$12,$C$242)</f>
        <v>0.11</v>
      </c>
      <c r="M242" s="207" t="n">
        <f aca="false">IF($C$246=1,L242-($C$242-$C$245)/$C$12,$C$242)</f>
        <v>0.11</v>
      </c>
      <c r="N242" s="207" t="n">
        <f aca="false">IF($C$246=1,M242-($C$242-$C$245)/$C$12,$C$242)</f>
        <v>0.11</v>
      </c>
      <c r="O242" s="207" t="n">
        <f aca="false">IF($C$246=1,N242-($C$242-$C$245)/$C$12,$C$242)</f>
        <v>0.11</v>
      </c>
    </row>
    <row r="243" customFormat="false" ht="15" hidden="false" customHeight="true" outlineLevel="0" collapsed="false">
      <c r="B243" s="91" t="s">
        <v>295</v>
      </c>
      <c r="C243" s="96" t="n">
        <f aca="false">DCF!$P$13</f>
        <v>0.185</v>
      </c>
      <c r="E243" s="91" t="s">
        <v>16</v>
      </c>
      <c r="F243" s="208" t="n">
        <f aca="false">$C$8*(1+F242)</f>
        <v>15482.835</v>
      </c>
      <c r="G243" s="208" t="n">
        <f aca="false">F243*(1+G242)</f>
        <v>17185.94685</v>
      </c>
      <c r="H243" s="208" t="n">
        <f aca="false">G243*(1+H242)</f>
        <v>19076.4010035</v>
      </c>
      <c r="I243" s="208" t="n">
        <f aca="false">H243*(1+I242)</f>
        <v>21174.805113885</v>
      </c>
      <c r="J243" s="208" t="n">
        <f aca="false">I243*(1+J242)</f>
        <v>23504.0336764124</v>
      </c>
      <c r="K243" s="208" t="n">
        <f aca="false">J243*(1+K242)</f>
        <v>26089.4773808177</v>
      </c>
      <c r="L243" s="208" t="n">
        <f aca="false">K243*(1+L242)</f>
        <v>28959.3198927077</v>
      </c>
      <c r="M243" s="208" t="n">
        <f aca="false">L243*(1+M242)</f>
        <v>32144.8450809055</v>
      </c>
      <c r="N243" s="208" t="n">
        <f aca="false">M243*(1+N242)</f>
        <v>35680.7780398051</v>
      </c>
      <c r="O243" s="208" t="n">
        <f aca="false">N243*(1+O242)</f>
        <v>39605.6636241837</v>
      </c>
    </row>
    <row r="244" customFormat="false" ht="15" hidden="false" customHeight="true" outlineLevel="0" collapsed="false">
      <c r="B244" s="91" t="s">
        <v>21</v>
      </c>
      <c r="C244" s="95" t="n">
        <f aca="false">DCF!$P$16</f>
        <v>0.082</v>
      </c>
      <c r="E244" s="91" t="s">
        <v>296</v>
      </c>
      <c r="F244" s="208" t="n">
        <f aca="false">F243*$C$243*(1-IF($C$249=1,$C$15,$C$4))</f>
        <v>2577.8920275</v>
      </c>
      <c r="G244" s="208" t="n">
        <f aca="false">G243*$C$243*(1-IF($C$249=1,$C$15,$C$4))</f>
        <v>2861.460150525</v>
      </c>
      <c r="H244" s="208" t="n">
        <f aca="false">H243*$C$243*(1-IF($C$249=1,$C$15,$C$4))</f>
        <v>3176.22076708275</v>
      </c>
      <c r="I244" s="208" t="n">
        <f aca="false">I243*$C$243*(1-IF($C$249=1,$C$15,$C$4))</f>
        <v>3525.60505146185</v>
      </c>
      <c r="J244" s="208" t="n">
        <f aca="false">J243*$C$243*(1-IF($C$249=1,$C$15,$C$4))</f>
        <v>3913.42160712266</v>
      </c>
      <c r="K244" s="208" t="n">
        <f aca="false">K243*$C$243*(1-IF($C$249=1,$C$15,$C$4))</f>
        <v>4343.89798390615</v>
      </c>
      <c r="L244" s="208" t="n">
        <f aca="false">L243*$C$243*(1-IF($C$249=1,$C$15,$C$4))</f>
        <v>4821.72676213583</v>
      </c>
      <c r="M244" s="208" t="n">
        <f aca="false">M243*$C$243*(1-IF($C$249=1,$C$15,$C$4))</f>
        <v>5352.11670597077</v>
      </c>
      <c r="N244" s="208" t="n">
        <f aca="false">N243*$C$243*(1-IF($C$249=1,$C$15,$C$4))</f>
        <v>5940.84954362756</v>
      </c>
      <c r="O244" s="208" t="n">
        <f aca="false">O243*$C$243*(1-IF($C$249=1,$C$15,$C$4))</f>
        <v>6594.34299342659</v>
      </c>
      <c r="P244" s="208" t="n">
        <f aca="false">O244*(1+$C$245)</f>
        <v>6726.22985329512</v>
      </c>
    </row>
    <row r="245" customFormat="false" ht="15" hidden="false" customHeight="true" outlineLevel="0" collapsed="false">
      <c r="B245" s="91" t="s">
        <v>297</v>
      </c>
      <c r="C245" s="96" t="n">
        <f aca="false">DCF!$P$17</f>
        <v>0.02</v>
      </c>
      <c r="E245" s="91" t="s">
        <v>46</v>
      </c>
      <c r="F245" s="207" t="n">
        <f aca="false">$C$242/(($C$6-$C$5+$C$7)/($C$243*(1-IF($C$249=1,$C$15,$C$4))))</f>
        <v>0.248845108695652</v>
      </c>
      <c r="G245" s="207" t="n">
        <f aca="false">IF($C$248=1,F245-($F245-$C$244)/$C$12,G242/(($C$6-$C$5+$C$7)/($C$243*(1-IF($C$249=1,$C$15,$C$4)))))</f>
        <v>0.248845108695652</v>
      </c>
      <c r="H245" s="207" t="n">
        <f aca="false">IF($C$248=1,G245-($F245-$C$244)/$C$12,H242/(($C$6-$C$5+$C$7)/($C$243*(1-IF($C$249=1,$C$15,$C$4)))))</f>
        <v>0.248845108695652</v>
      </c>
      <c r="I245" s="207" t="n">
        <f aca="false">IF($C$248=1,H245-($F245-$C$244)/$C$12,I242/(($C$6-$C$5+$C$7)/($C$243*(1-IF($C$249=1,$C$15,$C$4)))))</f>
        <v>0.248845108695652</v>
      </c>
      <c r="J245" s="207" t="n">
        <f aca="false">IF($C$248=1,I245-($F245-$C$244)/$C$12,J242/(($C$6-$C$5+$C$7)/($C$243*(1-IF($C$249=1,$C$15,$C$4)))))</f>
        <v>0.248845108695652</v>
      </c>
      <c r="K245" s="207" t="n">
        <f aca="false">IF($C$248=1,J245-($F245-$C$244)/$C$12,K242/(($C$6-$C$5+$C$7)/($C$243*(1-IF($C$249=1,$C$15,$C$4)))))</f>
        <v>0.248845108695652</v>
      </c>
      <c r="L245" s="207" t="n">
        <f aca="false">IF($C$248=1,K245-($F245-$C$244)/$C$12,L242/(($C$6-$C$5+$C$7)/($C$243*(1-IF($C$249=1,$C$15,$C$4)))))</f>
        <v>0.248845108695652</v>
      </c>
      <c r="M245" s="207" t="n">
        <f aca="false">IF($C$248=1,L245-($F245-$C$244)/$C$12,M242/(($C$6-$C$5+$C$7)/($C$243*(1-IF($C$249=1,$C$15,$C$4)))))</f>
        <v>0.248845108695652</v>
      </c>
      <c r="N245" s="207" t="n">
        <f aca="false">IF($C$248=1,M245-($F245-$C$244)/$C$12,N242/(($C$6-$C$5+$C$7)/($C$243*(1-IF($C$249=1,$C$15,$C$4)))))</f>
        <v>0.248845108695652</v>
      </c>
      <c r="O245" s="207" t="n">
        <f aca="false">IF($C$248=1,N245-($F245-$C$244)/$C$12,O242/(($C$6-$C$5+$C$7)/($C$243*(1-IF($C$249=1,$C$15,$C$4)))))</f>
        <v>0.248845108695652</v>
      </c>
      <c r="P245" s="207" t="n">
        <f aca="false">$C$244</f>
        <v>0.082</v>
      </c>
    </row>
    <row r="246" customFormat="false" ht="15" hidden="false" customHeight="true" outlineLevel="0" collapsed="false">
      <c r="B246" s="91" t="s">
        <v>298</v>
      </c>
      <c r="C246" s="209" t="n">
        <v>0</v>
      </c>
      <c r="E246" s="91" t="s">
        <v>45</v>
      </c>
      <c r="F246" s="210" t="n">
        <f aca="false">IF($C$248=1,F242/F245,(($C$6-$C$5+$C$7)/($C$243*(1-IF($C$249=1,$C$15,$C$4)))))</f>
        <v>0.442042042042042</v>
      </c>
      <c r="G246" s="210" t="n">
        <f aca="false">IF($C$248=1,G242/G245,(($C$6-$C$5+$C$7)/($C$243*(1-IF($C$249=1,$C$15,$C$4)))))</f>
        <v>0.442042042042042</v>
      </c>
      <c r="H246" s="210" t="n">
        <f aca="false">IF($C$248=1,H242/H245,(($C$6-$C$5+$C$7)/($C$243*(1-IF($C$249=1,$C$15,$C$4)))))</f>
        <v>0.442042042042042</v>
      </c>
      <c r="I246" s="210" t="n">
        <f aca="false">IF($C$248=1,I242/I245,(($C$6-$C$5+$C$7)/($C$243*(1-IF($C$249=1,$C$15,$C$4)))))</f>
        <v>0.442042042042042</v>
      </c>
      <c r="J246" s="210" t="n">
        <f aca="false">IF($C$248=1,J242/J245,(($C$6-$C$5+$C$7)/($C$243*(1-IF($C$249=1,$C$15,$C$4)))))</f>
        <v>0.442042042042042</v>
      </c>
      <c r="K246" s="210" t="n">
        <f aca="false">IF($C$248=1,K242/K245,(($C$6-$C$5+$C$7)/($C$243*(1-IF($C$249=1,$C$15,$C$4)))))</f>
        <v>0.442042042042042</v>
      </c>
      <c r="L246" s="210" t="n">
        <f aca="false">IF($C$248=1,L242/L245,(($C$6-$C$5+$C$7)/($C$243*(1-IF($C$249=1,$C$15,$C$4)))))</f>
        <v>0.442042042042042</v>
      </c>
      <c r="M246" s="210" t="n">
        <f aca="false">IF($C$248=1,M242/M245,(($C$6-$C$5+$C$7)/($C$243*(1-IF($C$249=1,$C$15,$C$4)))))</f>
        <v>0.442042042042042</v>
      </c>
      <c r="N246" s="210" t="n">
        <f aca="false">IF($C$248=1,N242/N245,(($C$6-$C$5+$C$7)/($C$243*(1-IF($C$249=1,$C$15,$C$4)))))</f>
        <v>0.442042042042042</v>
      </c>
      <c r="O246" s="210" t="n">
        <f aca="false">IF($C$248=1,O242/O245,(($C$6-$C$5+$C$7)/($C$243*(1-IF($C$249=1,$C$15,$C$4)))))</f>
        <v>0.442042042042042</v>
      </c>
      <c r="P246" s="210" t="n">
        <f aca="false">$C$245/P245</f>
        <v>0.24390243902439</v>
      </c>
    </row>
    <row r="247" customFormat="false" ht="15" hidden="false" customHeight="true" outlineLevel="0" collapsed="false">
      <c r="B247" s="91" t="s">
        <v>299</v>
      </c>
      <c r="C247" s="209" t="n">
        <v>0</v>
      </c>
      <c r="E247" s="91" t="s">
        <v>300</v>
      </c>
      <c r="F247" s="208" t="n">
        <f aca="false">F244*F246</f>
        <v>1139.536656</v>
      </c>
      <c r="G247" s="208" t="n">
        <f aca="false">G244*G246</f>
        <v>1264.88568816</v>
      </c>
      <c r="H247" s="208" t="n">
        <f aca="false">H244*H246</f>
        <v>1404.0231138576</v>
      </c>
      <c r="I247" s="208" t="n">
        <f aca="false">I244*I246</f>
        <v>1558.46565638194</v>
      </c>
      <c r="J247" s="208" t="n">
        <f aca="false">J244*J246</f>
        <v>1729.89687858395</v>
      </c>
      <c r="K247" s="208" t="n">
        <f aca="false">K244*K246</f>
        <v>1920.18553522818</v>
      </c>
      <c r="L247" s="208" t="n">
        <f aca="false">L244*L246</f>
        <v>2131.40594410328</v>
      </c>
      <c r="M247" s="208" t="n">
        <f aca="false">M244*M246</f>
        <v>2365.86059795465</v>
      </c>
      <c r="N247" s="208" t="n">
        <f aca="false">N244*N246</f>
        <v>2626.10526372966</v>
      </c>
      <c r="O247" s="208" t="n">
        <f aca="false">O244*O246</f>
        <v>2914.97684273992</v>
      </c>
    </row>
    <row r="248" customFormat="false" ht="15" hidden="false" customHeight="true" outlineLevel="0" collapsed="false">
      <c r="B248" s="91" t="s">
        <v>301</v>
      </c>
      <c r="C248" s="209" t="n">
        <v>0</v>
      </c>
      <c r="E248" s="90" t="s">
        <v>47</v>
      </c>
      <c r="F248" s="211" t="n">
        <f aca="false">F244-F247</f>
        <v>1438.3553715</v>
      </c>
      <c r="G248" s="211" t="n">
        <f aca="false">G244-G247</f>
        <v>1596.574462365</v>
      </c>
      <c r="H248" s="211" t="n">
        <f aca="false">H244-H247</f>
        <v>1772.19765322515</v>
      </c>
      <c r="I248" s="211" t="n">
        <f aca="false">I244-I247</f>
        <v>1967.13939507992</v>
      </c>
      <c r="J248" s="211" t="n">
        <f aca="false">J244-J247</f>
        <v>2183.52472853871</v>
      </c>
      <c r="K248" s="211" t="n">
        <f aca="false">K244-K247</f>
        <v>2423.71244867797</v>
      </c>
      <c r="L248" s="211" t="n">
        <f aca="false">L244-L247</f>
        <v>2690.32081803254</v>
      </c>
      <c r="M248" s="211" t="n">
        <f aca="false">M244-M247</f>
        <v>2986.25610801612</v>
      </c>
      <c r="N248" s="211" t="n">
        <f aca="false">N244-N247</f>
        <v>3314.7442798979</v>
      </c>
      <c r="O248" s="211" t="n">
        <f aca="false">O244-O247</f>
        <v>3679.36615068667</v>
      </c>
      <c r="P248" s="211" t="n">
        <f aca="false">IF($C$247=1,P244*(1-P246),O248*(1+$C$245))</f>
        <v>3752.9534737004</v>
      </c>
    </row>
    <row r="249" customFormat="false" ht="15" hidden="false" customHeight="true" outlineLevel="0" collapsed="false">
      <c r="B249" s="91" t="s">
        <v>302</v>
      </c>
      <c r="C249" s="209" t="n">
        <v>1</v>
      </c>
      <c r="E249" s="91" t="s">
        <v>303</v>
      </c>
      <c r="F249" s="212" t="n">
        <f aca="false">DCF!O$71</f>
        <v>0.0347222222222222</v>
      </c>
      <c r="G249" s="212" t="n">
        <f aca="false">DCF!P$71</f>
        <v>0.569444444444444</v>
      </c>
      <c r="H249" s="212" t="n">
        <f aca="false">DCF!Q$71</f>
        <v>1.56944444444444</v>
      </c>
      <c r="I249" s="212" t="n">
        <f aca="false">DCF!R$71</f>
        <v>2.56944444444444</v>
      </c>
      <c r="J249" s="212" t="n">
        <f aca="false">DCF!S$71</f>
        <v>3.56944444444444</v>
      </c>
      <c r="K249" s="212" t="n">
        <f aca="false">DCF!T$71</f>
        <v>4.56944444444445</v>
      </c>
      <c r="L249" s="212" t="n">
        <f aca="false">DCF!U$71</f>
        <v>5.56944444444445</v>
      </c>
      <c r="M249" s="212" t="n">
        <f aca="false">DCF!V$71</f>
        <v>6.56944444444445</v>
      </c>
      <c r="N249" s="212" t="n">
        <f aca="false">DCF!W$71</f>
        <v>7.56944444444445</v>
      </c>
      <c r="O249" s="212" t="n">
        <f aca="false">DCF!X$71</f>
        <v>8.56944444444445</v>
      </c>
    </row>
    <row r="250" customFormat="false" ht="15" hidden="false" customHeight="true" outlineLevel="0" collapsed="false">
      <c r="B250" s="91" t="s">
        <v>113</v>
      </c>
      <c r="C250" s="97" t="n">
        <f aca="false">SUM(F250:O250)</f>
        <v>16684.3795279921</v>
      </c>
      <c r="E250" s="91" t="s">
        <v>304</v>
      </c>
      <c r="F250" s="208" t="n">
        <f aca="false">F248*IF($C$249=1,1,DCF!$O$70)/(1+$C$244)^F249</f>
        <v>1434.42469360514</v>
      </c>
      <c r="G250" s="208" t="n">
        <f aca="false">G248/(1+$C$244)^G249</f>
        <v>1526.50648923376</v>
      </c>
      <c r="H250" s="208" t="n">
        <f aca="false">H248/(1+$C$244)^H249</f>
        <v>1566.00942980543</v>
      </c>
      <c r="I250" s="208" t="n">
        <f aca="false">I248/(1+$C$244)^I249</f>
        <v>1606.53462761924</v>
      </c>
      <c r="J250" s="208" t="n">
        <f aca="false">J248/(1+$C$244)^J249</f>
        <v>1648.1085366519</v>
      </c>
      <c r="K250" s="208" t="n">
        <f aca="false">K248/(1+$C$244)^K249</f>
        <v>1690.75829545621</v>
      </c>
      <c r="L250" s="208" t="n">
        <f aca="false">L248/(1+$C$244)^L249</f>
        <v>1734.51174487651</v>
      </c>
      <c r="M250" s="208" t="n">
        <f aca="false">M248/(1+$C$244)^M249</f>
        <v>1779.39744622267</v>
      </c>
      <c r="N250" s="208" t="n">
        <f aca="false">N248/(1+$C$244)^N249</f>
        <v>1825.4446999142</v>
      </c>
      <c r="O250" s="208" t="n">
        <f aca="false">O248/(1+$C$244)^O249</f>
        <v>1872.68356460699</v>
      </c>
    </row>
    <row r="251" customFormat="false" ht="15" hidden="false" customHeight="true" outlineLevel="0" collapsed="false">
      <c r="B251" s="91" t="s">
        <v>111</v>
      </c>
      <c r="C251" s="97" t="n">
        <f aca="false">P248/($C$244-$C$245)</f>
        <v>60531.5076403291</v>
      </c>
    </row>
    <row r="252" customFormat="false" ht="15" hidden="false" customHeight="true" outlineLevel="0" collapsed="false">
      <c r="B252" s="91" t="s">
        <v>112</v>
      </c>
      <c r="C252" s="97" t="n">
        <f aca="false">C251/(1+$C$244)^O249</f>
        <v>30808.6650951473</v>
      </c>
    </row>
    <row r="253" customFormat="false" ht="15" hidden="false" customHeight="true" outlineLevel="0" collapsed="false">
      <c r="B253" s="91" t="s">
        <v>114</v>
      </c>
      <c r="C253" s="97" t="n">
        <f aca="false">C250+C252</f>
        <v>47493.0446231393</v>
      </c>
    </row>
    <row r="254" customFormat="false" ht="15" hidden="false" customHeight="true" outlineLevel="0" collapsed="false">
      <c r="B254" s="91" t="s">
        <v>305</v>
      </c>
      <c r="C254" s="97" t="n">
        <f aca="false">C253+$C$9-IF($C$249=1,'Sources &amp; Checks'!$B$7,$C$10)</f>
        <v>48393.0446231393</v>
      </c>
    </row>
    <row r="255" customFormat="false" ht="15" hidden="false" customHeight="true" outlineLevel="0" collapsed="false">
      <c r="B255" s="205" t="s">
        <v>117</v>
      </c>
      <c r="C255" s="213" t="n">
        <f aca="false">C254/$C$11</f>
        <v>45.3628089830702</v>
      </c>
    </row>
    <row r="256" customFormat="false" ht="15" hidden="false" customHeight="true" outlineLevel="0" collapsed="false">
      <c r="B256" s="91" t="s">
        <v>110</v>
      </c>
      <c r="C256" s="93" t="n">
        <f aca="false">1-P248/P244</f>
        <v>0.442042042042042</v>
      </c>
    </row>
    <row r="257" customFormat="false" ht="15" hidden="false" customHeight="true" outlineLevel="0" collapsed="false">
      <c r="B257" s="91" t="s">
        <v>306</v>
      </c>
      <c r="C257" s="93" t="n">
        <f aca="false">C252/C253</f>
        <v>0.648698463945957</v>
      </c>
    </row>
    <row r="260" customFormat="false" ht="15" hidden="false" customHeight="true" outlineLevel="0" collapsed="false">
      <c r="B260" s="204" t="s">
        <v>316</v>
      </c>
    </row>
    <row r="261" customFormat="false" ht="15" hidden="false" customHeight="true" outlineLevel="0" collapsed="false">
      <c r="B261" s="86" t="s">
        <v>317</v>
      </c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</row>
    <row r="262" customFormat="false" ht="15" hidden="false" customHeight="true" outlineLevel="0" collapsed="false">
      <c r="B262" s="205" t="s">
        <v>291</v>
      </c>
      <c r="C262" s="205" t="s">
        <v>199</v>
      </c>
      <c r="E262" s="205" t="s">
        <v>292</v>
      </c>
      <c r="F262" s="206" t="str">
        <f aca="false">"FY"&amp;RIGHT(DCF!O$38,2)</f>
        <v>FY26</v>
      </c>
      <c r="G262" s="206" t="str">
        <f aca="false">"FY"&amp;RIGHT(DCF!P$38,2)</f>
        <v>FY27</v>
      </c>
      <c r="H262" s="206" t="str">
        <f aca="false">"FY"&amp;RIGHT(DCF!Q$38,2)</f>
        <v>FY28</v>
      </c>
      <c r="I262" s="206" t="str">
        <f aca="false">"FY"&amp;RIGHT(DCF!R$38,2)</f>
        <v>FY29</v>
      </c>
      <c r="J262" s="206" t="str">
        <f aca="false">"FY"&amp;RIGHT(DCF!S$38,2)</f>
        <v>FY30</v>
      </c>
      <c r="K262" s="206" t="str">
        <f aca="false">"FY"&amp;RIGHT(DCF!T$38,2)</f>
        <v>FY31</v>
      </c>
      <c r="L262" s="206" t="str">
        <f aca="false">"FY"&amp;RIGHT(DCF!U$38,2)</f>
        <v>FY32</v>
      </c>
      <c r="M262" s="206" t="str">
        <f aca="false">"FY"&amp;RIGHT(DCF!V$38,2)</f>
        <v>FY33</v>
      </c>
      <c r="N262" s="206" t="str">
        <f aca="false">"FY"&amp;RIGHT(DCF!W$38,2)</f>
        <v>FY34</v>
      </c>
      <c r="O262" s="206" t="str">
        <f aca="false">"FY"&amp;RIGHT(DCF!X$38,2)</f>
        <v>FY35</v>
      </c>
      <c r="P262" s="206" t="s">
        <v>40</v>
      </c>
    </row>
    <row r="263" customFormat="false" ht="15" hidden="false" customHeight="true" outlineLevel="0" collapsed="false">
      <c r="B263" s="91" t="s">
        <v>293</v>
      </c>
      <c r="C263" s="96" t="n">
        <f aca="false">DCF!$L$11</f>
        <v>0.0909</v>
      </c>
      <c r="E263" s="91" t="s">
        <v>294</v>
      </c>
      <c r="F263" s="207" t="n">
        <f aca="false">$C$263</f>
        <v>0.0909</v>
      </c>
      <c r="G263" s="207" t="n">
        <f aca="false">IF($C$267=1,F263-($C$263-$C$266)/$C$12,$C$263)</f>
        <v>0.0813555555555556</v>
      </c>
      <c r="H263" s="207" t="n">
        <f aca="false">IF($C$267=1,G263-($C$263-$C$266)/$C$12,$C$263)</f>
        <v>0.0718111111111111</v>
      </c>
      <c r="I263" s="207" t="n">
        <f aca="false">IF($C$267=1,H263-($C$263-$C$266)/$C$12,$C$263)</f>
        <v>0.0622666666666667</v>
      </c>
      <c r="J263" s="207" t="n">
        <f aca="false">IF($C$267=1,I263-($C$263-$C$266)/$C$12,$C$263)</f>
        <v>0.0527222222222222</v>
      </c>
      <c r="K263" s="207" t="n">
        <f aca="false">IF($C$267=1,J263-($C$263-$C$266)/$C$12,$C$263)</f>
        <v>0.0431777777777778</v>
      </c>
      <c r="L263" s="207" t="n">
        <f aca="false">IF($C$267=1,K263-($C$263-$C$266)/$C$12,$C$263)</f>
        <v>0.0336333333333333</v>
      </c>
      <c r="M263" s="207" t="n">
        <f aca="false">IF($C$267=1,L263-($C$263-$C$266)/$C$12,$C$263)</f>
        <v>0.0240888888888889</v>
      </c>
      <c r="N263" s="207" t="n">
        <f aca="false">IF($C$267=1,M263-($C$263-$C$266)/$C$12,$C$263)</f>
        <v>0.0145444444444444</v>
      </c>
      <c r="O263" s="207" t="n">
        <f aca="false">IF($C$267=1,N263-($C$263-$C$266)/$C$12,$C$263)</f>
        <v>0.005</v>
      </c>
    </row>
    <row r="264" customFormat="false" ht="15" hidden="false" customHeight="true" outlineLevel="0" collapsed="false">
      <c r="B264" s="91" t="s">
        <v>295</v>
      </c>
      <c r="C264" s="96" t="n">
        <f aca="false">DCF!$L$13</f>
        <v>0.1722</v>
      </c>
      <c r="E264" s="91" t="s">
        <v>16</v>
      </c>
      <c r="F264" s="208" t="n">
        <f aca="false">$C$8*(1+F263)</f>
        <v>15216.41865</v>
      </c>
      <c r="G264" s="208" t="n">
        <f aca="false">F264*(1+G263)</f>
        <v>16454.3588428367</v>
      </c>
      <c r="H264" s="208" t="n">
        <f aca="false">G264*(1+H263)</f>
        <v>17635.9646339617</v>
      </c>
      <c r="I264" s="208" t="n">
        <f aca="false">H264*(1+I263)</f>
        <v>18734.0973651697</v>
      </c>
      <c r="J264" s="208" t="n">
        <f aca="false">I264*(1+J263)</f>
        <v>19721.8006095889</v>
      </c>
      <c r="K264" s="208" t="n">
        <f aca="false">J264*(1+K263)</f>
        <v>20573.3441336874</v>
      </c>
      <c r="L264" s="208" t="n">
        <f aca="false">K264*(1+L263)</f>
        <v>21265.2942747171</v>
      </c>
      <c r="M264" s="208" t="n">
        <f aca="false">L264*(1+M263)</f>
        <v>21777.5515856903</v>
      </c>
      <c r="N264" s="208" t="n">
        <f aca="false">M264*(1+N263)</f>
        <v>22094.2939748644</v>
      </c>
      <c r="O264" s="208" t="n">
        <f aca="false">N264*(1+O263)</f>
        <v>22204.7654447387</v>
      </c>
    </row>
    <row r="265" customFormat="false" ht="15" hidden="false" customHeight="true" outlineLevel="0" collapsed="false">
      <c r="B265" s="91" t="s">
        <v>21</v>
      </c>
      <c r="C265" s="95" t="n">
        <f aca="false">DCF!$L$16</f>
        <v>0.0858027889618787</v>
      </c>
      <c r="E265" s="91" t="s">
        <v>296</v>
      </c>
      <c r="F265" s="208" t="n">
        <f aca="false">F264*$C$264*(1-IF($C$270=1,$C$15,$C$4))</f>
        <v>2305.8352165464</v>
      </c>
      <c r="G265" s="208" t="n">
        <f aca="false">G264*$C$264*(1-IF($C$270=1,$C$15,$C$4))</f>
        <v>2493.4277216081</v>
      </c>
      <c r="H265" s="208" t="n">
        <f aca="false">H264*$C$264*(1-IF($C$270=1,$C$15,$C$4))</f>
        <v>2672.48353677202</v>
      </c>
      <c r="I265" s="208" t="n">
        <f aca="false">I264*$C$264*(1-IF($C$270=1,$C$15,$C$4))</f>
        <v>2838.89017832836</v>
      </c>
      <c r="J265" s="208" t="n">
        <f aca="false">J264*$C$264*(1-IF($C$270=1,$C$15,$C$4))</f>
        <v>2988.56277717467</v>
      </c>
      <c r="K265" s="208" t="n">
        <f aca="false">K264*$C$264*(1-IF($C$270=1,$C$15,$C$4))</f>
        <v>3117.60227664246</v>
      </c>
      <c r="L265" s="208" t="n">
        <f aca="false">L264*$C$264*(1-IF($C$270=1,$C$15,$C$4))</f>
        <v>3222.45763321353</v>
      </c>
      <c r="M265" s="208" t="n">
        <f aca="false">M264*$C$264*(1-IF($C$270=1,$C$15,$C$4))</f>
        <v>3300.08305708916</v>
      </c>
      <c r="N265" s="208" t="n">
        <f aca="false">N264*$C$264*(1-IF($C$270=1,$C$15,$C$4))</f>
        <v>3348.08093177505</v>
      </c>
      <c r="O265" s="208" t="n">
        <f aca="false">O264*$C$264*(1-IF($C$270=1,$C$15,$C$4))</f>
        <v>3364.82133643392</v>
      </c>
      <c r="P265" s="208" t="n">
        <f aca="false">O265*(1+$C$266)</f>
        <v>3381.64544311609</v>
      </c>
    </row>
    <row r="266" customFormat="false" ht="15" hidden="false" customHeight="true" outlineLevel="0" collapsed="false">
      <c r="B266" s="91" t="s">
        <v>297</v>
      </c>
      <c r="C266" s="96" t="n">
        <f aca="false">DCF!$D$92</f>
        <v>0.005</v>
      </c>
      <c r="E266" s="91" t="s">
        <v>46</v>
      </c>
      <c r="F266" s="207" t="n">
        <f aca="false">$C$263/(($C$6-$C$5+$C$7)/($C$264*(1-IF($C$270=1,$C$15,$C$4))))</f>
        <v>0.187155195652174</v>
      </c>
      <c r="G266" s="207" t="n">
        <f aca="false">IF($C$269=1,F266-($F266-$C$265)/$C$12,G263/(($C$6-$C$5+$C$7)/($C$264*(1-IF($C$270=1,$C$15,$C$4)))))</f>
        <v>0.17589381713103</v>
      </c>
      <c r="H266" s="207" t="n">
        <f aca="false">IF($C$269=1,G266-($F266-$C$265)/$C$12,H263/(($C$6-$C$5+$C$7)/($C$264*(1-IF($C$270=1,$C$15,$C$4)))))</f>
        <v>0.164632438609886</v>
      </c>
      <c r="I266" s="207" t="n">
        <f aca="false">IF($C$269=1,H266-($F266-$C$265)/$C$12,I263/(($C$6-$C$5+$C$7)/($C$264*(1-IF($C$270=1,$C$15,$C$4)))))</f>
        <v>0.153371060088742</v>
      </c>
      <c r="J266" s="207" t="n">
        <f aca="false">IF($C$269=1,I266-($F266-$C$265)/$C$12,J263/(($C$6-$C$5+$C$7)/($C$264*(1-IF($C$270=1,$C$15,$C$4)))))</f>
        <v>0.142109681567598</v>
      </c>
      <c r="K266" s="207" t="n">
        <f aca="false">IF($C$269=1,J266-($F266-$C$265)/$C$12,K263/(($C$6-$C$5+$C$7)/($C$264*(1-IF($C$270=1,$C$15,$C$4)))))</f>
        <v>0.130848303046454</v>
      </c>
      <c r="L266" s="207" t="n">
        <f aca="false">IF($C$269=1,K266-($F266-$C$265)/$C$12,L263/(($C$6-$C$5+$C$7)/($C$264*(1-IF($C$270=1,$C$15,$C$4)))))</f>
        <v>0.11958692452531</v>
      </c>
      <c r="M266" s="207" t="n">
        <f aca="false">IF($C$269=1,L266-($F266-$C$265)/$C$12,M263/(($C$6-$C$5+$C$7)/($C$264*(1-IF($C$270=1,$C$15,$C$4)))))</f>
        <v>0.108325546004167</v>
      </c>
      <c r="N266" s="207" t="n">
        <f aca="false">IF($C$269=1,M266-($F266-$C$265)/$C$12,N263/(($C$6-$C$5+$C$7)/($C$264*(1-IF($C$270=1,$C$15,$C$4)))))</f>
        <v>0.0970641674830226</v>
      </c>
      <c r="O266" s="207" t="n">
        <f aca="false">IF($C$269=1,N266-($F266-$C$265)/$C$12,O263/(($C$6-$C$5+$C$7)/($C$264*(1-IF($C$270=1,$C$15,$C$4)))))</f>
        <v>0.0858027889618787</v>
      </c>
      <c r="P266" s="207" t="n">
        <f aca="false">$C$265</f>
        <v>0.0858027889618787</v>
      </c>
    </row>
    <row r="267" customFormat="false" ht="15" hidden="false" customHeight="true" outlineLevel="0" collapsed="false">
      <c r="B267" s="91" t="s">
        <v>298</v>
      </c>
      <c r="C267" s="209" t="n">
        <v>1</v>
      </c>
      <c r="E267" s="91" t="s">
        <v>45</v>
      </c>
      <c r="F267" s="210" t="n">
        <f aca="false">IF($C$269=1,F263/F266,(($C$6-$C$5+$C$7)/($C$264*(1-IF($C$270=1,$C$15,$C$4)))))</f>
        <v>0.485693168619998</v>
      </c>
      <c r="G267" s="210" t="n">
        <f aca="false">IF($C$269=1,G263/G266,(($C$6-$C$5+$C$7)/($C$264*(1-IF($C$270=1,$C$15,$C$4)))))</f>
        <v>0.462526522435696</v>
      </c>
      <c r="H267" s="210" t="n">
        <f aca="false">IF($C$269=1,H263/H266,(($C$6-$C$5+$C$7)/($C$264*(1-IF($C$270=1,$C$15,$C$4)))))</f>
        <v>0.436190532786039</v>
      </c>
      <c r="I267" s="210" t="n">
        <f aca="false">IF($C$269=1,I263/I266,(($C$6-$C$5+$C$7)/($C$264*(1-IF($C$270=1,$C$15,$C$4)))))</f>
        <v>0.40598706581697</v>
      </c>
      <c r="J267" s="210" t="n">
        <f aca="false">IF($C$269=1,J263/J266,(($C$6-$C$5+$C$7)/($C$264*(1-IF($C$270=1,$C$15,$C$4)))))</f>
        <v>0.370996695233206</v>
      </c>
      <c r="K267" s="210" t="n">
        <f aca="false">IF($C$269=1,K263/K266,(($C$6-$C$5+$C$7)/($C$264*(1-IF($C$270=1,$C$15,$C$4)))))</f>
        <v>0.329983475310709</v>
      </c>
      <c r="L267" s="210" t="n">
        <f aca="false">IF($C$269=1,L263/L266,(($C$6-$C$5+$C$7)/($C$264*(1-IF($C$270=1,$C$15,$C$4)))))</f>
        <v>0.281245909340322</v>
      </c>
      <c r="M267" s="210" t="n">
        <f aca="false">IF($C$269=1,M263/M266,(($C$6-$C$5+$C$7)/($C$264*(1-IF($C$270=1,$C$15,$C$4)))))</f>
        <v>0.22237495934673</v>
      </c>
      <c r="N267" s="210" t="n">
        <f aca="false">IF($C$269=1,N263/N266,(($C$6-$C$5+$C$7)/($C$264*(1-IF($C$270=1,$C$15,$C$4)))))</f>
        <v>0.149843601625578</v>
      </c>
      <c r="O267" s="210" t="n">
        <f aca="false">IF($C$269=1,O263/O266,(($C$6-$C$5+$C$7)/($C$264*(1-IF($C$270=1,$C$15,$C$4)))))</f>
        <v>0.0582731640835294</v>
      </c>
      <c r="P267" s="210" t="n">
        <f aca="false">$C$266/P266</f>
        <v>0.0582731640835294</v>
      </c>
    </row>
    <row r="268" customFormat="false" ht="15" hidden="false" customHeight="true" outlineLevel="0" collapsed="false">
      <c r="B268" s="91" t="s">
        <v>299</v>
      </c>
      <c r="C268" s="209" t="n">
        <v>1</v>
      </c>
      <c r="E268" s="91" t="s">
        <v>300</v>
      </c>
      <c r="F268" s="208" t="n">
        <f aca="false">F265*F267</f>
        <v>1119.92841264</v>
      </c>
      <c r="G268" s="208" t="n">
        <f aca="false">G265*G267</f>
        <v>1153.27645302015</v>
      </c>
      <c r="H268" s="208" t="n">
        <f aca="false">H265*H267</f>
        <v>1165.71201776651</v>
      </c>
      <c r="I268" s="208" t="n">
        <f aca="false">I265*I267</f>
        <v>1152.55269367615</v>
      </c>
      <c r="J268" s="208" t="n">
        <f aca="false">J265*J267</f>
        <v>1108.74691382878</v>
      </c>
      <c r="K268" s="208" t="n">
        <f aca="false">K265*K267</f>
        <v>1028.75723388305</v>
      </c>
      <c r="L268" s="208" t="n">
        <f aca="false">L265*L267</f>
        <v>906.3030273638</v>
      </c>
      <c r="M268" s="208" t="n">
        <f aca="false">M265*M267</f>
        <v>733.855835661036</v>
      </c>
      <c r="N268" s="208" t="n">
        <f aca="false">N265*N267</f>
        <v>501.688505351096</v>
      </c>
      <c r="O268" s="208" t="n">
        <f aca="false">O265*O267</f>
        <v>196.078785849775</v>
      </c>
    </row>
    <row r="269" customFormat="false" ht="15" hidden="false" customHeight="true" outlineLevel="0" collapsed="false">
      <c r="B269" s="91" t="s">
        <v>301</v>
      </c>
      <c r="C269" s="209" t="n">
        <v>1</v>
      </c>
      <c r="E269" s="90" t="s">
        <v>47</v>
      </c>
      <c r="F269" s="211" t="n">
        <f aca="false">F265-F268</f>
        <v>1185.9068039064</v>
      </c>
      <c r="G269" s="211" t="n">
        <f aca="false">G265-G268</f>
        <v>1340.15126858794</v>
      </c>
      <c r="H269" s="211" t="n">
        <f aca="false">H265-H268</f>
        <v>1506.77151900551</v>
      </c>
      <c r="I269" s="211" t="n">
        <f aca="false">I265-I268</f>
        <v>1686.33748465221</v>
      </c>
      <c r="J269" s="211" t="n">
        <f aca="false">J265-J268</f>
        <v>1879.8158633459</v>
      </c>
      <c r="K269" s="211" t="n">
        <f aca="false">K265-K268</f>
        <v>2088.8450427594</v>
      </c>
      <c r="L269" s="211" t="n">
        <f aca="false">L265-L268</f>
        <v>2316.15460584973</v>
      </c>
      <c r="M269" s="211" t="n">
        <f aca="false">M265-M268</f>
        <v>2566.22722142813</v>
      </c>
      <c r="N269" s="211" t="n">
        <f aca="false">N265-N268</f>
        <v>2846.39242642395</v>
      </c>
      <c r="O269" s="211" t="n">
        <f aca="false">O265-O268</f>
        <v>3168.74255058415</v>
      </c>
      <c r="P269" s="211" t="n">
        <f aca="false">IF($C$268=1,P265*(1-P267),O269*(1+$C$266))</f>
        <v>3184.58626333707</v>
      </c>
    </row>
    <row r="270" customFormat="false" ht="15" hidden="false" customHeight="true" outlineLevel="0" collapsed="false">
      <c r="B270" s="91" t="s">
        <v>302</v>
      </c>
      <c r="C270" s="209" t="n">
        <v>0</v>
      </c>
      <c r="E270" s="91" t="s">
        <v>303</v>
      </c>
      <c r="F270" s="212" t="n">
        <f aca="false">DCF!O$71</f>
        <v>0.0347222222222222</v>
      </c>
      <c r="G270" s="212" t="n">
        <f aca="false">DCF!P$71</f>
        <v>0.569444444444444</v>
      </c>
      <c r="H270" s="212" t="n">
        <f aca="false">DCF!Q$71</f>
        <v>1.56944444444444</v>
      </c>
      <c r="I270" s="212" t="n">
        <f aca="false">DCF!R$71</f>
        <v>2.56944444444444</v>
      </c>
      <c r="J270" s="212" t="n">
        <f aca="false">DCF!S$71</f>
        <v>3.56944444444444</v>
      </c>
      <c r="K270" s="212" t="n">
        <f aca="false">DCF!T$71</f>
        <v>4.56944444444445</v>
      </c>
      <c r="L270" s="212" t="n">
        <f aca="false">DCF!U$71</f>
        <v>5.56944444444445</v>
      </c>
      <c r="M270" s="212" t="n">
        <f aca="false">DCF!V$71</f>
        <v>6.56944444444445</v>
      </c>
      <c r="N270" s="212" t="n">
        <f aca="false">DCF!W$71</f>
        <v>7.56944444444445</v>
      </c>
      <c r="O270" s="212" t="n">
        <f aca="false">DCF!X$71</f>
        <v>8.56944444444445</v>
      </c>
    </row>
    <row r="271" customFormat="false" ht="15" hidden="false" customHeight="true" outlineLevel="0" collapsed="false">
      <c r="B271" s="91" t="s">
        <v>113</v>
      </c>
      <c r="C271" s="97" t="n">
        <f aca="false">SUM(F271:O271)</f>
        <v>12935.2230595844</v>
      </c>
      <c r="E271" s="91" t="s">
        <v>304</v>
      </c>
      <c r="F271" s="208" t="n">
        <f aca="false">F269*IF($C$270=1,1,DCF!$O$70)/(1+$C$265)^F270</f>
        <v>82.1195793601576</v>
      </c>
      <c r="G271" s="208" t="n">
        <f aca="false">G269/(1+$C$265)^G270</f>
        <v>1278.77942581424</v>
      </c>
      <c r="H271" s="208" t="n">
        <f aca="false">H269/(1+$C$265)^H270</f>
        <v>1324.15330324589</v>
      </c>
      <c r="I271" s="208" t="n">
        <f aca="false">I269/(1+$C$265)^I270</f>
        <v>1364.84837388594</v>
      </c>
      <c r="J271" s="208" t="n">
        <f aca="false">J269/(1+$C$265)^J270</f>
        <v>1401.21336231944</v>
      </c>
      <c r="K271" s="208" t="n">
        <f aca="false">K269/(1+$C$265)^K270</f>
        <v>1433.98375357359</v>
      </c>
      <c r="L271" s="208" t="n">
        <f aca="false">L269/(1+$C$265)^L270</f>
        <v>1464.38273520481</v>
      </c>
      <c r="M271" s="208" t="n">
        <f aca="false">M269/(1+$C$265)^M270</f>
        <v>1494.27733427867</v>
      </c>
      <c r="N271" s="208" t="n">
        <f aca="false">N269/(1+$C$265)^N270</f>
        <v>1526.4406528811</v>
      </c>
      <c r="O271" s="208" t="n">
        <f aca="false">O269/(1+$C$265)^O270</f>
        <v>1565.02453902056</v>
      </c>
    </row>
    <row r="272" customFormat="false" ht="15" hidden="false" customHeight="true" outlineLevel="0" collapsed="false">
      <c r="B272" s="91" t="s">
        <v>111</v>
      </c>
      <c r="C272" s="97" t="n">
        <f aca="false">P269/($C$265-$C$266)</f>
        <v>39411.8359558047</v>
      </c>
    </row>
    <row r="273" customFormat="false" ht="15" hidden="false" customHeight="true" outlineLevel="0" collapsed="false">
      <c r="B273" s="91" t="s">
        <v>112</v>
      </c>
      <c r="C273" s="97" t="n">
        <f aca="false">C272/(1+$C$265)^O270</f>
        <v>19465.2892792811</v>
      </c>
    </row>
    <row r="274" customFormat="false" ht="15" hidden="false" customHeight="true" outlineLevel="0" collapsed="false">
      <c r="B274" s="91" t="s">
        <v>114</v>
      </c>
      <c r="C274" s="97" t="n">
        <f aca="false">C271+C273</f>
        <v>32400.5123388655</v>
      </c>
    </row>
    <row r="275" customFormat="false" ht="15" hidden="false" customHeight="true" outlineLevel="0" collapsed="false">
      <c r="B275" s="91" t="s">
        <v>305</v>
      </c>
      <c r="C275" s="97" t="n">
        <f aca="false">C274+$C$9-IF($C$270=1,'Sources &amp; Checks'!$B$7,$C$10)</f>
        <v>33189.3123388655</v>
      </c>
    </row>
    <row r="276" customFormat="false" ht="15" hidden="false" customHeight="true" outlineLevel="0" collapsed="false">
      <c r="B276" s="205" t="s">
        <v>117</v>
      </c>
      <c r="C276" s="213" t="n">
        <f aca="false">C275/$C$11</f>
        <v>31.1110914312575</v>
      </c>
    </row>
    <row r="277" customFormat="false" ht="15" hidden="false" customHeight="true" outlineLevel="0" collapsed="false">
      <c r="B277" s="91" t="s">
        <v>110</v>
      </c>
      <c r="C277" s="93" t="n">
        <f aca="false">1-P269/P265</f>
        <v>0.0582731640835295</v>
      </c>
    </row>
    <row r="278" customFormat="false" ht="15" hidden="false" customHeight="true" outlineLevel="0" collapsed="false">
      <c r="B278" s="91" t="s">
        <v>306</v>
      </c>
      <c r="C278" s="93" t="n">
        <f aca="false">C273/C274</f>
        <v>0.600771033362081</v>
      </c>
    </row>
    <row r="281" customFormat="false" ht="15" hidden="false" customHeight="true" outlineLevel="0" collapsed="false">
      <c r="B281" s="86" t="s">
        <v>318</v>
      </c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</row>
    <row r="282" customFormat="false" ht="15" hidden="false" customHeight="true" outlineLevel="0" collapsed="false">
      <c r="B282" s="205" t="s">
        <v>291</v>
      </c>
      <c r="C282" s="205" t="s">
        <v>199</v>
      </c>
      <c r="E282" s="205" t="s">
        <v>292</v>
      </c>
      <c r="F282" s="206" t="str">
        <f aca="false">"FY"&amp;RIGHT(DCF!O$38,2)</f>
        <v>FY26</v>
      </c>
      <c r="G282" s="206" t="str">
        <f aca="false">"FY"&amp;RIGHT(DCF!P$38,2)</f>
        <v>FY27</v>
      </c>
      <c r="H282" s="206" t="str">
        <f aca="false">"FY"&amp;RIGHT(DCF!Q$38,2)</f>
        <v>FY28</v>
      </c>
      <c r="I282" s="206" t="str">
        <f aca="false">"FY"&amp;RIGHT(DCF!R$38,2)</f>
        <v>FY29</v>
      </c>
      <c r="J282" s="206" t="str">
        <f aca="false">"FY"&amp;RIGHT(DCF!S$38,2)</f>
        <v>FY30</v>
      </c>
      <c r="K282" s="206" t="str">
        <f aca="false">"FY"&amp;RIGHT(DCF!T$38,2)</f>
        <v>FY31</v>
      </c>
      <c r="L282" s="206" t="str">
        <f aca="false">"FY"&amp;RIGHT(DCF!U$38,2)</f>
        <v>FY32</v>
      </c>
      <c r="M282" s="206" t="str">
        <f aca="false">"FY"&amp;RIGHT(DCF!V$38,2)</f>
        <v>FY33</v>
      </c>
      <c r="N282" s="206" t="str">
        <f aca="false">"FY"&amp;RIGHT(DCF!W$38,2)</f>
        <v>FY34</v>
      </c>
      <c r="O282" s="206" t="str">
        <f aca="false">"FY"&amp;RIGHT(DCF!X$38,2)</f>
        <v>FY35</v>
      </c>
      <c r="P282" s="206" t="s">
        <v>40</v>
      </c>
    </row>
    <row r="283" customFormat="false" ht="15" hidden="false" customHeight="true" outlineLevel="0" collapsed="false">
      <c r="B283" s="91" t="s">
        <v>293</v>
      </c>
      <c r="C283" s="96" t="n">
        <f aca="false">DCF!$L$11</f>
        <v>0.0909</v>
      </c>
      <c r="E283" s="91" t="s">
        <v>294</v>
      </c>
      <c r="F283" s="207" t="n">
        <f aca="false">$C$283</f>
        <v>0.0909</v>
      </c>
      <c r="G283" s="207" t="n">
        <f aca="false">IF($C$287=1,F283-($C$283-$C$286)/$C$12,$C$283)</f>
        <v>0.0819111111111111</v>
      </c>
      <c r="H283" s="207" t="n">
        <f aca="false">IF($C$287=1,G283-($C$283-$C$286)/$C$12,$C$283)</f>
        <v>0.0729222222222222</v>
      </c>
      <c r="I283" s="207" t="n">
        <f aca="false">IF($C$287=1,H283-($C$283-$C$286)/$C$12,$C$283)</f>
        <v>0.0639333333333333</v>
      </c>
      <c r="J283" s="207" t="n">
        <f aca="false">IF($C$287=1,I283-($C$283-$C$286)/$C$12,$C$283)</f>
        <v>0.0549444444444444</v>
      </c>
      <c r="K283" s="207" t="n">
        <f aca="false">IF($C$287=1,J283-($C$283-$C$286)/$C$12,$C$283)</f>
        <v>0.0459555555555555</v>
      </c>
      <c r="L283" s="207" t="n">
        <f aca="false">IF($C$287=1,K283-($C$283-$C$286)/$C$12,$C$283)</f>
        <v>0.0369666666666667</v>
      </c>
      <c r="M283" s="207" t="n">
        <f aca="false">IF($C$287=1,L283-($C$283-$C$286)/$C$12,$C$283)</f>
        <v>0.0279777777777778</v>
      </c>
      <c r="N283" s="207" t="n">
        <f aca="false">IF($C$287=1,M283-($C$283-$C$286)/$C$12,$C$283)</f>
        <v>0.0189888888888889</v>
      </c>
      <c r="O283" s="207" t="n">
        <f aca="false">IF($C$287=1,N283-($C$283-$C$286)/$C$12,$C$283)</f>
        <v>0.00999999999999999</v>
      </c>
    </row>
    <row r="284" customFormat="false" ht="15" hidden="false" customHeight="true" outlineLevel="0" collapsed="false">
      <c r="B284" s="91" t="s">
        <v>295</v>
      </c>
      <c r="C284" s="96" t="n">
        <f aca="false">DCF!$L$13</f>
        <v>0.1722</v>
      </c>
      <c r="E284" s="91" t="s">
        <v>16</v>
      </c>
      <c r="F284" s="208" t="n">
        <f aca="false">$C$8*(1+F283)</f>
        <v>15216.41865</v>
      </c>
      <c r="G284" s="208" t="n">
        <f aca="false">F284*(1+G283)</f>
        <v>16462.8124087533</v>
      </c>
      <c r="H284" s="208" t="n">
        <f aca="false">G284*(1+H283)</f>
        <v>17663.3172736272</v>
      </c>
      <c r="I284" s="208" t="n">
        <f aca="false">H284*(1+I283)</f>
        <v>18792.5920246544</v>
      </c>
      <c r="J284" s="208" t="n">
        <f aca="false">I284*(1+J283)</f>
        <v>19825.1405531202</v>
      </c>
      <c r="K284" s="208" t="n">
        <f aca="false">J284*(1+K283)</f>
        <v>20736.2159012058</v>
      </c>
      <c r="L284" s="208" t="n">
        <f aca="false">K284*(1+L283)</f>
        <v>21502.7646823537</v>
      </c>
      <c r="M284" s="208" t="n">
        <f aca="false">L284*(1+M283)</f>
        <v>22104.3642542444</v>
      </c>
      <c r="N284" s="208" t="n">
        <f aca="false">M284*(1+N283)</f>
        <v>22524.1015710278</v>
      </c>
      <c r="O284" s="208" t="n">
        <f aca="false">N284*(1+O283)</f>
        <v>22749.3425867381</v>
      </c>
    </row>
    <row r="285" customFormat="false" ht="15" hidden="false" customHeight="true" outlineLevel="0" collapsed="false">
      <c r="B285" s="91" t="s">
        <v>21</v>
      </c>
      <c r="C285" s="95" t="n">
        <f aca="false">DCF!$L$16</f>
        <v>0.0858027889618787</v>
      </c>
      <c r="E285" s="91" t="s">
        <v>296</v>
      </c>
      <c r="F285" s="208" t="n">
        <f aca="false">F284*$C$284*(1-IF($C$290=1,$C$15,$C$4))</f>
        <v>2305.8352165464</v>
      </c>
      <c r="G285" s="208" t="n">
        <f aca="false">G284*$C$284*(1-IF($C$290=1,$C$15,$C$4))</f>
        <v>2494.70874117285</v>
      </c>
      <c r="H285" s="208" t="n">
        <f aca="false">H284*$C$284*(1-IF($C$290=1,$C$15,$C$4))</f>
        <v>2676.62844637637</v>
      </c>
      <c r="I285" s="208" t="n">
        <f aca="false">I284*$C$284*(1-IF($C$290=1,$C$15,$C$4))</f>
        <v>2847.75422504803</v>
      </c>
      <c r="J285" s="208" t="n">
        <f aca="false">J284*$C$284*(1-IF($C$290=1,$C$15,$C$4))</f>
        <v>3004.22249885762</v>
      </c>
      <c r="K285" s="208" t="n">
        <f aca="false">K284*$C$284*(1-IF($C$290=1,$C$15,$C$4))</f>
        <v>3142.28321280512</v>
      </c>
      <c r="L285" s="208" t="n">
        <f aca="false">L284*$C$284*(1-IF($C$290=1,$C$15,$C$4))</f>
        <v>3258.44294890515</v>
      </c>
      <c r="M285" s="208" t="n">
        <f aca="false">M284*$C$284*(1-IF($C$290=1,$C$15,$C$4))</f>
        <v>3349.60694163118</v>
      </c>
      <c r="N285" s="208" t="n">
        <f aca="false">N284*$C$284*(1-IF($C$290=1,$C$15,$C$4))</f>
        <v>3413.21225566727</v>
      </c>
      <c r="O285" s="208" t="n">
        <f aca="false">O284*$C$284*(1-IF($C$290=1,$C$15,$C$4))</f>
        <v>3447.34437822394</v>
      </c>
      <c r="P285" s="208" t="n">
        <f aca="false">O285*(1+$C$286)</f>
        <v>3481.81782200618</v>
      </c>
    </row>
    <row r="286" customFormat="false" ht="15" hidden="false" customHeight="true" outlineLevel="0" collapsed="false">
      <c r="B286" s="91" t="s">
        <v>297</v>
      </c>
      <c r="C286" s="96" t="n">
        <f aca="false">DCF!$F$92</f>
        <v>0.01</v>
      </c>
      <c r="E286" s="91" t="s">
        <v>46</v>
      </c>
      <c r="F286" s="207" t="n">
        <f aca="false">$C$283/(($C$6-$C$5+$C$7)/($C$284*(1-IF($C$290=1,$C$15,$C$4))))</f>
        <v>0.187155195652174</v>
      </c>
      <c r="G286" s="207" t="n">
        <f aca="false">IF($C$289=1,F286-($F286-$C$285)/$C$12,G283/(($C$6-$C$5+$C$7)/($C$284*(1-IF($C$290=1,$C$15,$C$4)))))</f>
        <v>0.17589381713103</v>
      </c>
      <c r="H286" s="207" t="n">
        <f aca="false">IF($C$289=1,G286-($F286-$C$285)/$C$12,H283/(($C$6-$C$5+$C$7)/($C$284*(1-IF($C$290=1,$C$15,$C$4)))))</f>
        <v>0.164632438609886</v>
      </c>
      <c r="I286" s="207" t="n">
        <f aca="false">IF($C$289=1,H286-($F286-$C$285)/$C$12,I283/(($C$6-$C$5+$C$7)/($C$284*(1-IF($C$290=1,$C$15,$C$4)))))</f>
        <v>0.153371060088742</v>
      </c>
      <c r="J286" s="207" t="n">
        <f aca="false">IF($C$289=1,I286-($F286-$C$285)/$C$12,J283/(($C$6-$C$5+$C$7)/($C$284*(1-IF($C$290=1,$C$15,$C$4)))))</f>
        <v>0.142109681567598</v>
      </c>
      <c r="K286" s="207" t="n">
        <f aca="false">IF($C$289=1,J286-($F286-$C$285)/$C$12,K283/(($C$6-$C$5+$C$7)/($C$284*(1-IF($C$290=1,$C$15,$C$4)))))</f>
        <v>0.130848303046454</v>
      </c>
      <c r="L286" s="207" t="n">
        <f aca="false">IF($C$289=1,K286-($F286-$C$285)/$C$12,L283/(($C$6-$C$5+$C$7)/($C$284*(1-IF($C$290=1,$C$15,$C$4)))))</f>
        <v>0.11958692452531</v>
      </c>
      <c r="M286" s="207" t="n">
        <f aca="false">IF($C$289=1,L286-($F286-$C$285)/$C$12,M283/(($C$6-$C$5+$C$7)/($C$284*(1-IF($C$290=1,$C$15,$C$4)))))</f>
        <v>0.108325546004167</v>
      </c>
      <c r="N286" s="207" t="n">
        <f aca="false">IF($C$289=1,M286-($F286-$C$285)/$C$12,N283/(($C$6-$C$5+$C$7)/($C$284*(1-IF($C$290=1,$C$15,$C$4)))))</f>
        <v>0.0970641674830226</v>
      </c>
      <c r="O286" s="207" t="n">
        <f aca="false">IF($C$289=1,N286-($F286-$C$285)/$C$12,O283/(($C$6-$C$5+$C$7)/($C$284*(1-IF($C$290=1,$C$15,$C$4)))))</f>
        <v>0.0858027889618787</v>
      </c>
      <c r="P286" s="207" t="n">
        <f aca="false">$C$285</f>
        <v>0.0858027889618787</v>
      </c>
    </row>
    <row r="287" customFormat="false" ht="15" hidden="false" customHeight="true" outlineLevel="0" collapsed="false">
      <c r="B287" s="91" t="s">
        <v>298</v>
      </c>
      <c r="C287" s="209" t="n">
        <v>1</v>
      </c>
      <c r="E287" s="91" t="s">
        <v>45</v>
      </c>
      <c r="F287" s="210" t="n">
        <f aca="false">IF($C$289=1,F283/F286,(($C$6-$C$5+$C$7)/($C$284*(1-IF($C$290=1,$C$15,$C$4)))))</f>
        <v>0.485693168619998</v>
      </c>
      <c r="G287" s="210" t="n">
        <f aca="false">IF($C$289=1,G283/G286,(($C$6-$C$5+$C$7)/($C$284*(1-IF($C$290=1,$C$15,$C$4)))))</f>
        <v>0.465684993635066</v>
      </c>
      <c r="H287" s="210" t="n">
        <f aca="false">IF($C$289=1,H283/H286,(($C$6-$C$5+$C$7)/($C$284*(1-IF($C$290=1,$C$15,$C$4)))))</f>
        <v>0.442939573986504</v>
      </c>
      <c r="I287" s="210" t="n">
        <f aca="false">IF($C$289=1,I283/I286,(($C$6-$C$5+$C$7)/($C$284*(1-IF($C$290=1,$C$15,$C$4)))))</f>
        <v>0.416853957300294</v>
      </c>
      <c r="J287" s="210" t="n">
        <f aca="false">IF($C$289=1,J283/J286,(($C$6-$C$5+$C$7)/($C$284*(1-IF($C$290=1,$C$15,$C$4)))))</f>
        <v>0.386634069110264</v>
      </c>
      <c r="K287" s="210" t="n">
        <f aca="false">IF($C$289=1,K283/K286,(($C$6-$C$5+$C$7)/($C$284*(1-IF($C$290=1,$C$15,$C$4)))))</f>
        <v>0.351212468833013</v>
      </c>
      <c r="L287" s="210" t="n">
        <f aca="false">IF($C$289=1,L283/L286,(($C$6-$C$5+$C$7)/($C$284*(1-IF($C$290=1,$C$15,$C$4)))))</f>
        <v>0.309119636727866</v>
      </c>
      <c r="M287" s="210" t="n">
        <f aca="false">IF($C$289=1,M283/M286,(($C$6-$C$5+$C$7)/($C$284*(1-IF($C$290=1,$C$15,$C$4)))))</f>
        <v>0.258274975846433</v>
      </c>
      <c r="N287" s="210" t="n">
        <f aca="false">IF($C$289=1,N283/N286,(($C$6-$C$5+$C$7)/($C$284*(1-IF($C$290=1,$C$15,$C$4)))))</f>
        <v>0.195632326339277</v>
      </c>
      <c r="O287" s="210" t="n">
        <f aca="false">IF($C$289=1,O283/O286,(($C$6-$C$5+$C$7)/($C$284*(1-IF($C$290=1,$C$15,$C$4)))))</f>
        <v>0.116546328167059</v>
      </c>
      <c r="P287" s="210" t="n">
        <f aca="false">$C$286/P286</f>
        <v>0.116546328167059</v>
      </c>
    </row>
    <row r="288" customFormat="false" ht="15" hidden="false" customHeight="true" outlineLevel="0" collapsed="false">
      <c r="B288" s="91" t="s">
        <v>299</v>
      </c>
      <c r="C288" s="209" t="n">
        <v>1</v>
      </c>
      <c r="E288" s="91" t="s">
        <v>300</v>
      </c>
      <c r="F288" s="208" t="n">
        <f aca="false">F285*F287</f>
        <v>1119.92841264</v>
      </c>
      <c r="G288" s="208" t="n">
        <f aca="false">G285*G287</f>
        <v>1161.74842425442</v>
      </c>
      <c r="H288" s="208" t="n">
        <f aca="false">H285*H287</f>
        <v>1185.58466375811</v>
      </c>
      <c r="I288" s="208" t="n">
        <f aca="false">I285*I287</f>
        <v>1187.0976181299</v>
      </c>
      <c r="J288" s="208" t="n">
        <f aca="false">J285*J287</f>
        <v>1161.53476924593</v>
      </c>
      <c r="K288" s="208" t="n">
        <f aca="false">K285*K287</f>
        <v>1103.60904494182</v>
      </c>
      <c r="L288" s="208" t="n">
        <f aca="false">L285*L287</f>
        <v>1007.24870066404</v>
      </c>
      <c r="M288" s="208" t="n">
        <f aca="false">M285*M287</f>
        <v>865.119651944838</v>
      </c>
      <c r="N288" s="208" t="n">
        <f aca="false">N285*N287</f>
        <v>667.734653865918</v>
      </c>
      <c r="O288" s="208" t="n">
        <f aca="false">O285*O287</f>
        <v>401.775329209353</v>
      </c>
    </row>
    <row r="289" customFormat="false" ht="15" hidden="false" customHeight="true" outlineLevel="0" collapsed="false">
      <c r="B289" s="91" t="s">
        <v>301</v>
      </c>
      <c r="C289" s="209" t="n">
        <v>1</v>
      </c>
      <c r="E289" s="90" t="s">
        <v>47</v>
      </c>
      <c r="F289" s="211" t="n">
        <f aca="false">F285-F288</f>
        <v>1185.9068039064</v>
      </c>
      <c r="G289" s="211" t="n">
        <f aca="false">G285-G288</f>
        <v>1332.96031691843</v>
      </c>
      <c r="H289" s="211" t="n">
        <f aca="false">H285-H288</f>
        <v>1491.04378261826</v>
      </c>
      <c r="I289" s="211" t="n">
        <f aca="false">I285-I288</f>
        <v>1660.65660691813</v>
      </c>
      <c r="J289" s="211" t="n">
        <f aca="false">J285-J288</f>
        <v>1842.68772961169</v>
      </c>
      <c r="K289" s="211" t="n">
        <f aca="false">K285-K288</f>
        <v>2038.6741678633</v>
      </c>
      <c r="L289" s="211" t="n">
        <f aca="false">L285-L288</f>
        <v>2251.19424824111</v>
      </c>
      <c r="M289" s="211" t="n">
        <f aca="false">M285-M288</f>
        <v>2484.48728968635</v>
      </c>
      <c r="N289" s="211" t="n">
        <f aca="false">N285-N288</f>
        <v>2745.47760180135</v>
      </c>
      <c r="O289" s="211" t="n">
        <f aca="false">O285-O288</f>
        <v>3045.56904901459</v>
      </c>
      <c r="P289" s="211" t="n">
        <f aca="false">IF($C$288=1,P285*(1-P287),O289*(1+$C$286))</f>
        <v>3076.02473950473</v>
      </c>
    </row>
    <row r="290" customFormat="false" ht="15" hidden="false" customHeight="true" outlineLevel="0" collapsed="false">
      <c r="B290" s="91" t="s">
        <v>302</v>
      </c>
      <c r="C290" s="209" t="n">
        <v>0</v>
      </c>
      <c r="E290" s="91" t="s">
        <v>303</v>
      </c>
      <c r="F290" s="212" t="n">
        <f aca="false">DCF!O$71</f>
        <v>0.0347222222222222</v>
      </c>
      <c r="G290" s="212" t="n">
        <f aca="false">DCF!P$71</f>
        <v>0.569444444444444</v>
      </c>
      <c r="H290" s="212" t="n">
        <f aca="false">DCF!Q$71</f>
        <v>1.56944444444444</v>
      </c>
      <c r="I290" s="212" t="n">
        <f aca="false">DCF!R$71</f>
        <v>2.56944444444444</v>
      </c>
      <c r="J290" s="212" t="n">
        <f aca="false">DCF!S$71</f>
        <v>3.56944444444444</v>
      </c>
      <c r="K290" s="212" t="n">
        <f aca="false">DCF!T$71</f>
        <v>4.56944444444445</v>
      </c>
      <c r="L290" s="212" t="n">
        <f aca="false">DCF!U$71</f>
        <v>5.56944444444445</v>
      </c>
      <c r="M290" s="212" t="n">
        <f aca="false">DCF!V$71</f>
        <v>6.56944444444445</v>
      </c>
      <c r="N290" s="212" t="n">
        <f aca="false">DCF!W$71</f>
        <v>7.56944444444445</v>
      </c>
      <c r="O290" s="212" t="n">
        <f aca="false">DCF!X$71</f>
        <v>8.56944444444445</v>
      </c>
    </row>
    <row r="291" customFormat="false" ht="15" hidden="false" customHeight="true" outlineLevel="0" collapsed="false">
      <c r="B291" s="91" t="s">
        <v>113</v>
      </c>
      <c r="C291" s="97" t="n">
        <f aca="false">SUM(F291:O291)</f>
        <v>12628.0179564231</v>
      </c>
      <c r="E291" s="91" t="s">
        <v>304</v>
      </c>
      <c r="F291" s="208" t="n">
        <f aca="false">F289*IF($C$290=1,1,DCF!$O$70)/(1+$C$285)^F290</f>
        <v>82.1195793601576</v>
      </c>
      <c r="G291" s="208" t="n">
        <f aca="false">G289/(1+$C$285)^G290</f>
        <v>1271.9177817129</v>
      </c>
      <c r="H291" s="208" t="n">
        <f aca="false">H289/(1+$C$285)^H290</f>
        <v>1310.33174249359</v>
      </c>
      <c r="I291" s="208" t="n">
        <f aca="false">I289/(1+$C$285)^I290</f>
        <v>1344.06338598505</v>
      </c>
      <c r="J291" s="208" t="n">
        <f aca="false">J289/(1+$C$285)^J290</f>
        <v>1373.53807873409</v>
      </c>
      <c r="K291" s="208" t="n">
        <f aca="false">K289/(1+$C$285)^K290</f>
        <v>1399.54164895077</v>
      </c>
      <c r="L291" s="208" t="n">
        <f aca="false">L289/(1+$C$285)^L290</f>
        <v>1423.3117177889</v>
      </c>
      <c r="M291" s="208" t="n">
        <f aca="false">M289/(1+$C$285)^M290</f>
        <v>1446.68134344538</v>
      </c>
      <c r="N291" s="208" t="n">
        <f aca="false">N289/(1+$C$285)^N290</f>
        <v>1472.32285473342</v>
      </c>
      <c r="O291" s="208" t="n">
        <f aca="false">O289/(1+$C$285)^O290</f>
        <v>1504.18982321889</v>
      </c>
    </row>
    <row r="292" customFormat="false" ht="15" hidden="false" customHeight="true" outlineLevel="0" collapsed="false">
      <c r="B292" s="91" t="s">
        <v>111</v>
      </c>
      <c r="C292" s="97" t="n">
        <f aca="false">P289/($C$285-$C$286)</f>
        <v>40579.3082501446</v>
      </c>
    </row>
    <row r="293" customFormat="false" ht="15" hidden="false" customHeight="true" outlineLevel="0" collapsed="false">
      <c r="B293" s="91" t="s">
        <v>112</v>
      </c>
      <c r="C293" s="97" t="n">
        <f aca="false">C292/(1+$C$285)^O290</f>
        <v>20041.8974322317</v>
      </c>
    </row>
    <row r="294" customFormat="false" ht="15" hidden="false" customHeight="true" outlineLevel="0" collapsed="false">
      <c r="B294" s="91" t="s">
        <v>114</v>
      </c>
      <c r="C294" s="97" t="n">
        <f aca="false">C291+C293</f>
        <v>32669.9153886549</v>
      </c>
    </row>
    <row r="295" customFormat="false" ht="15" hidden="false" customHeight="true" outlineLevel="0" collapsed="false">
      <c r="B295" s="91" t="s">
        <v>305</v>
      </c>
      <c r="C295" s="97" t="n">
        <f aca="false">C294+$C$9-IF($C$290=1,'Sources &amp; Checks'!$B$7,$C$10)</f>
        <v>33458.7153886549</v>
      </c>
    </row>
    <row r="296" customFormat="false" ht="15" hidden="false" customHeight="true" outlineLevel="0" collapsed="false">
      <c r="B296" s="205" t="s">
        <v>117</v>
      </c>
      <c r="C296" s="213" t="n">
        <f aca="false">C295/$C$11</f>
        <v>31.363625223711</v>
      </c>
    </row>
    <row r="297" customFormat="false" ht="15" hidden="false" customHeight="true" outlineLevel="0" collapsed="false">
      <c r="B297" s="91" t="s">
        <v>110</v>
      </c>
      <c r="C297" s="93" t="n">
        <f aca="false">1-P289/P285</f>
        <v>0.116546328167059</v>
      </c>
    </row>
    <row r="298" customFormat="false" ht="15" hidden="false" customHeight="true" outlineLevel="0" collapsed="false">
      <c r="B298" s="91" t="s">
        <v>306</v>
      </c>
      <c r="C298" s="93" t="n">
        <f aca="false">C293/C294</f>
        <v>0.613466462762606</v>
      </c>
    </row>
    <row r="301" customFormat="false" ht="15" hidden="false" customHeight="true" outlineLevel="0" collapsed="false">
      <c r="B301" s="86" t="s">
        <v>319</v>
      </c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</row>
    <row r="302" customFormat="false" ht="15" hidden="false" customHeight="true" outlineLevel="0" collapsed="false">
      <c r="B302" s="205" t="s">
        <v>291</v>
      </c>
      <c r="C302" s="205" t="s">
        <v>199</v>
      </c>
      <c r="E302" s="205" t="s">
        <v>292</v>
      </c>
      <c r="F302" s="206" t="str">
        <f aca="false">"FY"&amp;RIGHT(DCF!O$38,2)</f>
        <v>FY26</v>
      </c>
      <c r="G302" s="206" t="str">
        <f aca="false">"FY"&amp;RIGHT(DCF!P$38,2)</f>
        <v>FY27</v>
      </c>
      <c r="H302" s="206" t="str">
        <f aca="false">"FY"&amp;RIGHT(DCF!Q$38,2)</f>
        <v>FY28</v>
      </c>
      <c r="I302" s="206" t="str">
        <f aca="false">"FY"&amp;RIGHT(DCF!R$38,2)</f>
        <v>FY29</v>
      </c>
      <c r="J302" s="206" t="str">
        <f aca="false">"FY"&amp;RIGHT(DCF!S$38,2)</f>
        <v>FY30</v>
      </c>
      <c r="K302" s="206" t="str">
        <f aca="false">"FY"&amp;RIGHT(DCF!T$38,2)</f>
        <v>FY31</v>
      </c>
      <c r="L302" s="206" t="str">
        <f aca="false">"FY"&amp;RIGHT(DCF!U$38,2)</f>
        <v>FY32</v>
      </c>
      <c r="M302" s="206" t="str">
        <f aca="false">"FY"&amp;RIGHT(DCF!V$38,2)</f>
        <v>FY33</v>
      </c>
      <c r="N302" s="206" t="str">
        <f aca="false">"FY"&amp;RIGHT(DCF!W$38,2)</f>
        <v>FY34</v>
      </c>
      <c r="O302" s="206" t="str">
        <f aca="false">"FY"&amp;RIGHT(DCF!X$38,2)</f>
        <v>FY35</v>
      </c>
      <c r="P302" s="206" t="s">
        <v>40</v>
      </c>
    </row>
    <row r="303" customFormat="false" ht="15" hidden="false" customHeight="true" outlineLevel="0" collapsed="false">
      <c r="B303" s="91" t="s">
        <v>293</v>
      </c>
      <c r="C303" s="96" t="n">
        <f aca="false">DCF!$L$11</f>
        <v>0.0909</v>
      </c>
      <c r="E303" s="91" t="s">
        <v>294</v>
      </c>
      <c r="F303" s="207" t="n">
        <f aca="false">$C$303</f>
        <v>0.0909</v>
      </c>
      <c r="G303" s="207" t="n">
        <f aca="false">IF($C$307=1,F303-($C$303-$C$306)/$C$12,$C$303)</f>
        <v>0.0824666666666667</v>
      </c>
      <c r="H303" s="207" t="n">
        <f aca="false">IF($C$307=1,G303-($C$303-$C$306)/$C$12,$C$303)</f>
        <v>0.0740333333333333</v>
      </c>
      <c r="I303" s="207" t="n">
        <f aca="false">IF($C$307=1,H303-($C$303-$C$306)/$C$12,$C$303)</f>
        <v>0.0656</v>
      </c>
      <c r="J303" s="207" t="n">
        <f aca="false">IF($C$307=1,I303-($C$303-$C$306)/$C$12,$C$303)</f>
        <v>0.0571666666666667</v>
      </c>
      <c r="K303" s="207" t="n">
        <f aca="false">IF($C$307=1,J303-($C$303-$C$306)/$C$12,$C$303)</f>
        <v>0.0487333333333333</v>
      </c>
      <c r="L303" s="207" t="n">
        <f aca="false">IF($C$307=1,K303-($C$303-$C$306)/$C$12,$C$303)</f>
        <v>0.0403</v>
      </c>
      <c r="M303" s="207" t="n">
        <f aca="false">IF($C$307=1,L303-($C$303-$C$306)/$C$12,$C$303)</f>
        <v>0.0318666666666667</v>
      </c>
      <c r="N303" s="207" t="n">
        <f aca="false">IF($C$307=1,M303-($C$303-$C$306)/$C$12,$C$303)</f>
        <v>0.0234333333333333</v>
      </c>
      <c r="O303" s="207" t="n">
        <f aca="false">IF($C$307=1,N303-($C$303-$C$306)/$C$12,$C$303)</f>
        <v>0.015</v>
      </c>
    </row>
    <row r="304" customFormat="false" ht="15" hidden="false" customHeight="true" outlineLevel="0" collapsed="false">
      <c r="B304" s="91" t="s">
        <v>295</v>
      </c>
      <c r="C304" s="96" t="n">
        <f aca="false">DCF!$L$13</f>
        <v>0.1722</v>
      </c>
      <c r="E304" s="91" t="s">
        <v>16</v>
      </c>
      <c r="F304" s="208" t="n">
        <f aca="false">$C$8*(1+F303)</f>
        <v>15216.41865</v>
      </c>
      <c r="G304" s="208" t="n">
        <f aca="false">F304*(1+G303)</f>
        <v>16471.26597467</v>
      </c>
      <c r="H304" s="208" t="n">
        <f aca="false">G304*(1+H303)</f>
        <v>17690.6886989947</v>
      </c>
      <c r="I304" s="208" t="n">
        <f aca="false">H304*(1+I303)</f>
        <v>18851.1978776488</v>
      </c>
      <c r="J304" s="208" t="n">
        <f aca="false">I304*(1+J303)</f>
        <v>19928.8580229877</v>
      </c>
      <c r="K304" s="208" t="n">
        <f aca="false">J304*(1+K303)</f>
        <v>20900.0577039746</v>
      </c>
      <c r="L304" s="208" t="n">
        <f aca="false">K304*(1+L303)</f>
        <v>21742.3300294448</v>
      </c>
      <c r="M304" s="208" t="n">
        <f aca="false">L304*(1+M303)</f>
        <v>22435.1856130498</v>
      </c>
      <c r="N304" s="208" t="n">
        <f aca="false">M304*(1+N303)</f>
        <v>22960.9167959156</v>
      </c>
      <c r="O304" s="208" t="n">
        <f aca="false">N304*(1+O303)</f>
        <v>23305.3305478543</v>
      </c>
    </row>
    <row r="305" customFormat="false" ht="15" hidden="false" customHeight="true" outlineLevel="0" collapsed="false">
      <c r="B305" s="91" t="s">
        <v>21</v>
      </c>
      <c r="C305" s="95" t="n">
        <f aca="false">DCF!$L$16</f>
        <v>0.0858027889618787</v>
      </c>
      <c r="E305" s="91" t="s">
        <v>296</v>
      </c>
      <c r="F305" s="208" t="n">
        <f aca="false">F304*$C$304*(1-IF($C$310=1,$C$15,$C$4))</f>
        <v>2305.8352165464</v>
      </c>
      <c r="G305" s="208" t="n">
        <f aca="false">G304*$C$304*(1-IF($C$310=1,$C$15,$C$4))</f>
        <v>2495.98976073759</v>
      </c>
      <c r="H305" s="208" t="n">
        <f aca="false">H304*$C$304*(1-IF($C$310=1,$C$15,$C$4))</f>
        <v>2680.77620269087</v>
      </c>
      <c r="I305" s="208" t="n">
        <f aca="false">I304*$C$304*(1-IF($C$310=1,$C$15,$C$4))</f>
        <v>2856.63512158739</v>
      </c>
      <c r="J305" s="208" t="n">
        <f aca="false">J304*$C$304*(1-IF($C$310=1,$C$15,$C$4))</f>
        <v>3019.93942937147</v>
      </c>
      <c r="K305" s="208" t="n">
        <f aca="false">K304*$C$304*(1-IF($C$310=1,$C$15,$C$4))</f>
        <v>3167.1111442295</v>
      </c>
      <c r="L305" s="208" t="n">
        <f aca="false">L304*$C$304*(1-IF($C$310=1,$C$15,$C$4))</f>
        <v>3294.74572334195</v>
      </c>
      <c r="M305" s="208" t="n">
        <f aca="false">M304*$C$304*(1-IF($C$310=1,$C$15,$C$4))</f>
        <v>3399.73828705911</v>
      </c>
      <c r="N305" s="208" t="n">
        <f aca="false">N304*$C$304*(1-IF($C$310=1,$C$15,$C$4))</f>
        <v>3479.40548758587</v>
      </c>
      <c r="O305" s="208" t="n">
        <f aca="false">O304*$C$304*(1-IF($C$310=1,$C$15,$C$4))</f>
        <v>3531.59656989965</v>
      </c>
      <c r="P305" s="208" t="n">
        <f aca="false">O305*(1+$C$306)</f>
        <v>3584.57051844815</v>
      </c>
    </row>
    <row r="306" customFormat="false" ht="15" hidden="false" customHeight="true" outlineLevel="0" collapsed="false">
      <c r="B306" s="91" t="s">
        <v>297</v>
      </c>
      <c r="C306" s="96" t="n">
        <f aca="false">DCF!$H$92</f>
        <v>0.015</v>
      </c>
      <c r="E306" s="91" t="s">
        <v>46</v>
      </c>
      <c r="F306" s="207" t="n">
        <f aca="false">$C$303/(($C$6-$C$5+$C$7)/($C$304*(1-IF($C$310=1,$C$15,$C$4))))</f>
        <v>0.187155195652174</v>
      </c>
      <c r="G306" s="207" t="n">
        <f aca="false">IF($C$309=1,F306-($F306-$C$305)/$C$12,G303/(($C$6-$C$5+$C$7)/($C$304*(1-IF($C$310=1,$C$15,$C$4)))))</f>
        <v>0.17589381713103</v>
      </c>
      <c r="H306" s="207" t="n">
        <f aca="false">IF($C$309=1,G306-($F306-$C$305)/$C$12,H303/(($C$6-$C$5+$C$7)/($C$304*(1-IF($C$310=1,$C$15,$C$4)))))</f>
        <v>0.164632438609886</v>
      </c>
      <c r="I306" s="207" t="n">
        <f aca="false">IF($C$309=1,H306-($F306-$C$305)/$C$12,I303/(($C$6-$C$5+$C$7)/($C$304*(1-IF($C$310=1,$C$15,$C$4)))))</f>
        <v>0.153371060088742</v>
      </c>
      <c r="J306" s="207" t="n">
        <f aca="false">IF($C$309=1,I306-($F306-$C$305)/$C$12,J303/(($C$6-$C$5+$C$7)/($C$304*(1-IF($C$310=1,$C$15,$C$4)))))</f>
        <v>0.142109681567598</v>
      </c>
      <c r="K306" s="207" t="n">
        <f aca="false">IF($C$309=1,J306-($F306-$C$305)/$C$12,K303/(($C$6-$C$5+$C$7)/($C$304*(1-IF($C$310=1,$C$15,$C$4)))))</f>
        <v>0.130848303046454</v>
      </c>
      <c r="L306" s="207" t="n">
        <f aca="false">IF($C$309=1,K306-($F306-$C$305)/$C$12,L303/(($C$6-$C$5+$C$7)/($C$304*(1-IF($C$310=1,$C$15,$C$4)))))</f>
        <v>0.11958692452531</v>
      </c>
      <c r="M306" s="207" t="n">
        <f aca="false">IF($C$309=1,L306-($F306-$C$305)/$C$12,M303/(($C$6-$C$5+$C$7)/($C$304*(1-IF($C$310=1,$C$15,$C$4)))))</f>
        <v>0.108325546004167</v>
      </c>
      <c r="N306" s="207" t="n">
        <f aca="false">IF($C$309=1,M306-($F306-$C$305)/$C$12,N303/(($C$6-$C$5+$C$7)/($C$304*(1-IF($C$310=1,$C$15,$C$4)))))</f>
        <v>0.0970641674830226</v>
      </c>
      <c r="O306" s="207" t="n">
        <f aca="false">IF($C$309=1,N306-($F306-$C$305)/$C$12,O303/(($C$6-$C$5+$C$7)/($C$304*(1-IF($C$310=1,$C$15,$C$4)))))</f>
        <v>0.0858027889618787</v>
      </c>
      <c r="P306" s="207" t="n">
        <f aca="false">$C$305</f>
        <v>0.0858027889618787</v>
      </c>
    </row>
    <row r="307" customFormat="false" ht="15" hidden="false" customHeight="true" outlineLevel="0" collapsed="false">
      <c r="B307" s="91" t="s">
        <v>298</v>
      </c>
      <c r="C307" s="209" t="n">
        <v>1</v>
      </c>
      <c r="E307" s="91" t="s">
        <v>45</v>
      </c>
      <c r="F307" s="210" t="n">
        <f aca="false">IF($C$309=1,F303/F306,(($C$6-$C$5+$C$7)/($C$304*(1-IF($C$310=1,$C$15,$C$4)))))</f>
        <v>0.485693168619998</v>
      </c>
      <c r="G307" s="210" t="n">
        <f aca="false">IF($C$309=1,G303/G306,(($C$6-$C$5+$C$7)/($C$304*(1-IF($C$310=1,$C$15,$C$4)))))</f>
        <v>0.468843464834435</v>
      </c>
      <c r="H307" s="210" t="n">
        <f aca="false">IF($C$309=1,H303/H306,(($C$6-$C$5+$C$7)/($C$304*(1-IF($C$310=1,$C$15,$C$4)))))</f>
        <v>0.449688615186969</v>
      </c>
      <c r="I307" s="210" t="n">
        <f aca="false">IF($C$309=1,I303/I306,(($C$6-$C$5+$C$7)/($C$304*(1-IF($C$310=1,$C$15,$C$4)))))</f>
        <v>0.427720848783617</v>
      </c>
      <c r="J307" s="210" t="n">
        <f aca="false">IF($C$309=1,J303/J306,(($C$6-$C$5+$C$7)/($C$304*(1-IF($C$310=1,$C$15,$C$4)))))</f>
        <v>0.402271442987323</v>
      </c>
      <c r="K307" s="210" t="n">
        <f aca="false">IF($C$309=1,K303/K306,(($C$6-$C$5+$C$7)/($C$304*(1-IF($C$310=1,$C$15,$C$4)))))</f>
        <v>0.372441462355318</v>
      </c>
      <c r="L307" s="210" t="n">
        <f aca="false">IF($C$309=1,L303/L306,(($C$6-$C$5+$C$7)/($C$304*(1-IF($C$310=1,$C$15,$C$4)))))</f>
        <v>0.33699336411541</v>
      </c>
      <c r="M307" s="210" t="n">
        <f aca="false">IF($C$309=1,M303/M306,(($C$6-$C$5+$C$7)/($C$304*(1-IF($C$310=1,$C$15,$C$4)))))</f>
        <v>0.294174992346136</v>
      </c>
      <c r="N307" s="210" t="n">
        <f aca="false">IF($C$309=1,N303/N306,(($C$6-$C$5+$C$7)/($C$304*(1-IF($C$310=1,$C$15,$C$4)))))</f>
        <v>0.241421051052975</v>
      </c>
      <c r="O307" s="210" t="n">
        <f aca="false">IF($C$309=1,O303/O306,(($C$6-$C$5+$C$7)/($C$304*(1-IF($C$310=1,$C$15,$C$4)))))</f>
        <v>0.174819492250588</v>
      </c>
      <c r="P307" s="210" t="n">
        <f aca="false">$C$306/P306</f>
        <v>0.174819492250588</v>
      </c>
    </row>
    <row r="308" customFormat="false" ht="15" hidden="false" customHeight="true" outlineLevel="0" collapsed="false">
      <c r="B308" s="91" t="s">
        <v>299</v>
      </c>
      <c r="C308" s="209" t="n">
        <v>1</v>
      </c>
      <c r="E308" s="91" t="s">
        <v>300</v>
      </c>
      <c r="F308" s="208" t="n">
        <f aca="false">F305*F307</f>
        <v>1119.92841264</v>
      </c>
      <c r="G308" s="208" t="n">
        <f aca="false">G305*G307</f>
        <v>1170.22848761549</v>
      </c>
      <c r="H308" s="208" t="n">
        <f aca="false">H305*H307</f>
        <v>1205.51453821424</v>
      </c>
      <c r="I308" s="208" t="n">
        <f aca="false">I305*I307</f>
        <v>1221.84239887045</v>
      </c>
      <c r="J308" s="208" t="n">
        <f aca="false">J305*J307</f>
        <v>1214.83539198757</v>
      </c>
      <c r="K308" s="208" t="n">
        <f aca="false">K305*K307</f>
        <v>1179.56350599866</v>
      </c>
      <c r="L308" s="208" t="n">
        <f aca="false">L305*L307</f>
        <v>1110.30744521386</v>
      </c>
      <c r="M308" s="208" t="n">
        <f aca="false">M305*M307</f>
        <v>1000.11798457448</v>
      </c>
      <c r="N308" s="208" t="n">
        <f aca="false">N305*N307</f>
        <v>840.001729852469</v>
      </c>
      <c r="O308" s="208" t="n">
        <f aca="false">O305*O307</f>
        <v>617.391919183776</v>
      </c>
    </row>
    <row r="309" customFormat="false" ht="15" hidden="false" customHeight="true" outlineLevel="0" collapsed="false">
      <c r="B309" s="91" t="s">
        <v>301</v>
      </c>
      <c r="C309" s="209" t="n">
        <v>1</v>
      </c>
      <c r="E309" s="90" t="s">
        <v>47</v>
      </c>
      <c r="F309" s="211" t="n">
        <f aca="false">F305-F308</f>
        <v>1185.9068039064</v>
      </c>
      <c r="G309" s="211" t="n">
        <f aca="false">G305-G308</f>
        <v>1325.76127312211</v>
      </c>
      <c r="H309" s="211" t="n">
        <f aca="false">H305-H308</f>
        <v>1475.26166447663</v>
      </c>
      <c r="I309" s="211" t="n">
        <f aca="false">I305-I308</f>
        <v>1634.79272271694</v>
      </c>
      <c r="J309" s="211" t="n">
        <f aca="false">J305-J308</f>
        <v>1805.1040373839</v>
      </c>
      <c r="K309" s="211" t="n">
        <f aca="false">K305-K308</f>
        <v>1987.54763823084</v>
      </c>
      <c r="L309" s="211" t="n">
        <f aca="false">L305-L308</f>
        <v>2184.43827812809</v>
      </c>
      <c r="M309" s="211" t="n">
        <f aca="false">M305-M308</f>
        <v>2399.62030248463</v>
      </c>
      <c r="N309" s="211" t="n">
        <f aca="false">N305-N308</f>
        <v>2639.4037577334</v>
      </c>
      <c r="O309" s="211" t="n">
        <f aca="false">O305-O308</f>
        <v>2914.20465071588</v>
      </c>
      <c r="P309" s="211" t="n">
        <f aca="false">IF($C$308=1,P305*(1-P307),O309*(1+$C$306))</f>
        <v>2957.91772047662</v>
      </c>
    </row>
    <row r="310" customFormat="false" ht="15" hidden="false" customHeight="true" outlineLevel="0" collapsed="false">
      <c r="B310" s="91" t="s">
        <v>302</v>
      </c>
      <c r="C310" s="209" t="n">
        <v>0</v>
      </c>
      <c r="E310" s="91" t="s">
        <v>303</v>
      </c>
      <c r="F310" s="212" t="n">
        <f aca="false">DCF!O$71</f>
        <v>0.0347222222222222</v>
      </c>
      <c r="G310" s="212" t="n">
        <f aca="false">DCF!P$71</f>
        <v>0.569444444444444</v>
      </c>
      <c r="H310" s="212" t="n">
        <f aca="false">DCF!Q$71</f>
        <v>1.56944444444444</v>
      </c>
      <c r="I310" s="212" t="n">
        <f aca="false">DCF!R$71</f>
        <v>2.56944444444444</v>
      </c>
      <c r="J310" s="212" t="n">
        <f aca="false">DCF!S$71</f>
        <v>3.56944444444444</v>
      </c>
      <c r="K310" s="212" t="n">
        <f aca="false">DCF!T$71</f>
        <v>4.56944444444445</v>
      </c>
      <c r="L310" s="212" t="n">
        <f aca="false">DCF!U$71</f>
        <v>5.56944444444445</v>
      </c>
      <c r="M310" s="212" t="n">
        <f aca="false">DCF!V$71</f>
        <v>6.56944444444445</v>
      </c>
      <c r="N310" s="212" t="n">
        <f aca="false">DCF!W$71</f>
        <v>7.56944444444445</v>
      </c>
      <c r="O310" s="212" t="n">
        <f aca="false">DCF!X$71</f>
        <v>8.56944444444445</v>
      </c>
    </row>
    <row r="311" customFormat="false" ht="15" hidden="false" customHeight="true" outlineLevel="0" collapsed="false">
      <c r="B311" s="91" t="s">
        <v>113</v>
      </c>
      <c r="C311" s="97" t="n">
        <f aca="false">SUM(F311:O311)</f>
        <v>12309.8454096608</v>
      </c>
      <c r="E311" s="91" t="s">
        <v>304</v>
      </c>
      <c r="F311" s="208" t="n">
        <f aca="false">F309*IF($C$310=1,1,DCF!$O$70)/(1+$C$305)^F310</f>
        <v>82.1195793601576</v>
      </c>
      <c r="G311" s="208" t="n">
        <f aca="false">G309/(1+$C$305)^G310</f>
        <v>1265.04841606139</v>
      </c>
      <c r="H311" s="208" t="n">
        <f aca="false">H309/(1+$C$305)^H310</f>
        <v>1296.4623909656</v>
      </c>
      <c r="I311" s="208" t="n">
        <f aca="false">I309/(1+$C$305)^I310</f>
        <v>1323.13028059206</v>
      </c>
      <c r="J311" s="208" t="n">
        <f aca="false">J309/(1+$C$305)^J310</f>
        <v>1345.52322218258</v>
      </c>
      <c r="K311" s="208" t="n">
        <f aca="false">K309/(1+$C$305)^K310</f>
        <v>1364.44349117996</v>
      </c>
      <c r="L311" s="208" t="n">
        <f aca="false">L309/(1+$C$305)^L310</f>
        <v>1381.10542902973</v>
      </c>
      <c r="M311" s="208" t="n">
        <f aca="false">M309/(1+$C$305)^M310</f>
        <v>1397.2645130318</v>
      </c>
      <c r="N311" s="208" t="n">
        <f aca="false">N309/(1+$C$305)^N310</f>
        <v>1415.43841874013</v>
      </c>
      <c r="O311" s="208" t="n">
        <f aca="false">O309/(1+$C$305)^O310</f>
        <v>1439.30966851738</v>
      </c>
    </row>
    <row r="312" customFormat="false" ht="15" hidden="false" customHeight="true" outlineLevel="0" collapsed="false">
      <c r="B312" s="91" t="s">
        <v>111</v>
      </c>
      <c r="C312" s="97" t="n">
        <f aca="false">P309/($C$305-$C$306)</f>
        <v>41776.8531981022</v>
      </c>
    </row>
    <row r="313" customFormat="false" ht="15" hidden="false" customHeight="true" outlineLevel="0" collapsed="false">
      <c r="B313" s="91" t="s">
        <v>112</v>
      </c>
      <c r="C313" s="97" t="n">
        <f aca="false">C312/(1+$C$305)^O310</f>
        <v>20633.3583036074</v>
      </c>
    </row>
    <row r="314" customFormat="false" ht="15" hidden="false" customHeight="true" outlineLevel="0" collapsed="false">
      <c r="B314" s="91" t="s">
        <v>114</v>
      </c>
      <c r="C314" s="97" t="n">
        <f aca="false">C311+C313</f>
        <v>32943.2037132682</v>
      </c>
    </row>
    <row r="315" customFormat="false" ht="15" hidden="false" customHeight="true" outlineLevel="0" collapsed="false">
      <c r="B315" s="91" t="s">
        <v>305</v>
      </c>
      <c r="C315" s="97" t="n">
        <f aca="false">C314+$C$9-IF($C$310=1,'Sources &amp; Checks'!$B$7,$C$10)</f>
        <v>33732.0037132682</v>
      </c>
    </row>
    <row r="316" customFormat="false" ht="15" hidden="false" customHeight="true" outlineLevel="0" collapsed="false">
      <c r="B316" s="205" t="s">
        <v>117</v>
      </c>
      <c r="C316" s="213" t="n">
        <f aca="false">C315/$C$11</f>
        <v>31.6198010060632</v>
      </c>
    </row>
    <row r="317" customFormat="false" ht="15" hidden="false" customHeight="true" outlineLevel="0" collapsed="false">
      <c r="B317" s="91" t="s">
        <v>110</v>
      </c>
      <c r="C317" s="93" t="n">
        <f aca="false">1-P309/P305</f>
        <v>0.174819492250588</v>
      </c>
    </row>
    <row r="318" customFormat="false" ht="15" hidden="false" customHeight="true" outlineLevel="0" collapsed="false">
      <c r="B318" s="91" t="s">
        <v>306</v>
      </c>
      <c r="C318" s="93" t="n">
        <f aca="false">C313/C314</f>
        <v>0.626331260407959</v>
      </c>
    </row>
    <row r="321" customFormat="false" ht="15" hidden="false" customHeight="true" outlineLevel="0" collapsed="false">
      <c r="B321" s="86" t="s">
        <v>320</v>
      </c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</row>
    <row r="322" customFormat="false" ht="15" hidden="false" customHeight="true" outlineLevel="0" collapsed="false">
      <c r="B322" s="205" t="s">
        <v>291</v>
      </c>
      <c r="C322" s="205" t="s">
        <v>199</v>
      </c>
      <c r="E322" s="205" t="s">
        <v>292</v>
      </c>
      <c r="F322" s="206" t="str">
        <f aca="false">"FY"&amp;RIGHT(DCF!O$38,2)</f>
        <v>FY26</v>
      </c>
      <c r="G322" s="206" t="str">
        <f aca="false">"FY"&amp;RIGHT(DCF!P$38,2)</f>
        <v>FY27</v>
      </c>
      <c r="H322" s="206" t="str">
        <f aca="false">"FY"&amp;RIGHT(DCF!Q$38,2)</f>
        <v>FY28</v>
      </c>
      <c r="I322" s="206" t="str">
        <f aca="false">"FY"&amp;RIGHT(DCF!R$38,2)</f>
        <v>FY29</v>
      </c>
      <c r="J322" s="206" t="str">
        <f aca="false">"FY"&amp;RIGHT(DCF!S$38,2)</f>
        <v>FY30</v>
      </c>
      <c r="K322" s="206" t="str">
        <f aca="false">"FY"&amp;RIGHT(DCF!T$38,2)</f>
        <v>FY31</v>
      </c>
      <c r="L322" s="206" t="str">
        <f aca="false">"FY"&amp;RIGHT(DCF!U$38,2)</f>
        <v>FY32</v>
      </c>
      <c r="M322" s="206" t="str">
        <f aca="false">"FY"&amp;RIGHT(DCF!V$38,2)</f>
        <v>FY33</v>
      </c>
      <c r="N322" s="206" t="str">
        <f aca="false">"FY"&amp;RIGHT(DCF!W$38,2)</f>
        <v>FY34</v>
      </c>
      <c r="O322" s="206" t="str">
        <f aca="false">"FY"&amp;RIGHT(DCF!X$38,2)</f>
        <v>FY35</v>
      </c>
      <c r="P322" s="206" t="s">
        <v>40</v>
      </c>
    </row>
    <row r="323" customFormat="false" ht="15" hidden="false" customHeight="true" outlineLevel="0" collapsed="false">
      <c r="B323" s="91" t="s">
        <v>293</v>
      </c>
      <c r="C323" s="96" t="n">
        <f aca="false">DCF!$L$11</f>
        <v>0.0909</v>
      </c>
      <c r="E323" s="91" t="s">
        <v>294</v>
      </c>
      <c r="F323" s="207" t="n">
        <f aca="false">$C$323</f>
        <v>0.0909</v>
      </c>
      <c r="G323" s="207" t="n">
        <f aca="false">IF($C$327=1,F323-($C$323-$C$326)/$C$12,$C$323)</f>
        <v>0.0830222222222222</v>
      </c>
      <c r="H323" s="207" t="n">
        <f aca="false">IF($C$327=1,G323-($C$323-$C$326)/$C$12,$C$323)</f>
        <v>0.0751444444444444</v>
      </c>
      <c r="I323" s="207" t="n">
        <f aca="false">IF($C$327=1,H323-($C$323-$C$326)/$C$12,$C$323)</f>
        <v>0.0672666666666667</v>
      </c>
      <c r="J323" s="207" t="n">
        <f aca="false">IF($C$327=1,I323-($C$323-$C$326)/$C$12,$C$323)</f>
        <v>0.0593888888888889</v>
      </c>
      <c r="K323" s="207" t="n">
        <f aca="false">IF($C$327=1,J323-($C$323-$C$326)/$C$12,$C$323)</f>
        <v>0.0515111111111111</v>
      </c>
      <c r="L323" s="207" t="n">
        <f aca="false">IF($C$327=1,K323-($C$323-$C$326)/$C$12,$C$323)</f>
        <v>0.0436333333333333</v>
      </c>
      <c r="M323" s="207" t="n">
        <f aca="false">IF($C$327=1,L323-($C$323-$C$326)/$C$12,$C$323)</f>
        <v>0.0357555555555556</v>
      </c>
      <c r="N323" s="207" t="n">
        <f aca="false">IF($C$327=1,M323-($C$323-$C$326)/$C$12,$C$323)</f>
        <v>0.0278777777777778</v>
      </c>
      <c r="O323" s="207" t="n">
        <f aca="false">IF($C$327=1,N323-($C$323-$C$326)/$C$12,$C$323)</f>
        <v>0.02</v>
      </c>
    </row>
    <row r="324" customFormat="false" ht="15" hidden="false" customHeight="true" outlineLevel="0" collapsed="false">
      <c r="B324" s="91" t="s">
        <v>295</v>
      </c>
      <c r="C324" s="96" t="n">
        <f aca="false">DCF!$L$13</f>
        <v>0.1722</v>
      </c>
      <c r="E324" s="91" t="s">
        <v>16</v>
      </c>
      <c r="F324" s="208" t="n">
        <f aca="false">$C$8*(1+F323)</f>
        <v>15216.41865</v>
      </c>
      <c r="G324" s="208" t="n">
        <f aca="false">F324*(1+G323)</f>
        <v>16479.7195405867</v>
      </c>
      <c r="H324" s="208" t="n">
        <f aca="false">G324*(1+H323)</f>
        <v>17718.0789100643</v>
      </c>
      <c r="I324" s="208" t="n">
        <f aca="false">H324*(1+I323)</f>
        <v>18909.9150180813</v>
      </c>
      <c r="J324" s="208" t="n">
        <f aca="false">I324*(1+J323)</f>
        <v>20032.9538599885</v>
      </c>
      <c r="K324" s="208" t="n">
        <f aca="false">J324*(1+K323)</f>
        <v>21064.8735721541</v>
      </c>
      <c r="L324" s="208" t="n">
        <f aca="false">K324*(1+L323)</f>
        <v>21984.0042223524</v>
      </c>
      <c r="M324" s="208" t="n">
        <f aca="false">L324*(1+M323)</f>
        <v>22770.0545066583</v>
      </c>
      <c r="N324" s="208" t="n">
        <f aca="false">M324*(1+N323)</f>
        <v>23404.8330261828</v>
      </c>
      <c r="O324" s="208" t="n">
        <f aca="false">N324*(1+O323)</f>
        <v>23872.9296867065</v>
      </c>
    </row>
    <row r="325" customFormat="false" ht="15" hidden="false" customHeight="true" outlineLevel="0" collapsed="false">
      <c r="B325" s="91" t="s">
        <v>21</v>
      </c>
      <c r="C325" s="95" t="n">
        <f aca="false">DCF!$L$16</f>
        <v>0.0858027889618787</v>
      </c>
      <c r="E325" s="91" t="s">
        <v>296</v>
      </c>
      <c r="F325" s="208" t="n">
        <f aca="false">F324*$C$324*(1-IF($C$330=1,$C$15,$C$4))</f>
        <v>2305.8352165464</v>
      </c>
      <c r="G325" s="208" t="n">
        <f aca="false">G324*$C$324*(1-IF($C$330=1,$C$15,$C$4))</f>
        <v>2497.27078030234</v>
      </c>
      <c r="H325" s="208" t="n">
        <f aca="false">H324*$C$324*(1-IF($C$330=1,$C$15,$C$4))</f>
        <v>2684.9268057155</v>
      </c>
      <c r="I325" s="208" t="n">
        <f aca="false">I324*$C$324*(1-IF($C$330=1,$C$15,$C$4))</f>
        <v>2865.53288217997</v>
      </c>
      <c r="J325" s="208" t="n">
        <f aca="false">J324*$C$324*(1-IF($C$330=1,$C$15,$C$4))</f>
        <v>3035.71369612721</v>
      </c>
      <c r="K325" s="208" t="n">
        <f aca="false">K324*$C$324*(1-IF($C$330=1,$C$15,$C$4))</f>
        <v>3192.08668162994</v>
      </c>
      <c r="L325" s="208" t="n">
        <f aca="false">L324*$C$324*(1-IF($C$330=1,$C$15,$C$4))</f>
        <v>3331.3680638384</v>
      </c>
      <c r="M325" s="208" t="n">
        <f aca="false">M324*$C$324*(1-IF($C$330=1,$C$15,$C$4))</f>
        <v>3450.48297972097</v>
      </c>
      <c r="N325" s="208" t="n">
        <f aca="false">N324*$C$324*(1-IF($C$330=1,$C$15,$C$4))</f>
        <v>3546.67477745564</v>
      </c>
      <c r="O325" s="208" t="n">
        <f aca="false">O324*$C$324*(1-IF($C$330=1,$C$15,$C$4))</f>
        <v>3617.60827300475</v>
      </c>
      <c r="P325" s="208" t="n">
        <f aca="false">O325*(1+$C$326)</f>
        <v>3689.96043846485</v>
      </c>
    </row>
    <row r="326" customFormat="false" ht="15" hidden="false" customHeight="true" outlineLevel="0" collapsed="false">
      <c r="B326" s="91" t="s">
        <v>297</v>
      </c>
      <c r="C326" s="96" t="n">
        <f aca="false">DCF!$J$92</f>
        <v>0.02</v>
      </c>
      <c r="E326" s="91" t="s">
        <v>46</v>
      </c>
      <c r="F326" s="207" t="n">
        <f aca="false">$C$323/(($C$6-$C$5+$C$7)/($C$324*(1-IF($C$330=1,$C$15,$C$4))))</f>
        <v>0.187155195652174</v>
      </c>
      <c r="G326" s="207" t="n">
        <f aca="false">IF($C$329=1,F326-($F326-$C$325)/$C$12,G323/(($C$6-$C$5+$C$7)/($C$324*(1-IF($C$330=1,$C$15,$C$4)))))</f>
        <v>0.17589381713103</v>
      </c>
      <c r="H326" s="207" t="n">
        <f aca="false">IF($C$329=1,G326-($F326-$C$325)/$C$12,H323/(($C$6-$C$5+$C$7)/($C$324*(1-IF($C$330=1,$C$15,$C$4)))))</f>
        <v>0.164632438609886</v>
      </c>
      <c r="I326" s="207" t="n">
        <f aca="false">IF($C$329=1,H326-($F326-$C$325)/$C$12,I323/(($C$6-$C$5+$C$7)/($C$324*(1-IF($C$330=1,$C$15,$C$4)))))</f>
        <v>0.153371060088742</v>
      </c>
      <c r="J326" s="207" t="n">
        <f aca="false">IF($C$329=1,I326-($F326-$C$325)/$C$12,J323/(($C$6-$C$5+$C$7)/($C$324*(1-IF($C$330=1,$C$15,$C$4)))))</f>
        <v>0.142109681567598</v>
      </c>
      <c r="K326" s="207" t="n">
        <f aca="false">IF($C$329=1,J326-($F326-$C$325)/$C$12,K323/(($C$6-$C$5+$C$7)/($C$324*(1-IF($C$330=1,$C$15,$C$4)))))</f>
        <v>0.130848303046454</v>
      </c>
      <c r="L326" s="207" t="n">
        <f aca="false">IF($C$329=1,K326-($F326-$C$325)/$C$12,L323/(($C$6-$C$5+$C$7)/($C$324*(1-IF($C$330=1,$C$15,$C$4)))))</f>
        <v>0.11958692452531</v>
      </c>
      <c r="M326" s="207" t="n">
        <f aca="false">IF($C$329=1,L326-($F326-$C$325)/$C$12,M323/(($C$6-$C$5+$C$7)/($C$324*(1-IF($C$330=1,$C$15,$C$4)))))</f>
        <v>0.108325546004167</v>
      </c>
      <c r="N326" s="207" t="n">
        <f aca="false">IF($C$329=1,M326-($F326-$C$325)/$C$12,N323/(($C$6-$C$5+$C$7)/($C$324*(1-IF($C$330=1,$C$15,$C$4)))))</f>
        <v>0.0970641674830226</v>
      </c>
      <c r="O326" s="207" t="n">
        <f aca="false">IF($C$329=1,N326-($F326-$C$325)/$C$12,O323/(($C$6-$C$5+$C$7)/($C$324*(1-IF($C$330=1,$C$15,$C$4)))))</f>
        <v>0.0858027889618787</v>
      </c>
      <c r="P326" s="207" t="n">
        <f aca="false">$C$325</f>
        <v>0.0858027889618787</v>
      </c>
    </row>
    <row r="327" customFormat="false" ht="15" hidden="false" customHeight="true" outlineLevel="0" collapsed="false">
      <c r="B327" s="91" t="s">
        <v>298</v>
      </c>
      <c r="C327" s="209" t="n">
        <v>1</v>
      </c>
      <c r="E327" s="91" t="s">
        <v>45</v>
      </c>
      <c r="F327" s="210" t="n">
        <f aca="false">IF($C$329=1,F323/F326,(($C$6-$C$5+$C$7)/($C$324*(1-IF($C$330=1,$C$15,$C$4)))))</f>
        <v>0.485693168619998</v>
      </c>
      <c r="G327" s="210" t="n">
        <f aca="false">IF($C$329=1,G323/G326,(($C$6-$C$5+$C$7)/($C$324*(1-IF($C$330=1,$C$15,$C$4)))))</f>
        <v>0.472001936033805</v>
      </c>
      <c r="H327" s="210" t="n">
        <f aca="false">IF($C$329=1,H323/H326,(($C$6-$C$5+$C$7)/($C$324*(1-IF($C$330=1,$C$15,$C$4)))))</f>
        <v>0.456437656387434</v>
      </c>
      <c r="I327" s="210" t="n">
        <f aca="false">IF($C$329=1,I323/I326,(($C$6-$C$5+$C$7)/($C$324*(1-IF($C$330=1,$C$15,$C$4)))))</f>
        <v>0.438587740266941</v>
      </c>
      <c r="J327" s="210" t="n">
        <f aca="false">IF($C$329=1,J323/J326,(($C$6-$C$5+$C$7)/($C$324*(1-IF($C$330=1,$C$15,$C$4)))))</f>
        <v>0.417908816864381</v>
      </c>
      <c r="K327" s="210" t="n">
        <f aca="false">IF($C$329=1,K323/K326,(($C$6-$C$5+$C$7)/($C$324*(1-IF($C$330=1,$C$15,$C$4)))))</f>
        <v>0.393670455877624</v>
      </c>
      <c r="L327" s="210" t="n">
        <f aca="false">IF($C$329=1,L323/L326,(($C$6-$C$5+$C$7)/($C$324*(1-IF($C$330=1,$C$15,$C$4)))))</f>
        <v>0.364867091502954</v>
      </c>
      <c r="M327" s="210" t="n">
        <f aca="false">IF($C$329=1,M323/M326,(($C$6-$C$5+$C$7)/($C$324*(1-IF($C$330=1,$C$15,$C$4)))))</f>
        <v>0.330075008845839</v>
      </c>
      <c r="N327" s="210" t="n">
        <f aca="false">IF($C$329=1,N323/N326,(($C$6-$C$5+$C$7)/($C$324*(1-IF($C$330=1,$C$15,$C$4)))))</f>
        <v>0.287209775766674</v>
      </c>
      <c r="O327" s="210" t="n">
        <f aca="false">IF($C$329=1,O323/O326,(($C$6-$C$5+$C$7)/($C$324*(1-IF($C$330=1,$C$15,$C$4)))))</f>
        <v>0.233092656334118</v>
      </c>
      <c r="P327" s="210" t="n">
        <f aca="false">$C$326/P326</f>
        <v>0.233092656334118</v>
      </c>
    </row>
    <row r="328" customFormat="false" ht="15" hidden="false" customHeight="true" outlineLevel="0" collapsed="false">
      <c r="B328" s="91" t="s">
        <v>299</v>
      </c>
      <c r="C328" s="209" t="n">
        <v>1</v>
      </c>
      <c r="E328" s="91" t="s">
        <v>300</v>
      </c>
      <c r="F328" s="208" t="n">
        <f aca="false">F325*F327</f>
        <v>1119.92841264</v>
      </c>
      <c r="G328" s="208" t="n">
        <f aca="false">G325*G327</f>
        <v>1178.71664310336</v>
      </c>
      <c r="H328" s="208" t="n">
        <f aca="false">H325*H327</f>
        <v>1225.50169877258</v>
      </c>
      <c r="I328" s="208" t="n">
        <f aca="false">I325*I327</f>
        <v>1256.78759145593</v>
      </c>
      <c r="J328" s="208" t="n">
        <f aca="false">J325*J327</f>
        <v>1268.65151908752</v>
      </c>
      <c r="K328" s="208" t="n">
        <f aca="false">K325*K327</f>
        <v>1256.63021915815</v>
      </c>
      <c r="L328" s="208" t="n">
        <f aca="false">L325*L327</f>
        <v>1215.50657617854</v>
      </c>
      <c r="M328" s="208" t="n">
        <f aca="false">M325*M327</f>
        <v>1138.91820005382</v>
      </c>
      <c r="N328" s="208" t="n">
        <f aca="false">N325*N327</f>
        <v>1018.63966755035</v>
      </c>
      <c r="O328" s="208" t="n">
        <f aca="false">O325*O327</f>
        <v>843.237921930958</v>
      </c>
    </row>
    <row r="329" customFormat="false" ht="15" hidden="false" customHeight="true" outlineLevel="0" collapsed="false">
      <c r="B329" s="91" t="s">
        <v>301</v>
      </c>
      <c r="C329" s="209" t="n">
        <v>1</v>
      </c>
      <c r="E329" s="90" t="s">
        <v>47</v>
      </c>
      <c r="F329" s="211" t="n">
        <f aca="false">F325-F328</f>
        <v>1185.9068039064</v>
      </c>
      <c r="G329" s="211" t="n">
        <f aca="false">G325-G328</f>
        <v>1318.55413719899</v>
      </c>
      <c r="H329" s="211" t="n">
        <f aca="false">H325-H328</f>
        <v>1459.42510694292</v>
      </c>
      <c r="I329" s="211" t="n">
        <f aca="false">I325-I328</f>
        <v>1608.74529072404</v>
      </c>
      <c r="J329" s="211" t="n">
        <f aca="false">J325-J328</f>
        <v>1767.06217703969</v>
      </c>
      <c r="K329" s="211" t="n">
        <f aca="false">K325-K328</f>
        <v>1935.45646247179</v>
      </c>
      <c r="L329" s="211" t="n">
        <f aca="false">L325-L328</f>
        <v>2115.86148765985</v>
      </c>
      <c r="M329" s="211" t="n">
        <f aca="false">M325-M328</f>
        <v>2311.56477966716</v>
      </c>
      <c r="N329" s="211" t="n">
        <f aca="false">N325-N328</f>
        <v>2528.03510990529</v>
      </c>
      <c r="O329" s="211" t="n">
        <f aca="false">O325-O328</f>
        <v>2774.37035107379</v>
      </c>
      <c r="P329" s="211" t="n">
        <f aca="false">IF($C$328=1,P325*(1-P327),O329*(1+$C$326))</f>
        <v>2829.85775809527</v>
      </c>
    </row>
    <row r="330" customFormat="false" ht="15" hidden="false" customHeight="true" outlineLevel="0" collapsed="false">
      <c r="B330" s="91" t="s">
        <v>302</v>
      </c>
      <c r="C330" s="209" t="n">
        <v>0</v>
      </c>
      <c r="E330" s="91" t="s">
        <v>303</v>
      </c>
      <c r="F330" s="212" t="n">
        <f aca="false">DCF!O$71</f>
        <v>0.0347222222222222</v>
      </c>
      <c r="G330" s="212" t="n">
        <f aca="false">DCF!P$71</f>
        <v>0.569444444444444</v>
      </c>
      <c r="H330" s="212" t="n">
        <f aca="false">DCF!Q$71</f>
        <v>1.56944444444444</v>
      </c>
      <c r="I330" s="212" t="n">
        <f aca="false">DCF!R$71</f>
        <v>2.56944444444444</v>
      </c>
      <c r="J330" s="212" t="n">
        <f aca="false">DCF!S$71</f>
        <v>3.56944444444444</v>
      </c>
      <c r="K330" s="212" t="n">
        <f aca="false">DCF!T$71</f>
        <v>4.56944444444445</v>
      </c>
      <c r="L330" s="212" t="n">
        <f aca="false">DCF!U$71</f>
        <v>5.56944444444445</v>
      </c>
      <c r="M330" s="212" t="n">
        <f aca="false">DCF!V$71</f>
        <v>6.56944444444445</v>
      </c>
      <c r="N330" s="212" t="n">
        <f aca="false">DCF!W$71</f>
        <v>7.56944444444445</v>
      </c>
      <c r="O330" s="212" t="n">
        <f aca="false">DCF!X$71</f>
        <v>8.56944444444445</v>
      </c>
    </row>
    <row r="331" customFormat="false" ht="15" hidden="false" customHeight="true" outlineLevel="0" collapsed="false">
      <c r="B331" s="91" t="s">
        <v>113</v>
      </c>
      <c r="C331" s="97" t="n">
        <f aca="false">SUM(F331:O331)</f>
        <v>11980.4344599675</v>
      </c>
      <c r="E331" s="91" t="s">
        <v>304</v>
      </c>
      <c r="F331" s="208" t="n">
        <f aca="false">F329*IF($C$330=1,1,DCF!$O$70)/(1+$C$325)^F330</f>
        <v>82.1195793601576</v>
      </c>
      <c r="G331" s="208" t="n">
        <f aca="false">G329/(1+$C$325)^G330</f>
        <v>1258.1713288597</v>
      </c>
      <c r="H331" s="208" t="n">
        <f aca="false">H329/(1+$C$325)^H330</f>
        <v>1282.5451980098</v>
      </c>
      <c r="I331" s="208" t="n">
        <f aca="false">I329/(1+$C$325)^I330</f>
        <v>1302.04861958234</v>
      </c>
      <c r="J331" s="208" t="n">
        <f aca="false">J329/(1+$C$325)^J330</f>
        <v>1317.16684745398</v>
      </c>
      <c r="K331" s="208" t="n">
        <f aca="false">K329/(1+$C$325)^K330</f>
        <v>1328.68310770779</v>
      </c>
      <c r="L331" s="208" t="n">
        <f aca="false">L329/(1+$C$325)^L330</f>
        <v>1337.7479313291</v>
      </c>
      <c r="M331" s="208" t="n">
        <f aca="false">M329/(1+$C$325)^M330</f>
        <v>1345.99104402425</v>
      </c>
      <c r="N331" s="208" t="n">
        <f aca="false">N329/(1+$C$325)^N330</f>
        <v>1355.7145275707</v>
      </c>
      <c r="O331" s="208" t="n">
        <f aca="false">O329/(1+$C$325)^O330</f>
        <v>1370.24627606972</v>
      </c>
    </row>
    <row r="332" customFormat="false" ht="15" hidden="false" customHeight="true" outlineLevel="0" collapsed="false">
      <c r="B332" s="91" t="s">
        <v>111</v>
      </c>
      <c r="C332" s="97" t="n">
        <f aca="false">P329/($C$325-$C$326)</f>
        <v>43005.1340184788</v>
      </c>
    </row>
    <row r="333" customFormat="false" ht="15" hidden="false" customHeight="true" outlineLevel="0" collapsed="false">
      <c r="B333" s="91" t="s">
        <v>112</v>
      </c>
      <c r="C333" s="97" t="n">
        <f aca="false">C332/(1+$C$325)^O330</f>
        <v>21239.9994535309</v>
      </c>
    </row>
    <row r="334" customFormat="false" ht="15" hidden="false" customHeight="true" outlineLevel="0" collapsed="false">
      <c r="B334" s="91" t="s">
        <v>114</v>
      </c>
      <c r="C334" s="97" t="n">
        <f aca="false">C331+C333</f>
        <v>33220.4339134984</v>
      </c>
    </row>
    <row r="335" customFormat="false" ht="15" hidden="false" customHeight="true" outlineLevel="0" collapsed="false">
      <c r="B335" s="91" t="s">
        <v>305</v>
      </c>
      <c r="C335" s="97" t="n">
        <f aca="false">C334+$C$9-IF($C$330=1,'Sources &amp; Checks'!$B$7,$C$10)</f>
        <v>34009.2339134984</v>
      </c>
    </row>
    <row r="336" customFormat="false" ht="15" hidden="false" customHeight="true" outlineLevel="0" collapsed="false">
      <c r="B336" s="205" t="s">
        <v>117</v>
      </c>
      <c r="C336" s="213" t="n">
        <f aca="false">C335/$C$11</f>
        <v>31.8796718349254</v>
      </c>
    </row>
    <row r="337" customFormat="false" ht="15" hidden="false" customHeight="true" outlineLevel="0" collapsed="false">
      <c r="B337" s="91" t="s">
        <v>110</v>
      </c>
      <c r="C337" s="93" t="n">
        <f aca="false">1-P329/P325</f>
        <v>0.233092656334118</v>
      </c>
    </row>
    <row r="338" customFormat="false" ht="15" hidden="false" customHeight="true" outlineLevel="0" collapsed="false">
      <c r="B338" s="91" t="s">
        <v>306</v>
      </c>
      <c r="C338" s="93" t="n">
        <f aca="false">C333/C334</f>
        <v>0.639365503437944</v>
      </c>
    </row>
    <row r="341" customFormat="false" ht="15" hidden="false" customHeight="true" outlineLevel="0" collapsed="false">
      <c r="B341" s="86" t="s">
        <v>321</v>
      </c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</row>
    <row r="342" customFormat="false" ht="15" hidden="false" customHeight="true" outlineLevel="0" collapsed="false">
      <c r="B342" s="205" t="s">
        <v>291</v>
      </c>
      <c r="C342" s="205" t="s">
        <v>199</v>
      </c>
      <c r="E342" s="205" t="s">
        <v>292</v>
      </c>
      <c r="F342" s="206" t="str">
        <f aca="false">"FY"&amp;RIGHT(DCF!O$38,2)</f>
        <v>FY26</v>
      </c>
      <c r="G342" s="206" t="str">
        <f aca="false">"FY"&amp;RIGHT(DCF!P$38,2)</f>
        <v>FY27</v>
      </c>
      <c r="H342" s="206" t="str">
        <f aca="false">"FY"&amp;RIGHT(DCF!Q$38,2)</f>
        <v>FY28</v>
      </c>
      <c r="I342" s="206" t="str">
        <f aca="false">"FY"&amp;RIGHT(DCF!R$38,2)</f>
        <v>FY29</v>
      </c>
      <c r="J342" s="206" t="str">
        <f aca="false">"FY"&amp;RIGHT(DCF!S$38,2)</f>
        <v>FY30</v>
      </c>
      <c r="K342" s="206" t="str">
        <f aca="false">"FY"&amp;RIGHT(DCF!T$38,2)</f>
        <v>FY31</v>
      </c>
      <c r="L342" s="206" t="str">
        <f aca="false">"FY"&amp;RIGHT(DCF!U$38,2)</f>
        <v>FY32</v>
      </c>
      <c r="M342" s="206" t="str">
        <f aca="false">"FY"&amp;RIGHT(DCF!V$38,2)</f>
        <v>FY33</v>
      </c>
      <c r="N342" s="206" t="str">
        <f aca="false">"FY"&amp;RIGHT(DCF!W$38,2)</f>
        <v>FY34</v>
      </c>
      <c r="O342" s="206" t="str">
        <f aca="false">"FY"&amp;RIGHT(DCF!X$38,2)</f>
        <v>FY35</v>
      </c>
      <c r="P342" s="206" t="s">
        <v>40</v>
      </c>
    </row>
    <row r="343" customFormat="false" ht="15" hidden="false" customHeight="true" outlineLevel="0" collapsed="false">
      <c r="B343" s="91" t="s">
        <v>293</v>
      </c>
      <c r="C343" s="96" t="n">
        <f aca="false">DCF!$L$11</f>
        <v>0.0909</v>
      </c>
      <c r="E343" s="91" t="s">
        <v>294</v>
      </c>
      <c r="F343" s="207" t="n">
        <f aca="false">$C$343</f>
        <v>0.0909</v>
      </c>
      <c r="G343" s="207" t="n">
        <f aca="false">IF($C$347=1,F343-($C$343-$C$346)/$C$12,$C$343)</f>
        <v>0.0835777777777778</v>
      </c>
      <c r="H343" s="207" t="n">
        <f aca="false">IF($C$347=1,G343-($C$343-$C$346)/$C$12,$C$343)</f>
        <v>0.0762555555555556</v>
      </c>
      <c r="I343" s="207" t="n">
        <f aca="false">IF($C$347=1,H343-($C$343-$C$346)/$C$12,$C$343)</f>
        <v>0.0689333333333334</v>
      </c>
      <c r="J343" s="207" t="n">
        <f aca="false">IF($C$347=1,I343-($C$343-$C$346)/$C$12,$C$343)</f>
        <v>0.0616111111111111</v>
      </c>
      <c r="K343" s="207" t="n">
        <f aca="false">IF($C$347=1,J343-($C$343-$C$346)/$C$12,$C$343)</f>
        <v>0.0542888888888889</v>
      </c>
      <c r="L343" s="207" t="n">
        <f aca="false">IF($C$347=1,K343-($C$343-$C$346)/$C$12,$C$343)</f>
        <v>0.0469666666666667</v>
      </c>
      <c r="M343" s="207" t="n">
        <f aca="false">IF($C$347=1,L343-($C$343-$C$346)/$C$12,$C$343)</f>
        <v>0.0396444444444445</v>
      </c>
      <c r="N343" s="207" t="n">
        <f aca="false">IF($C$347=1,M343-($C$343-$C$346)/$C$12,$C$343)</f>
        <v>0.0323222222222222</v>
      </c>
      <c r="O343" s="207" t="n">
        <f aca="false">IF($C$347=1,N343-($C$343-$C$346)/$C$12,$C$343)</f>
        <v>0.025</v>
      </c>
    </row>
    <row r="344" customFormat="false" ht="15" hidden="false" customHeight="true" outlineLevel="0" collapsed="false">
      <c r="B344" s="91" t="s">
        <v>295</v>
      </c>
      <c r="C344" s="96" t="n">
        <f aca="false">DCF!$L$13</f>
        <v>0.1722</v>
      </c>
      <c r="E344" s="91" t="s">
        <v>16</v>
      </c>
      <c r="F344" s="208" t="n">
        <f aca="false">$C$8*(1+F343)</f>
        <v>15216.41865</v>
      </c>
      <c r="G344" s="208" t="n">
        <f aca="false">F344*(1+G343)</f>
        <v>16488.1731065033</v>
      </c>
      <c r="H344" s="208" t="n">
        <f aca="false">G344*(1+H343)</f>
        <v>17745.4879068359</v>
      </c>
      <c r="I344" s="208" t="n">
        <f aca="false">H344*(1+I343)</f>
        <v>18968.7435398805</v>
      </c>
      <c r="J344" s="208" t="n">
        <f aca="false">I344*(1+J343)</f>
        <v>20137.4289057542</v>
      </c>
      <c r="K344" s="208" t="n">
        <f aca="false">J344*(1+K343)</f>
        <v>21230.6675461266</v>
      </c>
      <c r="L344" s="208" t="n">
        <f aca="false">K344*(1+L343)</f>
        <v>22227.8012318763</v>
      </c>
      <c r="M344" s="208" t="n">
        <f aca="false">L344*(1+M343)</f>
        <v>23109.0100629356</v>
      </c>
      <c r="N344" s="208" t="n">
        <f aca="false">M344*(1+N343)</f>
        <v>23855.9446215254</v>
      </c>
      <c r="O344" s="208" t="n">
        <f aca="false">N344*(1+O343)</f>
        <v>24452.3432370635</v>
      </c>
    </row>
    <row r="345" customFormat="false" ht="15" hidden="false" customHeight="true" outlineLevel="0" collapsed="false">
      <c r="B345" s="91" t="s">
        <v>21</v>
      </c>
      <c r="C345" s="95" t="n">
        <f aca="false">DCF!$L$16</f>
        <v>0.0858027889618787</v>
      </c>
      <c r="E345" s="91" t="s">
        <v>296</v>
      </c>
      <c r="F345" s="208" t="n">
        <f aca="false">F344*$C$344*(1-IF($C$350=1,$C$15,$C$4))</f>
        <v>2305.8352165464</v>
      </c>
      <c r="G345" s="208" t="n">
        <f aca="false">G344*$C$344*(1-IF($C$350=1,$C$15,$C$4))</f>
        <v>2498.55179986709</v>
      </c>
      <c r="H345" s="208" t="n">
        <f aca="false">H344*$C$344*(1-IF($C$350=1,$C$15,$C$4))</f>
        <v>2689.08025545029</v>
      </c>
      <c r="I345" s="208" t="n">
        <f aca="false">I344*$C$344*(1-IF($C$350=1,$C$15,$C$4))</f>
        <v>2874.44752105933</v>
      </c>
      <c r="J345" s="208" t="n">
        <f aca="false">J344*$C$344*(1-IF($C$350=1,$C$15,$C$4))</f>
        <v>3051.54542666237</v>
      </c>
      <c r="K345" s="208" t="n">
        <f aca="false">K344*$C$344*(1-IF($C$350=1,$C$15,$C$4))</f>
        <v>3217.21043726984</v>
      </c>
      <c r="L345" s="208" t="n">
        <f aca="false">L344*$C$344*(1-IF($C$350=1,$C$15,$C$4))</f>
        <v>3368.31208747361</v>
      </c>
      <c r="M345" s="208" t="n">
        <f aca="false">M344*$C$344*(1-IF($C$350=1,$C$15,$C$4))</f>
        <v>3501.84694889701</v>
      </c>
      <c r="N345" s="208" t="n">
        <f aca="false">N344*$C$344*(1-IF($C$350=1,$C$15,$C$4))</f>
        <v>3615.03442416747</v>
      </c>
      <c r="O345" s="208" t="n">
        <f aca="false">O344*$C$344*(1-IF($C$350=1,$C$15,$C$4))</f>
        <v>3705.41028477166</v>
      </c>
      <c r="P345" s="208" t="n">
        <f aca="false">O345*(1+$C$346)</f>
        <v>3798.04554189095</v>
      </c>
    </row>
    <row r="346" customFormat="false" ht="15" hidden="false" customHeight="true" outlineLevel="0" collapsed="false">
      <c r="B346" s="91" t="s">
        <v>297</v>
      </c>
      <c r="C346" s="96" t="n">
        <f aca="false">DCF!$L$92</f>
        <v>0.025</v>
      </c>
      <c r="E346" s="91" t="s">
        <v>46</v>
      </c>
      <c r="F346" s="207" t="n">
        <f aca="false">$C$343/(($C$6-$C$5+$C$7)/($C$344*(1-IF($C$350=1,$C$15,$C$4))))</f>
        <v>0.187155195652174</v>
      </c>
      <c r="G346" s="207" t="n">
        <f aca="false">IF($C$349=1,F346-($F346-$C$345)/$C$12,G343/(($C$6-$C$5+$C$7)/($C$344*(1-IF($C$350=1,$C$15,$C$4)))))</f>
        <v>0.17589381713103</v>
      </c>
      <c r="H346" s="207" t="n">
        <f aca="false">IF($C$349=1,G346-($F346-$C$345)/$C$12,H343/(($C$6-$C$5+$C$7)/($C$344*(1-IF($C$350=1,$C$15,$C$4)))))</f>
        <v>0.164632438609886</v>
      </c>
      <c r="I346" s="207" t="n">
        <f aca="false">IF($C$349=1,H346-($F346-$C$345)/$C$12,I343/(($C$6-$C$5+$C$7)/($C$344*(1-IF($C$350=1,$C$15,$C$4)))))</f>
        <v>0.153371060088742</v>
      </c>
      <c r="J346" s="207" t="n">
        <f aca="false">IF($C$349=1,I346-($F346-$C$345)/$C$12,J343/(($C$6-$C$5+$C$7)/($C$344*(1-IF($C$350=1,$C$15,$C$4)))))</f>
        <v>0.142109681567598</v>
      </c>
      <c r="K346" s="207" t="n">
        <f aca="false">IF($C$349=1,J346-($F346-$C$345)/$C$12,K343/(($C$6-$C$5+$C$7)/($C$344*(1-IF($C$350=1,$C$15,$C$4)))))</f>
        <v>0.130848303046454</v>
      </c>
      <c r="L346" s="207" t="n">
        <f aca="false">IF($C$349=1,K346-($F346-$C$345)/$C$12,L343/(($C$6-$C$5+$C$7)/($C$344*(1-IF($C$350=1,$C$15,$C$4)))))</f>
        <v>0.11958692452531</v>
      </c>
      <c r="M346" s="207" t="n">
        <f aca="false">IF($C$349=1,L346-($F346-$C$345)/$C$12,M343/(($C$6-$C$5+$C$7)/($C$344*(1-IF($C$350=1,$C$15,$C$4)))))</f>
        <v>0.108325546004167</v>
      </c>
      <c r="N346" s="207" t="n">
        <f aca="false">IF($C$349=1,M346-($F346-$C$345)/$C$12,N343/(($C$6-$C$5+$C$7)/($C$344*(1-IF($C$350=1,$C$15,$C$4)))))</f>
        <v>0.0970641674830226</v>
      </c>
      <c r="O346" s="207" t="n">
        <f aca="false">IF($C$349=1,N346-($F346-$C$345)/$C$12,O343/(($C$6-$C$5+$C$7)/($C$344*(1-IF($C$350=1,$C$15,$C$4)))))</f>
        <v>0.0858027889618787</v>
      </c>
      <c r="P346" s="207" t="n">
        <f aca="false">$C$345</f>
        <v>0.0858027889618787</v>
      </c>
    </row>
    <row r="347" customFormat="false" ht="15" hidden="false" customHeight="true" outlineLevel="0" collapsed="false">
      <c r="B347" s="91" t="s">
        <v>298</v>
      </c>
      <c r="C347" s="209" t="n">
        <v>1</v>
      </c>
      <c r="E347" s="91" t="s">
        <v>45</v>
      </c>
      <c r="F347" s="210" t="n">
        <f aca="false">IF($C$349=1,F343/F346,(($C$6-$C$5+$C$7)/($C$344*(1-IF($C$350=1,$C$15,$C$4)))))</f>
        <v>0.485693168619998</v>
      </c>
      <c r="G347" s="210" t="n">
        <f aca="false">IF($C$349=1,G343/G346,(($C$6-$C$5+$C$7)/($C$344*(1-IF($C$350=1,$C$15,$C$4)))))</f>
        <v>0.475160407233175</v>
      </c>
      <c r="H347" s="210" t="n">
        <f aca="false">IF($C$349=1,H343/H346,(($C$6-$C$5+$C$7)/($C$344*(1-IF($C$350=1,$C$15,$C$4)))))</f>
        <v>0.463186697587898</v>
      </c>
      <c r="I347" s="210" t="n">
        <f aca="false">IF($C$349=1,I343/I346,(($C$6-$C$5+$C$7)/($C$344*(1-IF($C$350=1,$C$15,$C$4)))))</f>
        <v>0.449454631750265</v>
      </c>
      <c r="J347" s="210" t="n">
        <f aca="false">IF($C$349=1,J343/J346,(($C$6-$C$5+$C$7)/($C$344*(1-IF($C$350=1,$C$15,$C$4)))))</f>
        <v>0.433546190741439</v>
      </c>
      <c r="K347" s="210" t="n">
        <f aca="false">IF($C$349=1,K343/K346,(($C$6-$C$5+$C$7)/($C$344*(1-IF($C$350=1,$C$15,$C$4)))))</f>
        <v>0.414899449399929</v>
      </c>
      <c r="L347" s="210" t="n">
        <f aca="false">IF($C$349=1,L343/L346,(($C$6-$C$5+$C$7)/($C$344*(1-IF($C$350=1,$C$15,$C$4)))))</f>
        <v>0.392740818890499</v>
      </c>
      <c r="M347" s="210" t="n">
        <f aca="false">IF($C$349=1,M343/M346,(($C$6-$C$5+$C$7)/($C$344*(1-IF($C$350=1,$C$15,$C$4)))))</f>
        <v>0.365975025345542</v>
      </c>
      <c r="N347" s="210" t="n">
        <f aca="false">IF($C$349=1,N343/N346,(($C$6-$C$5+$C$7)/($C$344*(1-IF($C$350=1,$C$15,$C$4)))))</f>
        <v>0.332998500480372</v>
      </c>
      <c r="O347" s="210" t="n">
        <f aca="false">IF($C$349=1,O343/O346,(($C$6-$C$5+$C$7)/($C$344*(1-IF($C$350=1,$C$15,$C$4)))))</f>
        <v>0.291365820417647</v>
      </c>
      <c r="P347" s="210" t="n">
        <f aca="false">$C$346/P346</f>
        <v>0.291365820417647</v>
      </c>
    </row>
    <row r="348" customFormat="false" ht="15" hidden="false" customHeight="true" outlineLevel="0" collapsed="false">
      <c r="B348" s="91" t="s">
        <v>299</v>
      </c>
      <c r="C348" s="209" t="n">
        <v>1</v>
      </c>
      <c r="E348" s="91" t="s">
        <v>300</v>
      </c>
      <c r="F348" s="208" t="n">
        <f aca="false">F345*F347</f>
        <v>1119.92841264</v>
      </c>
      <c r="G348" s="208" t="n">
        <f aca="false">G345*G347</f>
        <v>1187.21289071803</v>
      </c>
      <c r="H348" s="208" t="n">
        <f aca="false">H345*H347</f>
        <v>1245.54620307084</v>
      </c>
      <c r="I348" s="208" t="n">
        <f aca="false">I345*I347</f>
        <v>1291.93375206318</v>
      </c>
      <c r="J348" s="208" t="n">
        <f aca="false">J345*J347</f>
        <v>1322.98589560393</v>
      </c>
      <c r="K348" s="208" t="n">
        <f aca="false">K345*K347</f>
        <v>1334.81883902696</v>
      </c>
      <c r="L348" s="208" t="n">
        <f aca="false">L345*L347</f>
        <v>1322.87364751315</v>
      </c>
      <c r="M348" s="208" t="n">
        <f aca="false">M345*M347</f>
        <v>1281.58852587879</v>
      </c>
      <c r="N348" s="208" t="n">
        <f aca="false">N345*N347</f>
        <v>1203.80104243269</v>
      </c>
      <c r="O348" s="208" t="n">
        <f aca="false">O345*O347</f>
        <v>1079.62990760648</v>
      </c>
    </row>
    <row r="349" customFormat="false" ht="15" hidden="false" customHeight="true" outlineLevel="0" collapsed="false">
      <c r="B349" s="91" t="s">
        <v>301</v>
      </c>
      <c r="C349" s="209" t="n">
        <v>1</v>
      </c>
      <c r="E349" s="90" t="s">
        <v>47</v>
      </c>
      <c r="F349" s="211" t="n">
        <f aca="false">F345-F348</f>
        <v>1185.9068039064</v>
      </c>
      <c r="G349" s="211" t="n">
        <f aca="false">G345-G348</f>
        <v>1311.33890914906</v>
      </c>
      <c r="H349" s="211" t="n">
        <f aca="false">H345-H348</f>
        <v>1443.53405237945</v>
      </c>
      <c r="I349" s="211" t="n">
        <f aca="false">I345-I348</f>
        <v>1582.51376899615</v>
      </c>
      <c r="J349" s="211" t="n">
        <f aca="false">J345-J348</f>
        <v>1728.55953105844</v>
      </c>
      <c r="K349" s="211" t="n">
        <f aca="false">K345-K348</f>
        <v>1882.39159824288</v>
      </c>
      <c r="L349" s="211" t="n">
        <f aca="false">L345-L348</f>
        <v>2045.43843996046</v>
      </c>
      <c r="M349" s="211" t="n">
        <f aca="false">M345-M348</f>
        <v>2220.25842301822</v>
      </c>
      <c r="N349" s="211" t="n">
        <f aca="false">N345-N348</f>
        <v>2411.23338173478</v>
      </c>
      <c r="O349" s="211" t="n">
        <f aca="false">O345-O348</f>
        <v>2625.78037716518</v>
      </c>
      <c r="P349" s="211" t="n">
        <f aca="false">IF($C$348=1,P345*(1-P347),O349*(1+$C$346))</f>
        <v>2691.42488659431</v>
      </c>
    </row>
    <row r="350" customFormat="false" ht="15" hidden="false" customHeight="true" outlineLevel="0" collapsed="false">
      <c r="B350" s="91" t="s">
        <v>302</v>
      </c>
      <c r="C350" s="209" t="n">
        <v>0</v>
      </c>
      <c r="E350" s="91" t="s">
        <v>303</v>
      </c>
      <c r="F350" s="212" t="n">
        <f aca="false">DCF!O$71</f>
        <v>0.0347222222222222</v>
      </c>
      <c r="G350" s="212" t="n">
        <f aca="false">DCF!P$71</f>
        <v>0.569444444444444</v>
      </c>
      <c r="H350" s="212" t="n">
        <f aca="false">DCF!Q$71</f>
        <v>1.56944444444444</v>
      </c>
      <c r="I350" s="212" t="n">
        <f aca="false">DCF!R$71</f>
        <v>2.56944444444444</v>
      </c>
      <c r="J350" s="212" t="n">
        <f aca="false">DCF!S$71</f>
        <v>3.56944444444444</v>
      </c>
      <c r="K350" s="212" t="n">
        <f aca="false">DCF!T$71</f>
        <v>4.56944444444445</v>
      </c>
      <c r="L350" s="212" t="n">
        <f aca="false">DCF!U$71</f>
        <v>5.56944444444445</v>
      </c>
      <c r="M350" s="212" t="n">
        <f aca="false">DCF!V$71</f>
        <v>6.56944444444445</v>
      </c>
      <c r="N350" s="212" t="n">
        <f aca="false">DCF!W$71</f>
        <v>7.56944444444445</v>
      </c>
      <c r="O350" s="212" t="n">
        <f aca="false">DCF!X$71</f>
        <v>8.56944444444445</v>
      </c>
    </row>
    <row r="351" customFormat="false" ht="15" hidden="false" customHeight="true" outlineLevel="0" collapsed="false">
      <c r="B351" s="91" t="s">
        <v>113</v>
      </c>
      <c r="C351" s="97" t="n">
        <f aca="false">SUM(F351:O351)</f>
        <v>11639.5088061378</v>
      </c>
      <c r="E351" s="91" t="s">
        <v>304</v>
      </c>
      <c r="F351" s="208" t="n">
        <f aca="false">F349*IF($C$350=1,1,DCF!$O$70)/(1+$C$345)^F350</f>
        <v>82.1195793601576</v>
      </c>
      <c r="G351" s="208" t="n">
        <f aca="false">G349/(1+$C$345)^G350</f>
        <v>1251.28652010783</v>
      </c>
      <c r="H351" s="208" t="n">
        <f aca="false">H349/(1+$C$345)^H350</f>
        <v>1268.58011297409</v>
      </c>
      <c r="I351" s="208" t="n">
        <f aca="false">I349/(1+$C$345)^I350</f>
        <v>1280.81796433052</v>
      </c>
      <c r="J351" s="208" t="n">
        <f aca="false">J349/(1+$C$345)^J350</f>
        <v>1288.46700345035</v>
      </c>
      <c r="K351" s="208" t="n">
        <f aca="false">K349/(1+$C$345)^K350</f>
        <v>1292.25429100182</v>
      </c>
      <c r="L351" s="208" t="n">
        <f aca="false">L349/(1+$C$345)^L350</f>
        <v>1293.22314228823</v>
      </c>
      <c r="M351" s="208" t="n">
        <f aca="false">M349/(1+$C$345)^M350</f>
        <v>1292.82466106455</v>
      </c>
      <c r="N351" s="208" t="n">
        <f aca="false">N349/(1+$C$345)^N350</f>
        <v>1293.07702736128</v>
      </c>
      <c r="O351" s="208" t="n">
        <f aca="false">O349/(1+$C$345)^O350</f>
        <v>1296.85850419896</v>
      </c>
    </row>
    <row r="352" customFormat="false" ht="15" hidden="false" customHeight="true" outlineLevel="0" collapsed="false">
      <c r="B352" s="91" t="s">
        <v>111</v>
      </c>
      <c r="C352" s="97" t="n">
        <f aca="false">P349/($C$345-$C$346)</f>
        <v>44264.8262118657</v>
      </c>
    </row>
    <row r="353" customFormat="false" ht="15" hidden="false" customHeight="true" outlineLevel="0" collapsed="false">
      <c r="B353" s="91" t="s">
        <v>112</v>
      </c>
      <c r="C353" s="97" t="n">
        <f aca="false">C352/(1+$C$345)^O350</f>
        <v>21862.1545080334</v>
      </c>
    </row>
    <row r="354" customFormat="false" ht="15" hidden="false" customHeight="true" outlineLevel="0" collapsed="false">
      <c r="B354" s="91" t="s">
        <v>114</v>
      </c>
      <c r="C354" s="97" t="n">
        <f aca="false">C351+C353</f>
        <v>33501.6633141712</v>
      </c>
    </row>
    <row r="355" customFormat="false" ht="15" hidden="false" customHeight="true" outlineLevel="0" collapsed="false">
      <c r="B355" s="91" t="s">
        <v>305</v>
      </c>
      <c r="C355" s="97" t="n">
        <f aca="false">C354+$C$9-IF($C$350=1,'Sources &amp; Checks'!$B$7,$C$10)</f>
        <v>34290.4633141712</v>
      </c>
    </row>
    <row r="356" customFormat="false" ht="15" hidden="false" customHeight="true" outlineLevel="0" collapsed="false">
      <c r="B356" s="205" t="s">
        <v>117</v>
      </c>
      <c r="C356" s="213" t="n">
        <f aca="false">C355/$C$11</f>
        <v>32.1432914456048</v>
      </c>
    </row>
    <row r="357" customFormat="false" ht="15" hidden="false" customHeight="true" outlineLevel="0" collapsed="false">
      <c r="B357" s="91" t="s">
        <v>110</v>
      </c>
      <c r="C357" s="93" t="n">
        <f aca="false">1-P349/P345</f>
        <v>0.291365820417647</v>
      </c>
    </row>
    <row r="358" customFormat="false" ht="15" hidden="false" customHeight="true" outlineLevel="0" collapsed="false">
      <c r="B358" s="91" t="s">
        <v>306</v>
      </c>
      <c r="C358" s="93" t="n">
        <f aca="false">C353/C354</f>
        <v>0.652569226280347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LibreOffice/26.2.6.3$MacOSX_X86_64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2026-03-08T16:56:37Z</dcterms:created>
  <dc:creator>Viktorie Kodickova</dc:creator>
  <dc:description/>
  <dc:language>en-US</dc:language>
  <cp:lastModifiedBy>Viktorie Kodickova</cp:lastModifiedBy>
  <dcterms:modified xsi:type="dcterms:W3CDTF">2026-10-18T20:10:29Z</dcterms:modified>
  <cp:revision>1</cp:revision>
  <dc:subject/>
  <dc:title>Ryanair DCF valuation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