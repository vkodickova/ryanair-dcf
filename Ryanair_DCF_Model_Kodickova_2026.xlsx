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Notes" sheetId="2" state="visible" r:id="rId4"/>
    <sheet name="Valuation" sheetId="3" state="visible" r:id="rId5"/>
    <sheet name="WACC" sheetId="4" state="visible" r:id="rId6"/>
    <sheet name="Sources &amp; Checks" sheetId="5" state="visible" r:id="rId7"/>
    <sheet name="Ratios" sheetId="6" state="visible" r:id="rId8"/>
    <sheet name="Calc" sheetId="7" state="visible" r:id="rId9"/>
  </sheets>
  <definedNames>
    <definedName function="false" hidden="false" localSheetId="0" name="_xlnm.Print_Area" vbProcedure="false">DCF!$A$1:$Y$101</definedName>
    <definedName function="false" hidden="false" localSheetId="5" name="_xlnm.Print_Area" vbProcedure="false">Ratios!$A$1:$E$36</definedName>
    <definedName function="false" hidden="false" localSheetId="4" name="_xlnm.Print_Area" vbProcedure="false">'Sources &amp; Checks'!$A$1:$D$25</definedName>
    <definedName function="false" hidden="false" localSheetId="2" name="_xlnm.Print_Area" vbProcedure="false">Valuation!$A$1:$Z$30</definedName>
    <definedName function="false" hidden="false" localSheetId="3" name="_xlnm.Print_Area" vbProcedure="false">WACC!$A$1:$J$22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  <author>Viktorie Kodickova</author>
  </authors>
  <commentList>
    <comment ref="D6" authorId="0">
      <text>
        <r>
          <rPr>
            <sz val="10"/>
            <rFont val="Arial"/>
            <family val="2"/>
          </rPr>
          <t xml:space="preserve">Valuation date aligned to current market price date.</t>
        </r>
      </text>
    </comment>
    <comment ref="I6" authorId="0">
      <text>
        <r>
          <rPr>
            <sz val="10"/>
            <rFont val="Arial"/>
            <family val="2"/>
          </rPr>
          <t xml:space="preserve">Linked to verified source sheet (market price on 06/03/2026).</t>
        </r>
      </text>
    </comment>
    <comment ref="L16" authorId="0">
      <text>
        <r>
          <rPr>
            <sz val="10"/>
            <rFont val="Arial"/>
            <family val="2"/>
          </rPr>
          <t xml:space="preserve">Base case WACC linked to WACC!F22. Conservative / Optimistic cases use 9.2% / 8.2%.</t>
        </r>
      </text>
    </comment>
    <comment ref="L17" authorId="1">
      <text>
        <r>
          <rPr>
            <sz val="10"/>
            <rFont val="Arial"/>
            <family val="2"/>
          </rPr>
          <t xml:space="preserve">Base terminal growth rate = 1.5% for a mature airline. Scenarios use 1.0% to 2.0%, the sensitivity table 0.5% to 2.5%.</t>
        </r>
      </text>
    </comment>
    <comment ref="O41" authorId="1">
      <text>
        <r>
          <rPr>
            <sz val="10"/>
            <rFont val="Arial"/>
            <family val="2"/>
          </rPr>
          <t xml:space="preserve">Conservative case revenue growth: 7.0% in FY26, falling in equal steps to the 1.0% terminal growth rate in FY35.</t>
        </r>
      </text>
    </comment>
    <comment ref="O42" authorId="1">
      <text>
        <r>
          <rPr>
            <sz val="10"/>
            <rFont val="Arial"/>
            <family val="2"/>
          </rPr>
          <t xml:space="preserve">Base case revenue growth: 9.09% in FY26 (average of FY17-19 and FY24-25), falling in equal steps to the 1.5% terminal growth rate in FY35.</t>
        </r>
      </text>
    </comment>
    <comment ref="O47" authorId="1">
      <text>
        <r>
          <rPr>
            <sz val="10"/>
            <rFont val="Arial"/>
            <family val="2"/>
          </rPr>
          <t xml:space="preserve">Conservative EBIT margin: 16.0%, flat in all years.</t>
        </r>
      </text>
    </comment>
    <comment ref="O48" authorId="1">
      <text>
        <r>
          <rPr>
            <sz val="10"/>
            <rFont val="Arial"/>
            <family val="2"/>
          </rPr>
          <t xml:space="preserve">Base EBIT margin: 17.2% (average of FY17-19 and FY24-25), flat in all years.</t>
        </r>
      </text>
    </comment>
    <comment ref="O57" authorId="1">
      <text>
        <r>
          <rPr>
            <sz val="10"/>
            <rFont val="Arial"/>
            <family val="2"/>
          </rPr>
          <t xml:space="preserve">D&amp;A: 8.05% of sales (average of FY17-19 and FY24-25), flat in all years.</t>
        </r>
      </text>
    </comment>
    <comment ref="O60" authorId="1">
      <text>
        <r>
          <rPr>
            <sz val="10"/>
            <rFont val="Arial"/>
            <family val="2"/>
          </rPr>
          <t xml:space="preserve">CapEx: 18.28% of sales in FY26 (average of FY17-19 and FY24-25). From FY27 CapEx = D&amp;A + net reinvestment (rows 64 and 65), so it follows growth.</t>
        </r>
      </text>
    </comment>
    <comment ref="O63" authorId="1">
      <text>
        <r>
          <rPr>
            <sz val="10"/>
            <rFont val="Arial"/>
            <family val="2"/>
          </rPr>
          <t xml:space="preserve">Change in NWC: -2.87% of sales in FY26 (average of FY17-19 and FY24-25). Negative means a cash source. From FY27 it keeps its share of net reinvestment, so the inflow shrinks with growth.</t>
        </r>
      </text>
    </comment>
    <comment ref="O67" authorId="1">
      <text>
        <r>
          <rPr>
            <sz val="10"/>
            <rFont val="Arial"/>
            <family val="2"/>
          </rPr>
          <t xml:space="preserve">FY26 FCF is prorated for the 25 days between the valuation date and the FY26 year end.</t>
        </r>
      </text>
    </comment>
    <comment ref="S76" authorId="0">
      <text>
        <r>
          <rPr>
            <sz val="10"/>
            <rFont val="Arial"/>
            <family val="2"/>
          </rPr>
          <t xml:space="preserve">Linked to verified source sheet (gross cash at 31 Dec 2025).</t>
        </r>
      </text>
    </comment>
    <comment ref="S77" authorId="1">
      <text>
        <r>
          <rPr>
            <sz val="10"/>
            <rFont val="Arial"/>
            <family val="2"/>
          </rPr>
          <t xml:space="preserve">Gross debt (1,500) plus lease liabilities (111.2) at 31 Dec 2025, linked to the Sources &amp; Checks sheet.</t>
        </r>
      </text>
    </comment>
    <comment ref="S78" authorId="0">
      <text>
        <r>
          <rPr>
            <sz val="10"/>
            <rFont val="Arial"/>
            <family val="2"/>
          </rPr>
          <t xml:space="preserve">Equity value = enterprise value + cash - debt.</t>
        </r>
      </text>
    </comment>
    <comment ref="S80" authorId="0">
      <text>
        <r>
          <rPr>
            <sz val="10"/>
            <rFont val="Arial"/>
            <family val="2"/>
          </rPr>
          <t xml:space="preserve">Linked to verified source sheet (diluted shares).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Linked to verified current share price.</t>
        </r>
      </text>
    </comment>
    <comment ref="J8" authorId="0">
      <text>
        <r>
          <rPr>
            <sz val="10"/>
            <rFont val="Arial"/>
            <family val="2"/>
          </rPr>
          <t xml:space="preserve">Market cap calculated using basic shares outstanding (not diluted).</t>
        </r>
      </text>
    </comment>
    <comment ref="L8" authorId="0">
      <text>
        <r>
          <rPr>
            <sz val="10"/>
            <rFont val="Arial"/>
            <family val="2"/>
          </rPr>
          <t xml:space="preserve">Enterprise value calculated as market cap - cash + debt using verified latest balance sheet inputs.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Market cap linked to the verified share price and basic shares outstanding.</t>
        </r>
      </text>
    </comment>
    <comment ref="F11" authorId="0">
      <text>
        <r>
          <rPr>
            <sz val="10"/>
            <rFont val="Arial"/>
            <family val="2"/>
          </rPr>
          <t xml:space="preserve">Source: https://www.ecb.europa.eu/stats/html/index.en.html (10-year AAA government bond yield 2.89% on 05-Mar-2026).</t>
        </r>
      </text>
    </comment>
    <comment ref="F12" authorId="0">
      <text>
        <r>
          <rPr>
            <sz val="10"/>
            <rFont val="Arial"/>
            <family val="2"/>
          </rPr>
          <t xml:space="preserve">Source: https://finance.yahoo.com/quote/RYA.IR/ (Beta (5Y Monthly) = 1.01, accessed Mar-2026).</t>
        </r>
      </text>
    </comment>
    <comment ref="F13" authorId="0">
      <text>
        <r>
          <rPr>
            <sz val="10"/>
            <rFont val="Arial"/>
            <family val="2"/>
          </rPr>
          <t xml:space="preserve">Source: https://www.kroll.com/en/reports/cost-of-capital/recommended-eurozone-equity-risk-premium-corresponding-risk-free-rates (Kroll notes a Eurozone ERP range of 5.5% to 6.0%; model uses 6.0% as a prudent upper-end assumption).</t>
        </r>
      </text>
    </comment>
    <comment ref="F15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 (gross debt c. €1.5bn at 31-Dec-2025).</t>
        </r>
      </text>
    </comment>
    <comment ref="F17" authorId="0">
      <text>
        <r>
          <rPr>
            <sz val="10"/>
            <rFont val="Arial"/>
            <family val="2"/>
          </rPr>
          <t xml:space="preserve">Analyst assumption: 3.0% pre-tax cost of debt. Ryanair is close to debt-free after the final bond maturity due May-2026; debt weighting in WACC is small.</t>
        </r>
      </text>
    </comment>
    <comment ref="F18" authorId="0">
      <text>
        <r>
          <rPr>
            <sz val="10"/>
            <rFont val="Arial"/>
            <family val="2"/>
          </rPr>
          <t xml:space="preserve">Source: https://investor.ryanair.com/wp-content/uploads/2025/05/Ryanair-2025-Annual-Report.pdf (FY25 effective tax rate ~10%).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https://live.euronext.com/en/product/equities/IE00BYTBXV33-XMSM
Cross-check: https://www.marketscreener.com/quote/stock/RYANAIR-HOLDINGS-PLC-1412410/quotes/</t>
        </r>
      </text>
    </comment>
    <comment ref="B6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7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8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9" authorId="0">
      <text>
        <r>
          <rPr>
            <sz val="10"/>
            <rFont val="Arial"/>
            <family val="2"/>
          </rPr>
          <t xml:space="preserve">Source: https://investor.ryanair.com/wp-content/uploads/2026/01/Q3-FY26-Ryanair-Results.pdf</t>
        </r>
      </text>
    </comment>
    <comment ref="B10" authorId="0">
      <text>
        <r>
          <rPr>
            <sz val="10"/>
            <rFont val="Arial"/>
            <family val="2"/>
          </rPr>
          <t xml:space="preserve">Source: https://www.investing.com/rates-bonds/germany-10-year-bond-yield-forecasts</t>
        </r>
      </text>
    </comment>
  </commentList>
</comments>
</file>

<file path=xl/sharedStrings.xml><?xml version="1.0" encoding="utf-8"?>
<sst xmlns="http://schemas.openxmlformats.org/spreadsheetml/2006/main" count="554" uniqueCount="264">
  <si>
    <t xml:space="preserve">DCF Model - Ryanair</t>
  </si>
  <si>
    <t xml:space="preserve">Ticker</t>
  </si>
  <si>
    <t xml:space="preserve">RYA.IR</t>
  </si>
  <si>
    <t xml:space="preserve">Implied Price Per Share</t>
  </si>
  <si>
    <t xml:space="preserve">Low-end</t>
  </si>
  <si>
    <t xml:space="preserve">Date</t>
  </si>
  <si>
    <t xml:space="preserve">Current Share Price</t>
  </si>
  <si>
    <t xml:space="preserve">High-end</t>
  </si>
  <si>
    <t xml:space="preserve">Year end</t>
  </si>
  <si>
    <t xml:space="preserve">Implied Upside/Downside</t>
  </si>
  <si>
    <t xml:space="preserve">X</t>
  </si>
  <si>
    <t xml:space="preserve">Assumption</t>
  </si>
  <si>
    <t xml:space="preserve">Switches</t>
  </si>
  <si>
    <t xml:space="preserve">Conservative</t>
  </si>
  <si>
    <t xml:space="preserve">Street/Base</t>
  </si>
  <si>
    <t xml:space="preserve">Optimistic</t>
  </si>
  <si>
    <t xml:space="preserve">Revenue</t>
  </si>
  <si>
    <t xml:space="preserve">Revenue Growth (Norm.)</t>
  </si>
  <si>
    <t xml:space="preserve">EBIT</t>
  </si>
  <si>
    <t xml:space="preserve">Norm. Years: FY17-19, FY24-25</t>
  </si>
  <si>
    <t xml:space="preserve">Fades to TGR</t>
  </si>
  <si>
    <t xml:space="preserve">WACC</t>
  </si>
  <si>
    <t xml:space="preserve">EBIT Margin (Norm.)</t>
  </si>
  <si>
    <t xml:space="preserve">TGR</t>
  </si>
  <si>
    <t xml:space="preserve">D&amp;A 8.0% | CapEx 18.3% | WC -2.9%</t>
  </si>
  <si>
    <t xml:space="preserve">Normalized avg</t>
  </si>
  <si>
    <t xml:space="preserve">Fade steps (FY27-FY35)</t>
  </si>
  <si>
    <t xml:space="preserve">Income Statement </t>
  </si>
  <si>
    <t xml:space="preserve">% growth</t>
  </si>
  <si>
    <t xml:space="preserve"> </t>
  </si>
  <si>
    <t xml:space="preserve">EBITDA</t>
  </si>
  <si>
    <t xml:space="preserve">% of Sales</t>
  </si>
  <si>
    <t xml:space="preserve">Taxes</t>
  </si>
  <si>
    <t xml:space="preserve">Tax rate</t>
  </si>
  <si>
    <t xml:space="preserve">Cash Flow Items</t>
  </si>
  <si>
    <t xml:space="preserve">D&amp;A</t>
  </si>
  <si>
    <t xml:space="preserve">CapEx</t>
  </si>
  <si>
    <t xml:space="preserve">Change in NW</t>
  </si>
  <si>
    <t xml:space="preserve">% of Change in Sales</t>
  </si>
  <si>
    <t xml:space="preserve">DCF</t>
  </si>
  <si>
    <t xml:space="preserve">TV year</t>
  </si>
  <si>
    <t xml:space="preserve">Conservative Case</t>
  </si>
  <si>
    <t xml:space="preserve">Street Case</t>
  </si>
  <si>
    <t xml:space="preserve">Optimistic Case</t>
  </si>
  <si>
    <t xml:space="preserve">EBIAT</t>
  </si>
  <si>
    <t xml:space="preserve">Reinvestment rate (% of NOPAT)</t>
  </si>
  <si>
    <t xml:space="preserve">RONIC</t>
  </si>
  <si>
    <t xml:space="preserve">Unlevered FCF</t>
  </si>
  <si>
    <t xml:space="preserve">Present Value of FCF</t>
  </si>
  <si>
    <t xml:space="preserve">Period</t>
  </si>
  <si>
    <t xml:space="preserve">Discount Period</t>
  </si>
  <si>
    <t xml:space="preserve">Terminal Value</t>
  </si>
  <si>
    <t xml:space="preserve">Present Value of Terminal Value</t>
  </si>
  <si>
    <t xml:space="preserve">Enterprise Value</t>
  </si>
  <si>
    <t xml:space="preserve">(+) Cash</t>
  </si>
  <si>
    <t xml:space="preserve">(-) Debt and leases</t>
  </si>
  <si>
    <t xml:space="preserve">Equity Value</t>
  </si>
  <si>
    <t xml:space="preserve">Diluted Shares</t>
  </si>
  <si>
    <t xml:space="preserve">Implied Stock Price</t>
  </si>
  <si>
    <t xml:space="preserve">Scenario Analysis — Implied Share Price (€)</t>
  </si>
  <si>
    <t xml:space="preserve">Scenario</t>
  </si>
  <si>
    <t xml:space="preserve">Rev Growth</t>
  </si>
  <si>
    <t xml:space="preserve">EBIT Margin</t>
  </si>
  <si>
    <t xml:space="preserve">Implied Price</t>
  </si>
  <si>
    <t xml:space="preserve">Upside / Downside</t>
  </si>
  <si>
    <t xml:space="preserve">Base / Street</t>
  </si>
  <si>
    <t xml:space="preserve">Current Market Price (€26.19)</t>
  </si>
  <si>
    <t xml:space="preserve">Sensitivity Analysis - Implied Price (€)  |  Base-case drivers (Street: 9.1% growth fading to the TGR of each column, 17.2% EBIT margin)</t>
  </si>
  <si>
    <t xml:space="preserve">WACC \ TGR →</t>
  </si>
  <si>
    <t xml:space="preserve">Model notes</t>
  </si>
  <si>
    <t xml:space="preserve">Method</t>
  </si>
  <si>
    <t xml:space="preserve">Cost of equity</t>
  </si>
  <si>
    <t xml:space="preserve">WACC!F14, F10</t>
  </si>
  <si>
    <t xml:space="preserve">Blume adjusted beta = 1/3 x 1 + 2/3 x raw beta, used in the cost of equity.</t>
  </si>
  <si>
    <t xml:space="preserve">Revenue growth</t>
  </si>
  <si>
    <t xml:space="preserve">DCF!P41:X43, D18</t>
  </si>
  <si>
    <t xml:space="preserve">FY26 growth is the scenario rate. From FY27 growth falls by (start growth - TGR) / 9 a year, so FY35 growth equals the terminal growth rate.</t>
  </si>
  <si>
    <t xml:space="preserve">Reinvestment</t>
  </si>
  <si>
    <t xml:space="preserve">DCF!P60:X65</t>
  </si>
  <si>
    <t xml:space="preserve">Reinvestment rate = growth / RONIC. FY26 is implied by the CapEx, D&amp;A and working capital assumptions. From FY27 RONIC fades in equal steps to WACC in FY35. CapEx and working capital follow it.</t>
  </si>
  <si>
    <t xml:space="preserve">Terminal value</t>
  </si>
  <si>
    <t xml:space="preserve">DCF!Y54:Y66, X73</t>
  </si>
  <si>
    <t xml:space="preserve">Terminal FCF = NOPAT FY35 x (1+g) x (1 - g/WACC), TV = terminal FCF / (WACC - g). RONIC = WACC, so the terminal year continues the FY35 reinvestment rate.</t>
  </si>
  <si>
    <t xml:space="preserve">Sources &amp; Checks!B14</t>
  </si>
  <si>
    <t xml:space="preserve">Effective tax rate of 12%, as reported in the Q3 FY26 results (note 4).</t>
  </si>
  <si>
    <t xml:space="preserve">FY26 cash flow</t>
  </si>
  <si>
    <t xml:space="preserve">DCF!O67</t>
  </si>
  <si>
    <t xml:space="preserve">Only the 25 days between the valuation date and the FY26 year end are counted.</t>
  </si>
  <si>
    <t xml:space="preserve">Equity bridge</t>
  </si>
  <si>
    <t xml:space="preserve">Sources &amp; Checks!B24, DCF!S77</t>
  </si>
  <si>
    <t xml:space="preserve">Lease liabilities of 111.2 (Q3 FY26 balance sheet) are deducted together with gross debt.</t>
  </si>
  <si>
    <t xml:space="preserve">Comps</t>
  </si>
  <si>
    <t xml:space="preserve">Financial Data</t>
  </si>
  <si>
    <t xml:space="preserve">Multiples</t>
  </si>
  <si>
    <t xml:space="preserve">Multiples (EBIT basis)</t>
  </si>
  <si>
    <t xml:space="preserve">Price</t>
  </si>
  <si>
    <t xml:space="preserve">Market Cap</t>
  </si>
  <si>
    <t xml:space="preserve">EV</t>
  </si>
  <si>
    <t xml:space="preserve">Growth 24</t>
  </si>
  <si>
    <t xml:space="preserve">Growth 25</t>
  </si>
  <si>
    <t xml:space="preserve">EBIT Margin 24</t>
  </si>
  <si>
    <t xml:space="preserve">EBIT Margin 25</t>
  </si>
  <si>
    <t xml:space="preserve">EV/EBITDA 24</t>
  </si>
  <si>
    <t xml:space="preserve">EV/EBITDA 25</t>
  </si>
  <si>
    <t xml:space="preserve">EV/Sales 24</t>
  </si>
  <si>
    <t xml:space="preserve">EV/Sales 25</t>
  </si>
  <si>
    <t xml:space="preserve">EV/EBIT 24</t>
  </si>
  <si>
    <t xml:space="preserve">EV/EBIT 25</t>
  </si>
  <si>
    <t xml:space="preserve">Name</t>
  </si>
  <si>
    <t xml:space="preserve">(Local CCY)</t>
  </si>
  <si>
    <t xml:space="preserve">(Local CCY M)</t>
  </si>
  <si>
    <t xml:space="preserve">(%)</t>
  </si>
  <si>
    <t xml:space="preserve">(x)</t>
  </si>
  <si>
    <t xml:space="preserve">EUR / GBP</t>
  </si>
  <si>
    <t xml:space="preserve">EUR M / GBP M</t>
  </si>
  <si>
    <t xml:space="preserve">Ryanair Holdings plc</t>
  </si>
  <si>
    <t xml:space="preserve">EZJ.L</t>
  </si>
  <si>
    <t xml:space="preserve">easyJet plc</t>
  </si>
  <si>
    <t xml:space="preserve">WIZZ.L</t>
  </si>
  <si>
    <t xml:space="preserve">Wizz Air Holdings plc</t>
  </si>
  <si>
    <t xml:space="preserve">IAG.MC</t>
  </si>
  <si>
    <t xml:space="preserve">International Airlines Group</t>
  </si>
  <si>
    <t xml:space="preserve">LHA.DE</t>
  </si>
  <si>
    <t xml:space="preserve">Deutsche Lufthansa AG</t>
  </si>
  <si>
    <t xml:space="preserve">AF.PA</t>
  </si>
  <si>
    <t xml:space="preserve">Air France-KLM</t>
  </si>
  <si>
    <t xml:space="preserve">PEER AVG (EX-RYA)</t>
  </si>
  <si>
    <t xml:space="preserve">PEER MEDIAN (EX-RYA)</t>
  </si>
  <si>
    <t xml:space="preserve">Implied Valuation from Peer Medians (Ryanair)</t>
  </si>
  <si>
    <t xml:space="preserve">Metric</t>
  </si>
  <si>
    <t xml:space="preserve">Peer Median Multiple (FY25)</t>
  </si>
  <si>
    <t xml:space="preserve">Ryanair Metric (FY25, EUR M)</t>
  </si>
  <si>
    <t xml:space="preserve">Implied EV (EUR M)</t>
  </si>
  <si>
    <t xml:space="preserve">(-) Debt</t>
  </si>
  <si>
    <t xml:space="preserve">Implied Equity (EUR M)</t>
  </si>
  <si>
    <t xml:space="preserve">Implied Price (€)</t>
  </si>
  <si>
    <t xml:space="preserve">vs. Mkt €26.19</t>
  </si>
  <si>
    <t xml:space="preserve">EV/EBITDA (FY25)</t>
  </si>
  <si>
    <t xml:space="preserve">EV/Sales (FY25)</t>
  </si>
  <si>
    <t xml:space="preserve">EV/EBIT (FY25)</t>
  </si>
  <si>
    <t xml:space="preserve">Note: Peer medians exclude Ryanair (EX-RYA). Implied EV = Multiple × Ryanair metric. Net Debt Bridge: (+) Cash €2,400M, (−) Debt €1,500M and leases €111M. Shares: 1,066.8M diluted. Large discount vs DCF reflects Ryanair's structurally superior margins vs legacy carriers — direct comps multiples understate intrinsic value.</t>
  </si>
  <si>
    <t xml:space="preserve">WACC = % of equity x cost of equity + % of debt x cost of debt x (1- Tax Rate)</t>
  </si>
  <si>
    <t xml:space="preserve">Cost of equity = Risk Free rate + Adjusted Beta x Market Risk Premium</t>
  </si>
  <si>
    <t xml:space="preserve">% of Equity</t>
  </si>
  <si>
    <t xml:space="preserve">Cost of Equity</t>
  </si>
  <si>
    <t xml:space="preserve">Risk Free Rate</t>
  </si>
  <si>
    <t xml:space="preserve">Beta (raw)</t>
  </si>
  <si>
    <t xml:space="preserve">Market Risk Premium</t>
  </si>
  <si>
    <t xml:space="preserve">Adjusted Beta (Blume: 1/3 x 1.0 + 2/3 x raw beta)</t>
  </si>
  <si>
    <t xml:space="preserve">Debt</t>
  </si>
  <si>
    <t xml:space="preserve">% of Debt</t>
  </si>
  <si>
    <t xml:space="preserve">Cost of Debt</t>
  </si>
  <si>
    <t xml:space="preserve">Tax Rate</t>
  </si>
  <si>
    <t xml:space="preserve">Total</t>
  </si>
  <si>
    <t xml:space="preserve">Verified Inputs &amp; Sources</t>
  </si>
  <si>
    <t xml:space="preserve">Value</t>
  </si>
  <si>
    <t xml:space="preserve">Units</t>
  </si>
  <si>
    <t xml:space="preserve">Source / Note</t>
  </si>
  <si>
    <t xml:space="preserve">Valuation date</t>
  </si>
  <si>
    <t xml:space="preserve">date</t>
  </si>
  <si>
    <t xml:space="preserve">Aligned to market price date used in the model.</t>
  </si>
  <si>
    <t xml:space="preserve">Current share price</t>
  </si>
  <si>
    <t xml:space="preserve">EUR/share</t>
  </si>
  <si>
    <t xml:space="preserve">Euronext Dublin last traded price on 06/03/2026.</t>
  </si>
  <si>
    <t xml:space="preserve">Gross cash</t>
  </si>
  <si>
    <t xml:space="preserve">EUR m</t>
  </si>
  <si>
    <t xml:space="preserve">Ryanair Q3 FY26 results: gross cash at 31 Dec 2025.</t>
  </si>
  <si>
    <t xml:space="preserve">Gross debt</t>
  </si>
  <si>
    <t xml:space="preserve">Ryanair Q3 FY26 results: gross debt at 31 Dec 2025.</t>
  </si>
  <si>
    <t xml:space="preserve">Basic shares outstanding</t>
  </si>
  <si>
    <t xml:space="preserve">m shares</t>
  </si>
  <si>
    <t xml:space="preserve">Balance at 31 Dec 2025; used for market cap and EV bridge.</t>
  </si>
  <si>
    <t xml:space="preserve">Diluted shares</t>
  </si>
  <si>
    <t xml:space="preserve">9M FY26 diluted weighted average shares; used for per-share DCF.</t>
  </si>
  <si>
    <t xml:space="preserve">Risk-free rate</t>
  </si>
  <si>
    <t xml:space="preserve">%</t>
  </si>
  <si>
    <t xml:space="preserve">Germany 10Y government bond yield on 06/03/2026.</t>
  </si>
  <si>
    <t xml:space="preserve">Beta</t>
  </si>
  <si>
    <t xml:space="preserve">x</t>
  </si>
  <si>
    <t xml:space="preserve">Analyst assumption.</t>
  </si>
  <si>
    <t xml:space="preserve">Market risk premium</t>
  </si>
  <si>
    <t xml:space="preserve">Pre-tax cost of debt</t>
  </si>
  <si>
    <t xml:space="preserve">Q3 FY26 results, note 4: effective tax rate approx. 12% for the nine months to 31 Dec 2025 (prior year approx. 12%).</t>
  </si>
  <si>
    <t xml:space="preserve">Control note</t>
  </si>
  <si>
    <t xml:space="preserve">Market cap uses basic shares; DCF per-share output uses diluted shares.</t>
  </si>
  <si>
    <t xml:space="preserve">DCF Forecast Methodology</t>
  </si>
  <si>
    <t xml:space="preserve">Normalized Historical Average</t>
  </si>
  <si>
    <t xml:space="preserve">-</t>
  </si>
  <si>
    <t xml:space="preserve">All forecast drivers (revenue growth, EBIT margin, D&amp;A, CapEx, ΔWC) use flat normalized avg. Normal years: FY2017-2019 + FY2024-2025. Excluded: FY2020-2023 (Covid disruption + rebound distortion). Revenue growth starts at the normalised rate in FY26 and fades in equal steps to the terminal growth rate by FY35. From FY27 the reinvestment rate equals growth / RONIC, with RONIC fading from its FY26 implied level to WACC.</t>
  </si>
  <si>
    <t xml:space="preserve">Normalized Revenue Growth</t>
  </si>
  <si>
    <t xml:space="preserve">Avg of FY17(1.7%), FY18(7.6%), FY19(7.6%), FY24(24.8%), FY25(3.8%) excl. Covid years</t>
  </si>
  <si>
    <t xml:space="preserve">Normalized EBIT Margin</t>
  </si>
  <si>
    <t xml:space="preserve">Avg of FY17(23.1%), FY18(23.3%), FY19(13.2%), FY24(15.3%), FY25(11.2%) excl. Covid years</t>
  </si>
  <si>
    <t xml:space="preserve">Normalized D&amp;A %</t>
  </si>
  <si>
    <t xml:space="preserve">Avg of FY17-FY19 + FY24-FY25 D&amp;A as % of Revenue</t>
  </si>
  <si>
    <t xml:space="preserve">Normalized CapEx %</t>
  </si>
  <si>
    <t xml:space="preserve">Avg of FY17-FY19 + FY24-FY25 CapEx as % of Revenue</t>
  </si>
  <si>
    <t xml:space="preserve">Normalized ΔWC %</t>
  </si>
  <si>
    <t xml:space="preserve">Avg of FY17-FY19 + FY24-FY25 change in net working capital as % of Revenue (negative = cash source, typical for airlines)</t>
  </si>
  <si>
    <t xml:space="preserve">Lease liabilities</t>
  </si>
  <si>
    <t xml:space="preserve">Q3 FY26 results balance sheet at 31 Dec 2025: current 35.3 + non-current 75.9. Added to gross debt in the equity bridge.</t>
  </si>
  <si>
    <t xml:space="preserve">⚠ Data Note</t>
  </si>
  <si>
    <t xml:space="preserve">FY2016 historical revenue (€6,535.8M) should be verified against Ryanair's FY2016 Annual Report (year ended 31 March 2016). Some databases report FY2016 total revenues as ~€5,654M (ex-ancillary supplements). If restated, the normalized growth average would adjust from 9.09% to approx. 9.5%.</t>
  </si>
  <si>
    <t xml:space="preserve">Income Statement Data (€ million)</t>
  </si>
  <si>
    <t xml:space="preserve">FY23</t>
  </si>
  <si>
    <t xml:space="preserve">FY24</t>
  </si>
  <si>
    <t xml:space="preserve">FY25</t>
  </si>
  <si>
    <t xml:space="preserve">Total Revenue1</t>
  </si>
  <si>
    <t xml:space="preserve">Total Operating Costs1</t>
  </si>
  <si>
    <t xml:space="preserve">Profit Before Tax1</t>
  </si>
  <si>
    <t xml:space="preserve">Profit After Tax (Net Income)1</t>
  </si>
  <si>
    <t xml:space="preserve">Balance Sheet Data (€ million)</t>
  </si>
  <si>
    <t xml:space="preserve">Total Assets1</t>
  </si>
  <si>
    <t xml:space="preserve">Shareholder Equity1</t>
  </si>
  <si>
    <t xml:space="preserve">Gross Cash1</t>
  </si>
  <si>
    <t xml:space="preserve">Current Liabilities1</t>
  </si>
  <si>
    <t xml:space="preserve">Non-Current Liabilities1</t>
  </si>
  <si>
    <t xml:space="preserve">Total Liabilities</t>
  </si>
  <si>
    <t xml:space="preserve">Ratio</t>
  </si>
  <si>
    <t xml:space="preserve">Revenue Growth</t>
  </si>
  <si>
    <t xml:space="preserve">Net Income Growth</t>
  </si>
  <si>
    <t xml:space="preserve">n.m</t>
  </si>
  <si>
    <t xml:space="preserve">Net Profit Margin</t>
  </si>
  <si>
    <t xml:space="preserve">Operating Margin</t>
  </si>
  <si>
    <t xml:space="preserve">Cost-to-Revenue</t>
  </si>
  <si>
    <t xml:space="preserve">ROA</t>
  </si>
  <si>
    <t xml:space="preserve">ROE</t>
  </si>
  <si>
    <t xml:space="preserve">Liabilities Ratio</t>
  </si>
  <si>
    <t xml:space="preserve">Equity Ratio</t>
  </si>
  <si>
    <t xml:space="preserve">1 Ryanair Holdings plc. (2025). Ryanair 2025 annual report. Retrieved 6 March 2026</t>
  </si>
  <si>
    <t xml:space="preserve">Note: Revenue Growth (FY23) - Calculated using FY22 revenue of €4,800.9m and FY23 revenue of €10,775m, resulting in growth of 124.40%. FY22 is used only as a base year.</t>
  </si>
  <si>
    <t xml:space="preserve">Note: Net Income Growth (FY23) - FY22 net income was a loss of €240.8m, while FY23 net income was €1,313.8m. Because the base year is negative, the growth rate is not meaningful and reflects a turnaround from loss to profit.</t>
  </si>
  <si>
    <t xml:space="preserve">Calc</t>
  </si>
  <si>
    <t xml:space="preserve">Inputs</t>
  </si>
  <si>
    <t xml:space="preserve">D&amp;A (% of sales)</t>
  </si>
  <si>
    <t xml:space="preserve">CapEx (% of sales, FY26 level)</t>
  </si>
  <si>
    <t xml:space="preserve">Change in NWC (% of sales, FY26 level, negative = cash source)</t>
  </si>
  <si>
    <t xml:space="preserve">Revenue FY25 (base year, EUR m)</t>
  </si>
  <si>
    <t xml:space="preserve">Cash (EUR m)</t>
  </si>
  <si>
    <t xml:space="preserve">Debt and leases (EUR m)</t>
  </si>
  <si>
    <t xml:space="preserve">Diluted shares (m)</t>
  </si>
  <si>
    <t xml:space="preserve">Scenarios</t>
  </si>
  <si>
    <t xml:space="preserve">Parameter</t>
  </si>
  <si>
    <t xml:space="preserve">Line</t>
  </si>
  <si>
    <t xml:space="preserve">Start growth (FY26)</t>
  </si>
  <si>
    <t xml:space="preserve">EBIT margin</t>
  </si>
  <si>
    <t xml:space="preserve">NOPAT = EBIT x (1 - tax)</t>
  </si>
  <si>
    <t xml:space="preserve">Terminal growth rate</t>
  </si>
  <si>
    <t xml:space="preserve">Net reinvestment (CapEx - D&amp;A + change in NWC)</t>
  </si>
  <si>
    <t xml:space="preserve">Sum of PV of FCF FY26 to FY35</t>
  </si>
  <si>
    <t xml:space="preserve">Discount period (years)</t>
  </si>
  <si>
    <t xml:space="preserve">PV of FCF</t>
  </si>
  <si>
    <t xml:space="preserve">PV of terminal value</t>
  </si>
  <si>
    <t xml:space="preserve">Enterprise value</t>
  </si>
  <si>
    <t xml:space="preserve">Equity value (EV + cash - debt and leases)</t>
  </si>
  <si>
    <t xml:space="preserve">Implied price per share (EUR)</t>
  </si>
  <si>
    <t xml:space="preserve">Terminal reinvestment (% of NOPAT)</t>
  </si>
  <si>
    <t xml:space="preserve">PV of terminal value (% of EV)</t>
  </si>
  <si>
    <t xml:space="preserve">Sensitivity table cash flows</t>
  </si>
  <si>
    <t xml:space="preserve">Sensitivity, terminal growth from DCF!D92</t>
  </si>
  <si>
    <t xml:space="preserve">Sensitivity, terminal growth from DCF!F92</t>
  </si>
  <si>
    <t xml:space="preserve">Sensitivity, terminal growth from DCF!H92</t>
  </si>
  <si>
    <t xml:space="preserve">Sensitivity, terminal growth from DCF!J92</t>
  </si>
  <si>
    <t xml:space="preserve">Sensitivity, terminal growth from DCF!L92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</si>
</sst>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_(* #,##0.00_);_(* \(#,##0.00\);_(* \-??_);_(@_)"/>
    <numFmt numFmtId="166" formatCode="0%"/>
    <numFmt numFmtId="167" formatCode="\€#,##0.00"/>
    <numFmt numFmtId="168" formatCode="m/d/yyyy"/>
    <numFmt numFmtId="169" formatCode="dd\-mmm\-yyyy"/>
    <numFmt numFmtId="170" formatCode="\+0.0%;\(0.0%\)"/>
    <numFmt numFmtId="171" formatCode="0.0%"/>
    <numFmt numFmtId="172" formatCode="0.00%"/>
    <numFmt numFmtId="173" formatCode="0"/>
    <numFmt numFmtId="174" formatCode="#,##0.0;\(#,##0.0\);\-"/>
    <numFmt numFmtId="175" formatCode="0.0%;\(0.0%\);\-"/>
    <numFmt numFmtId="176" formatCode="_(* #,##0_);_(* \(#,##0\);_(* \-??_);_(@_)"/>
    <numFmt numFmtId="177" formatCode="0.00"/>
    <numFmt numFmtId="178" formatCode="0.000"/>
    <numFmt numFmtId="179" formatCode="#,##0;\(#,##0\);\-"/>
    <numFmt numFmtId="180" formatCode="_-* #,##0.00_-;\-* #,##0.00_-;_-* \-??_-;_-@_-"/>
    <numFmt numFmtId="181" formatCode="#,##0"/>
    <numFmt numFmtId="182" formatCode="0.00\x"/>
    <numFmt numFmtId="183" formatCode="0.000\x"/>
    <numFmt numFmtId="184" formatCode="0.0"/>
    <numFmt numFmtId="185" formatCode="0.0\x"/>
    <numFmt numFmtId="186" formatCode="0.0000\x"/>
    <numFmt numFmtId="187" formatCode="#,##0.0"/>
    <numFmt numFmtId="188" formatCode="_-* #,##0_-;\-* #,##0_-;_-* \-??_-;_-@_-"/>
    <numFmt numFmtId="189" formatCode="0.000%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i val="true"/>
      <sz val="9"/>
      <color theme="1"/>
      <name val="Calibri"/>
      <family val="2"/>
      <charset val="1"/>
    </font>
    <font>
      <i val="true"/>
      <sz val="10"/>
      <color rgb="FF0015FF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Calibri"/>
      <family val="2"/>
      <charset val="1"/>
    </font>
    <font>
      <b val="true"/>
      <i val="true"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u val="single"/>
      <sz val="10"/>
      <color rgb="FF0015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8"/>
      <color rgb="FF0015FF"/>
      <name val="Calibri"/>
      <family val="2"/>
      <charset val="1"/>
    </font>
    <font>
      <b val="true"/>
      <sz val="9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9"/>
      <color theme="1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8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name val="Arial"/>
      <family val="2"/>
      <charset val="1"/>
    </font>
    <font>
      <sz val="11"/>
      <color theme="0"/>
      <name val="Calibri"/>
      <family val="2"/>
      <charset val="1"/>
    </font>
    <font>
      <sz val="9"/>
      <color theme="0"/>
      <name val="Arial"/>
      <family val="2"/>
      <charset val="1"/>
    </font>
    <font>
      <sz val="9"/>
      <color rgb="FF000000"/>
      <name val="Arial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9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9"/>
      <color theme="0"/>
      <name val="Arial"/>
      <family val="2"/>
      <charset val="1"/>
    </font>
    <font>
      <i val="true"/>
      <sz val="8"/>
      <color theme="1"/>
      <name val="Arial"/>
      <family val="2"/>
      <charset val="1"/>
    </font>
    <font>
      <sz val="10"/>
      <color rgb="FF14181F"/>
      <name val="Calibri"/>
      <family val="2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Arial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8"/>
      <color theme="0"/>
      <name val="Arial"/>
      <family val="2"/>
      <charset val="1"/>
    </font>
    <font>
      <sz val="9"/>
      <color rgb="FFFF0000"/>
      <name val="Arial"/>
      <family val="2"/>
      <charset val="1"/>
    </font>
    <font>
      <i val="true"/>
      <sz val="8"/>
      <name val="Arial"/>
      <family val="2"/>
      <charset val="1"/>
    </font>
    <font>
      <sz val="6"/>
      <color rgb="FF232A3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FEB9C"/>
      </patternFill>
    </fill>
    <fill>
      <patternFill patternType="solid">
        <fgColor rgb="FFFFEB9C"/>
        <bgColor rgb="FFFFCC99"/>
      </patternFill>
    </fill>
    <fill>
      <patternFill patternType="solid">
        <fgColor rgb="FFD6E4F0"/>
        <bgColor rgb="FFDEEBF7"/>
      </patternFill>
    </fill>
    <fill>
      <patternFill patternType="solid">
        <fgColor rgb="FF1F3864"/>
        <bgColor rgb="FF333F4F"/>
      </patternFill>
    </fill>
    <fill>
      <patternFill patternType="solid">
        <fgColor theme="3" tint="-0.25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2F75B6"/>
        <bgColor rgb="FF008080"/>
      </patternFill>
    </fill>
    <fill>
      <patternFill patternType="solid">
        <fgColor rgb="FFF2F2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theme="2"/>
        <bgColor rgb="FFDEEBF7"/>
      </patternFill>
    </fill>
    <fill>
      <patternFill patternType="solid">
        <fgColor rgb="FF1F4E78"/>
        <bgColor rgb="FF1F3864"/>
      </patternFill>
    </fill>
    <fill>
      <patternFill patternType="solid">
        <fgColor theme="8" tint="0.3999"/>
        <bgColor rgb="FFB7C9D6"/>
      </patternFill>
    </fill>
    <fill>
      <patternFill patternType="solid">
        <fgColor theme="8" tint="0.7999"/>
        <bgColor rgb="FFD6E4F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4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2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4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6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4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4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6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4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3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lDataCopyrightStyle" xfId="20"/>
    <cellStyle name="amountsStyle" xfId="21"/>
    <cellStyle name="Arial10ItalicBlueStyle" xfId="22"/>
    <cellStyle name="Arial10ItalicStyle" xfId="23"/>
    <cellStyle name="bondFinValueStyle" xfId="24"/>
    <cellStyle name="Comma 2" xfId="25"/>
    <cellStyle name="companyNameStyle" xfId="26"/>
    <cellStyle name="downloadOnStyle" xfId="27"/>
    <cellStyle name="filedDateStyle" xfId="28"/>
    <cellStyle name="finCategoryStyle" xfId="29"/>
    <cellStyle name="finHeaderTitleStyle" xfId="30"/>
    <cellStyle name="finItemStyle" xfId="31"/>
    <cellStyle name="finValueStyle" xfId="32"/>
    <cellStyle name="FooterStyle" xfId="33"/>
    <cellStyle name="headerLinkStyle" xfId="34"/>
    <cellStyle name="hyperLinkStyle" xfId="35"/>
    <cellStyle name="Input" xfId="36"/>
    <cellStyle name="Neutrale" xfId="37"/>
    <cellStyle name="Normal 2" xfId="38"/>
    <cellStyle name="Normal 3" xfId="39"/>
    <cellStyle name="Percent 2" xfId="40"/>
    <cellStyle name="SourcingSheetBaseStyle" xfId="41"/>
    <cellStyle name="summaryStatsHeaderStyle" xfId="42"/>
    <cellStyle name="summaryStatsHeaderTitleStyle" xfId="43"/>
    <cellStyle name="viewHeaderStyle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EEBF7"/>
      <rgbColor rgb="FF660066"/>
      <rgbColor rgb="FFFF8080"/>
      <rgbColor rgb="FF1F4E78"/>
      <rgbColor rgb="FFB7C9D6"/>
      <rgbColor rgb="FF000080"/>
      <rgbColor rgb="FFFF00FF"/>
      <rgbColor rgb="FFFFFF00"/>
      <rgbColor rgb="FF00FFFF"/>
      <rgbColor rgb="FF800080"/>
      <rgbColor rgb="FF800000"/>
      <rgbColor rgb="FF008080"/>
      <rgbColor rgb="FF0015FF"/>
      <rgbColor rgb="FF00CCFF"/>
      <rgbColor rgb="FFD6E4F0"/>
      <rgbColor rgb="FFE7E6E6"/>
      <rgbColor rgb="FFFFEB9C"/>
      <rgbColor rgb="FF9DC3E6"/>
      <rgbColor rgb="FFFF99CC"/>
      <rgbColor rgb="FFCC99FF"/>
      <rgbColor rgb="FFFFCC99"/>
      <rgbColor rgb="FF2F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14181F"/>
      <rgbColor rgb="FF333F4F"/>
      <rgbColor rgb="FF9C5700"/>
      <rgbColor rgb="FF993366"/>
      <rgbColor rgb="FF3F3F76"/>
      <rgbColor rgb="FF232A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Y101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1" activeCellId="0" sqref="F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27.5"/>
    <col collapsed="false" customWidth="true" hidden="false" outlineLevel="0" max="7" min="7" style="1" width="11"/>
    <col collapsed="false" customWidth="true" hidden="false" outlineLevel="0" max="8" min="8" style="1" width="14.33"/>
    <col collapsed="false" customWidth="true" hidden="false" outlineLevel="0" max="9" min="9" style="1" width="11"/>
    <col collapsed="false" customWidth="true" hidden="false" outlineLevel="0" max="10" min="10" style="1" width="27.5"/>
    <col collapsed="false" customWidth="true" hidden="false" outlineLevel="0" max="11" min="11" style="1" width="11"/>
    <col collapsed="false" customWidth="true" hidden="false" outlineLevel="0" max="12" min="12" style="1" width="14.33"/>
    <col collapsed="false" customWidth="true" hidden="false" outlineLevel="0" max="13" min="13" style="1" width="24.83"/>
    <col collapsed="false" customWidth="true" hidden="false" outlineLevel="0" max="14" min="14" style="1" width="27.5"/>
    <col collapsed="false" customWidth="true" hidden="false" outlineLevel="0" max="15" min="15" style="1" width="11"/>
    <col collapsed="false" customWidth="true" hidden="false" outlineLevel="0" max="16" min="16" style="1" width="14.33"/>
    <col collapsed="false" customWidth="true" hidden="false" outlineLevel="0" max="25" min="17" style="1" width="11"/>
  </cols>
  <sheetData>
    <row r="3" s="2" customFormat="true" ht="21" hidden="false" customHeight="true" outlineLevel="0" collapsed="false">
      <c r="B3" s="3" t="s">
        <v>0</v>
      </c>
      <c r="C3" s="4"/>
    </row>
    <row r="4" customFormat="false" ht="18.75" hidden="false" customHeight="true" outlineLevel="0" collapsed="false">
      <c r="B4" s="5"/>
      <c r="C4" s="5"/>
    </row>
    <row r="5" customFormat="false" ht="18.75" hidden="false" customHeight="true" outlineLevel="0" collapsed="false">
      <c r="B5" s="6" t="s">
        <v>1</v>
      </c>
      <c r="C5" s="5"/>
      <c r="D5" s="7" t="s">
        <v>2</v>
      </c>
      <c r="F5" s="8" t="s">
        <v>3</v>
      </c>
      <c r="I5" s="9" t="n">
        <f aca="false">S81</f>
        <v>31.6198010060632</v>
      </c>
      <c r="K5" s="8" t="s">
        <v>4</v>
      </c>
    </row>
    <row r="6" customFormat="false" ht="18.75" hidden="false" customHeight="true" outlineLevel="0" collapsed="false">
      <c r="B6" s="6" t="s">
        <v>5</v>
      </c>
      <c r="C6" s="5"/>
      <c r="D6" s="10" t="n">
        <f aca="false">'Sources &amp; Checks'!$B$4</f>
        <v>46087</v>
      </c>
      <c r="F6" s="8" t="s">
        <v>6</v>
      </c>
      <c r="I6" s="9" t="n">
        <f aca="false">'Sources &amp; Checks'!$B$5</f>
        <v>26.19</v>
      </c>
      <c r="K6" s="8" t="s">
        <v>7</v>
      </c>
    </row>
    <row r="7" customFormat="false" ht="18.75" hidden="false" customHeight="true" outlineLevel="0" collapsed="false">
      <c r="B7" s="6" t="s">
        <v>8</v>
      </c>
      <c r="C7" s="5"/>
      <c r="D7" s="11" t="n">
        <v>46112</v>
      </c>
      <c r="F7" s="8" t="s">
        <v>9</v>
      </c>
      <c r="I7" s="12" t="n">
        <f aca="false">I5/I6-1</f>
        <v>0.207323444294127</v>
      </c>
    </row>
    <row r="9" customFormat="false" ht="15" hidden="false" customHeight="true" outlineLevel="0" collapsed="false">
      <c r="A9" s="13" t="s">
        <v>10</v>
      </c>
      <c r="B9" s="14" t="s">
        <v>11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customFormat="false" ht="15" hidden="false" customHeight="true" outlineLevel="0" collapsed="false">
      <c r="B10" s="8" t="s">
        <v>12</v>
      </c>
      <c r="F10" s="8" t="s">
        <v>13</v>
      </c>
      <c r="J10" s="8" t="s">
        <v>14</v>
      </c>
      <c r="N10" s="8" t="s">
        <v>15</v>
      </c>
    </row>
    <row r="11" customFormat="false" ht="15" hidden="false" customHeight="true" outlineLevel="0" collapsed="false">
      <c r="B11" s="8" t="s">
        <v>16</v>
      </c>
      <c r="D11" s="16" t="n">
        <v>2</v>
      </c>
      <c r="F11" s="8" t="s">
        <v>17</v>
      </c>
      <c r="H11" s="17" t="n">
        <v>0.07</v>
      </c>
      <c r="J11" s="8" t="s">
        <v>17</v>
      </c>
      <c r="L11" s="17" t="n">
        <f aca="false">'Sources &amp; Checks'!$B$19</f>
        <v>0.0909</v>
      </c>
      <c r="N11" s="8" t="s">
        <v>17</v>
      </c>
      <c r="P11" s="17" t="n">
        <v>0.11</v>
      </c>
    </row>
    <row r="12" customFormat="false" ht="15" hidden="false" customHeight="true" outlineLevel="0" collapsed="false">
      <c r="B12" s="8" t="s">
        <v>18</v>
      </c>
      <c r="D12" s="16" t="n">
        <v>2</v>
      </c>
      <c r="F12" s="8" t="s">
        <v>19</v>
      </c>
      <c r="H12" s="17" t="s">
        <v>20</v>
      </c>
      <c r="J12" s="8" t="s">
        <v>19</v>
      </c>
      <c r="L12" s="17" t="s">
        <v>20</v>
      </c>
      <c r="N12" s="8" t="s">
        <v>19</v>
      </c>
      <c r="P12" s="17" t="s">
        <v>20</v>
      </c>
    </row>
    <row r="13" customFormat="false" ht="15" hidden="false" customHeight="true" outlineLevel="0" collapsed="false">
      <c r="B13" s="8" t="s">
        <v>21</v>
      </c>
      <c r="D13" s="16" t="n">
        <v>2</v>
      </c>
      <c r="F13" s="8" t="s">
        <v>22</v>
      </c>
      <c r="H13" s="17" t="n">
        <v>0.16</v>
      </c>
      <c r="J13" s="8" t="s">
        <v>22</v>
      </c>
      <c r="L13" s="17" t="n">
        <f aca="false">'Sources &amp; Checks'!$B$20</f>
        <v>0.1722</v>
      </c>
      <c r="N13" s="8" t="s">
        <v>22</v>
      </c>
      <c r="P13" s="17" t="n">
        <v>0.185</v>
      </c>
    </row>
    <row r="14" customFormat="false" ht="15" hidden="false" customHeight="true" outlineLevel="0" collapsed="false">
      <c r="B14" s="8" t="s">
        <v>23</v>
      </c>
      <c r="D14" s="16" t="n">
        <v>2</v>
      </c>
      <c r="F14" s="8" t="s">
        <v>24</v>
      </c>
      <c r="H14" s="17" t="s">
        <v>25</v>
      </c>
      <c r="J14" s="8" t="s">
        <v>24</v>
      </c>
      <c r="L14" s="17" t="s">
        <v>25</v>
      </c>
      <c r="N14" s="8" t="s">
        <v>24</v>
      </c>
      <c r="P14" s="17" t="s">
        <v>25</v>
      </c>
    </row>
    <row r="15" customFormat="false" ht="15" hidden="false" customHeight="true" outlineLevel="0" collapsed="false">
      <c r="F15" s="8"/>
    </row>
    <row r="16" customFormat="false" ht="15" hidden="false" customHeight="true" outlineLevel="0" collapsed="false">
      <c r="B16" s="8" t="s">
        <v>21</v>
      </c>
      <c r="D16" s="18" t="n">
        <f aca="false">CHOOSE(D13,H16,L16,P16)</f>
        <v>0.0858027889618787</v>
      </c>
      <c r="F16" s="8" t="s">
        <v>21</v>
      </c>
      <c r="H16" s="19" t="n">
        <v>0.092</v>
      </c>
      <c r="J16" s="8" t="s">
        <v>21</v>
      </c>
      <c r="L16" s="18" t="n">
        <f aca="false">WACC!F22</f>
        <v>0.0858027889618787</v>
      </c>
      <c r="N16" s="8" t="s">
        <v>21</v>
      </c>
      <c r="P16" s="19" t="n">
        <v>0.082</v>
      </c>
    </row>
    <row r="17" customFormat="false" ht="15" hidden="false" customHeight="true" outlineLevel="0" collapsed="false">
      <c r="B17" s="8" t="s">
        <v>23</v>
      </c>
      <c r="D17" s="19" t="n">
        <f aca="false">CHOOSE(D14,H17,L17,P17)</f>
        <v>0.015</v>
      </c>
      <c r="F17" s="8" t="s">
        <v>23</v>
      </c>
      <c r="H17" s="19" t="n">
        <v>0.01</v>
      </c>
      <c r="J17" s="8" t="s">
        <v>23</v>
      </c>
      <c r="L17" s="19" t="n">
        <v>0.015</v>
      </c>
      <c r="N17" s="8" t="s">
        <v>23</v>
      </c>
      <c r="P17" s="19" t="n">
        <v>0.02</v>
      </c>
    </row>
    <row r="18" customFormat="false" ht="15" hidden="false" customHeight="true" outlineLevel="0" collapsed="false">
      <c r="B18" s="8" t="s">
        <v>26</v>
      </c>
      <c r="D18" s="20" t="n">
        <f aca="false">COLUMNS(P40:X40)</f>
        <v>9</v>
      </c>
    </row>
    <row r="19" customFormat="false" ht="15" hidden="false" customHeight="true" outlineLevel="0" collapsed="false">
      <c r="A19" s="21" t="s">
        <v>10</v>
      </c>
      <c r="B19" s="22" t="s">
        <v>27</v>
      </c>
      <c r="C19" s="15"/>
      <c r="D19" s="15"/>
      <c r="E19" s="23" t="n">
        <v>2016</v>
      </c>
      <c r="F19" s="23" t="n">
        <f aca="false">E19+1</f>
        <v>2017</v>
      </c>
      <c r="G19" s="23" t="n">
        <f aca="false">F19+1</f>
        <v>2018</v>
      </c>
      <c r="H19" s="23" t="n">
        <f aca="false">G19+1</f>
        <v>2019</v>
      </c>
      <c r="I19" s="23" t="n">
        <f aca="false">H19+1</f>
        <v>2020</v>
      </c>
      <c r="J19" s="23" t="n">
        <f aca="false">I19+1</f>
        <v>2021</v>
      </c>
      <c r="K19" s="23" t="n">
        <f aca="false">J19+1</f>
        <v>2022</v>
      </c>
      <c r="L19" s="23" t="n">
        <f aca="false">K19+1</f>
        <v>2023</v>
      </c>
      <c r="M19" s="23" t="n">
        <f aca="false">L19+1</f>
        <v>2024</v>
      </c>
      <c r="N19" s="23" t="n">
        <f aca="false">M19+1</f>
        <v>2025</v>
      </c>
      <c r="O19" s="23" t="n">
        <f aca="false">N19+1</f>
        <v>2026</v>
      </c>
      <c r="P19" s="23" t="n">
        <f aca="false">O19+1</f>
        <v>2027</v>
      </c>
      <c r="Q19" s="23" t="n">
        <f aca="false">P19+1</f>
        <v>2028</v>
      </c>
      <c r="R19" s="23" t="n">
        <f aca="false">Q19+1</f>
        <v>2029</v>
      </c>
      <c r="S19" s="23" t="n">
        <f aca="false">R19+1</f>
        <v>2030</v>
      </c>
      <c r="T19" s="23" t="n">
        <f aca="false">S19+1</f>
        <v>2031</v>
      </c>
      <c r="U19" s="23" t="n">
        <f aca="false">T19+1</f>
        <v>2032</v>
      </c>
      <c r="V19" s="23" t="n">
        <f aca="false">U19+1</f>
        <v>2033</v>
      </c>
      <c r="W19" s="23" t="n">
        <f aca="false">V19+1</f>
        <v>2034</v>
      </c>
      <c r="X19" s="23" t="n">
        <f aca="false">W19+1</f>
        <v>2035</v>
      </c>
    </row>
    <row r="20" customFormat="false" ht="15" hidden="false" customHeight="true" outlineLevel="0" collapsed="false">
      <c r="B20" s="24" t="s">
        <v>16</v>
      </c>
      <c r="E20" s="25" t="n">
        <v>6535.8</v>
      </c>
      <c r="F20" s="25" t="n">
        <v>6647.8</v>
      </c>
      <c r="G20" s="25" t="n">
        <v>7151</v>
      </c>
      <c r="H20" s="25" t="n">
        <v>7697.4</v>
      </c>
      <c r="I20" s="25" t="n">
        <v>8494.8</v>
      </c>
      <c r="J20" s="25" t="n">
        <v>1635.8</v>
      </c>
      <c r="K20" s="25" t="n">
        <v>4800.9</v>
      </c>
      <c r="L20" s="25" t="n">
        <v>10775.2</v>
      </c>
      <c r="M20" s="25" t="n">
        <v>13443.8</v>
      </c>
      <c r="N20" s="25" t="n">
        <v>13948.5</v>
      </c>
      <c r="O20" s="25" t="n">
        <f aca="false">N20*(1+O21)</f>
        <v>15216.41865</v>
      </c>
      <c r="P20" s="25" t="n">
        <f aca="false">O20*(1+P21)</f>
        <v>16471.26597467</v>
      </c>
      <c r="Q20" s="25" t="n">
        <f aca="false">P20*(1+Q21)</f>
        <v>17690.6886989947</v>
      </c>
      <c r="R20" s="25" t="n">
        <f aca="false">Q20*(1+R21)</f>
        <v>18851.1978776488</v>
      </c>
      <c r="S20" s="25" t="n">
        <f aca="false">R20*(1+S21)</f>
        <v>19928.8580229877</v>
      </c>
      <c r="T20" s="25" t="n">
        <f aca="false">T39</f>
        <v>20900.0577039746</v>
      </c>
      <c r="U20" s="25" t="n">
        <f aca="false">U39</f>
        <v>21742.3300294448</v>
      </c>
      <c r="V20" s="25" t="n">
        <f aca="false">V39</f>
        <v>22435.1856130498</v>
      </c>
      <c r="W20" s="25" t="n">
        <f aca="false">W39</f>
        <v>22960.9167959156</v>
      </c>
      <c r="X20" s="26" t="n">
        <f aca="false">X39</f>
        <v>23305.3305478543</v>
      </c>
    </row>
    <row r="21" customFormat="false" ht="15" hidden="false" customHeight="true" outlineLevel="0" collapsed="false">
      <c r="B21" s="27" t="s">
        <v>28</v>
      </c>
      <c r="C21" s="28"/>
      <c r="D21" s="28"/>
      <c r="E21" s="27" t="s">
        <v>29</v>
      </c>
      <c r="F21" s="27" t="n">
        <f aca="false">F20/E20-1</f>
        <v>0.0171363872823527</v>
      </c>
      <c r="G21" s="27" t="n">
        <f aca="false">G20/F20-1</f>
        <v>0.0756942146273956</v>
      </c>
      <c r="H21" s="27" t="n">
        <f aca="false">H20/G20-1</f>
        <v>0.0764088938609984</v>
      </c>
      <c r="I21" s="27" t="n">
        <f aca="false">I20/H20-1</f>
        <v>0.103593421155195</v>
      </c>
      <c r="J21" s="27" t="n">
        <f aca="false">J20/I20-1</f>
        <v>-0.807435136789565</v>
      </c>
      <c r="K21" s="27" t="n">
        <f aca="false">K20/J20-1</f>
        <v>1.9348942413498</v>
      </c>
      <c r="L21" s="27" t="n">
        <f aca="false">L20/K20-1</f>
        <v>1.24441250598846</v>
      </c>
      <c r="M21" s="27" t="n">
        <f aca="false">M20/L20-1</f>
        <v>0.247661296310045</v>
      </c>
      <c r="N21" s="27" t="n">
        <f aca="false">N20/M20-1</f>
        <v>0.0375414689299156</v>
      </c>
      <c r="O21" s="27" t="n">
        <f aca="false">O40</f>
        <v>0.0909</v>
      </c>
      <c r="P21" s="27" t="n">
        <f aca="false">P40</f>
        <v>0.0824666666666667</v>
      </c>
      <c r="Q21" s="27" t="n">
        <f aca="false">Q40</f>
        <v>0.0740333333333333</v>
      </c>
      <c r="R21" s="27" t="n">
        <f aca="false">R40</f>
        <v>0.0656</v>
      </c>
      <c r="S21" s="27" t="n">
        <f aca="false">S40</f>
        <v>0.0571666666666667</v>
      </c>
      <c r="T21" s="27" t="n">
        <f aca="false">T40</f>
        <v>0.0487333333333333</v>
      </c>
      <c r="U21" s="27" t="n">
        <f aca="false">U40</f>
        <v>0.0403</v>
      </c>
      <c r="V21" s="27" t="n">
        <f aca="false">V40</f>
        <v>0.0318666666666667</v>
      </c>
      <c r="W21" s="27" t="n">
        <f aca="false">W40</f>
        <v>0.0234333333333333</v>
      </c>
      <c r="X21" s="29" t="n">
        <f aca="false">X40</f>
        <v>0.015</v>
      </c>
    </row>
    <row r="22" customFormat="false" ht="15" hidden="false" customHeight="true" outlineLevel="0" collapsed="false">
      <c r="B22" s="24" t="s">
        <v>30</v>
      </c>
      <c r="E22" s="25" t="n">
        <f aca="false">E23+E28</f>
        <v>1887.4</v>
      </c>
      <c r="F22" s="25" t="n">
        <f aca="false">F23+F28</f>
        <v>2031.5</v>
      </c>
      <c r="G22" s="25" t="n">
        <f aca="false">G23+G28</f>
        <v>2228.3</v>
      </c>
      <c r="H22" s="25" t="n">
        <f aca="false">H23+H28</f>
        <v>1657.3</v>
      </c>
      <c r="I22" s="25" t="n">
        <f aca="false">I23+I28</f>
        <v>1876.1</v>
      </c>
      <c r="J22" s="25" t="n">
        <f aca="false">J23+J28</f>
        <v>-268.4</v>
      </c>
      <c r="K22" s="25" t="n">
        <f aca="false">K23+K28</f>
        <v>379.8</v>
      </c>
      <c r="L22" s="25" t="n">
        <f aca="false">L23+L28</f>
        <v>2365.8</v>
      </c>
      <c r="M22" s="25" t="n">
        <f aca="false">M23+M28</f>
        <v>3120.2</v>
      </c>
      <c r="N22" s="25" t="n">
        <f aca="false">N23+N28</f>
        <v>2772.4</v>
      </c>
      <c r="O22" s="25" t="n">
        <f aca="false">O45+O56</f>
        <v>3845.188992855</v>
      </c>
      <c r="P22" s="25" t="n">
        <f aca="false">P45+P56</f>
        <v>4162.28891179911</v>
      </c>
      <c r="Q22" s="25" t="n">
        <f aca="false">Q45+Q56</f>
        <v>4470.43703423597</v>
      </c>
      <c r="R22" s="25" t="n">
        <f aca="false">R45+R56</f>
        <v>4763.69770368185</v>
      </c>
      <c r="S22" s="25" t="n">
        <f aca="false">S45+S56</f>
        <v>5036.02242240899</v>
      </c>
      <c r="T22" s="25" t="n">
        <f aca="false">T45+T56</f>
        <v>5281.44458179439</v>
      </c>
      <c r="U22" s="25" t="n">
        <f aca="false">U45+U56</f>
        <v>5494.28679844071</v>
      </c>
      <c r="V22" s="25" t="n">
        <f aca="false">V45+V56</f>
        <v>5669.37140441768</v>
      </c>
      <c r="W22" s="25" t="n">
        <f aca="false">W45+W56</f>
        <v>5802.22367432787</v>
      </c>
      <c r="X22" s="26" t="n">
        <f aca="false">X45+X56</f>
        <v>5889.25702944279</v>
      </c>
    </row>
    <row r="23" customFormat="false" ht="15" hidden="false" customHeight="true" outlineLevel="0" collapsed="false">
      <c r="B23" s="24" t="s">
        <v>18</v>
      </c>
      <c r="E23" s="25" t="n">
        <v>1460.1</v>
      </c>
      <c r="F23" s="25" t="n">
        <v>1534</v>
      </c>
      <c r="G23" s="25" t="n">
        <v>1667.3</v>
      </c>
      <c r="H23" s="25" t="n">
        <v>1016.8</v>
      </c>
      <c r="I23" s="25" t="n">
        <v>1127.4</v>
      </c>
      <c r="J23" s="25" t="n">
        <v>-839.4</v>
      </c>
      <c r="K23" s="25" t="n">
        <v>-339.6</v>
      </c>
      <c r="L23" s="25" t="n">
        <v>1442.6</v>
      </c>
      <c r="M23" s="25" t="n">
        <v>2060.7</v>
      </c>
      <c r="N23" s="25" t="n">
        <v>1558</v>
      </c>
      <c r="O23" s="25" t="n">
        <f aca="false">O20*O24</f>
        <v>2620.26729153</v>
      </c>
      <c r="P23" s="25" t="n">
        <f aca="false">P20*P24</f>
        <v>2836.35200083817</v>
      </c>
      <c r="Q23" s="25" t="n">
        <f aca="false">Q20*Q24</f>
        <v>3046.33659396689</v>
      </c>
      <c r="R23" s="25" t="n">
        <f aca="false">R20*R24</f>
        <v>3246.17627453112</v>
      </c>
      <c r="S23" s="25" t="n">
        <f aca="false">S20*S24</f>
        <v>3431.74935155848</v>
      </c>
      <c r="T23" s="25" t="n">
        <f aca="false">T45</f>
        <v>3598.98993662443</v>
      </c>
      <c r="U23" s="25" t="n">
        <f aca="false">U45</f>
        <v>3744.0292310704</v>
      </c>
      <c r="V23" s="25" t="n">
        <f aca="false">V45</f>
        <v>3863.33896256718</v>
      </c>
      <c r="W23" s="25" t="n">
        <f aca="false">W45</f>
        <v>3953.86987225667</v>
      </c>
      <c r="X23" s="26" t="n">
        <f aca="false">X45</f>
        <v>4013.17792034052</v>
      </c>
    </row>
    <row r="24" customFormat="false" ht="15" hidden="false" customHeight="true" outlineLevel="0" collapsed="false">
      <c r="B24" s="27" t="s">
        <v>31</v>
      </c>
      <c r="C24" s="28"/>
      <c r="D24" s="28"/>
      <c r="E24" s="27" t="n">
        <f aca="false">E23/E20</f>
        <v>0.223400348847884</v>
      </c>
      <c r="F24" s="27" t="n">
        <f aca="false">F23/F20</f>
        <v>0.230753031077951</v>
      </c>
      <c r="G24" s="27" t="n">
        <f aca="false">G23/G20</f>
        <v>0.2331562019298</v>
      </c>
      <c r="H24" s="27" t="n">
        <f aca="false">H23/H20</f>
        <v>0.132096552082521</v>
      </c>
      <c r="I24" s="27" t="n">
        <f aca="false">I23/I20</f>
        <v>0.132716485379291</v>
      </c>
      <c r="J24" s="27" t="n">
        <f aca="false">J23/J20</f>
        <v>-0.513143416065534</v>
      </c>
      <c r="K24" s="27" t="n">
        <f aca="false">K23/K20</f>
        <v>-0.0707367368618384</v>
      </c>
      <c r="L24" s="27" t="n">
        <f aca="false">L23/L20</f>
        <v>0.133881505679709</v>
      </c>
      <c r="M24" s="27" t="n">
        <f aca="false">M23/M20</f>
        <v>0.15328255403978</v>
      </c>
      <c r="N24" s="27" t="n">
        <f aca="false">N23/N20</f>
        <v>0.111696598200523</v>
      </c>
      <c r="O24" s="27" t="n">
        <f aca="false">O46</f>
        <v>0.1722</v>
      </c>
      <c r="P24" s="27" t="n">
        <f aca="false">P46</f>
        <v>0.1722</v>
      </c>
      <c r="Q24" s="27" t="n">
        <f aca="false">Q46</f>
        <v>0.1722</v>
      </c>
      <c r="R24" s="27" t="n">
        <f aca="false">R46</f>
        <v>0.1722</v>
      </c>
      <c r="S24" s="27" t="n">
        <f aca="false">S46</f>
        <v>0.1722</v>
      </c>
      <c r="T24" s="27" t="n">
        <f aca="false">T46</f>
        <v>0.1722</v>
      </c>
      <c r="U24" s="27" t="n">
        <f aca="false">U46</f>
        <v>0.1722</v>
      </c>
      <c r="V24" s="27" t="n">
        <f aca="false">V46</f>
        <v>0.1722</v>
      </c>
      <c r="W24" s="27" t="n">
        <f aca="false">W46</f>
        <v>0.1722</v>
      </c>
      <c r="X24" s="29" t="n">
        <f aca="false">X46</f>
        <v>0.1722</v>
      </c>
    </row>
    <row r="25" customFormat="false" ht="15" hidden="false" customHeight="true" outlineLevel="0" collapsed="false">
      <c r="B25" s="24" t="s">
        <v>32</v>
      </c>
      <c r="E25" s="25" t="n">
        <v>162.8</v>
      </c>
      <c r="F25" s="25" t="n">
        <v>154.4</v>
      </c>
      <c r="G25" s="25" t="n">
        <v>161.1</v>
      </c>
      <c r="H25" s="25" t="n">
        <v>63.1</v>
      </c>
      <c r="I25" s="25" t="n">
        <v>21.6</v>
      </c>
      <c r="J25" s="25" t="n">
        <v>-93.6</v>
      </c>
      <c r="K25" s="25" t="n">
        <v>-189</v>
      </c>
      <c r="L25" s="25" t="n">
        <v>128.7</v>
      </c>
      <c r="M25" s="25" t="n">
        <v>210.9</v>
      </c>
      <c r="N25" s="25" t="n">
        <v>172.8</v>
      </c>
      <c r="O25" s="25" t="n">
        <f aca="false">O23*O26</f>
        <v>314.4320749836</v>
      </c>
      <c r="P25" s="25" t="n">
        <f aca="false">P23*P26</f>
        <v>340.362240100581</v>
      </c>
      <c r="Q25" s="25" t="n">
        <f aca="false">Q23*Q26</f>
        <v>365.560391276027</v>
      </c>
      <c r="R25" s="25" t="n">
        <f aca="false">R23*R26</f>
        <v>389.541152943735</v>
      </c>
      <c r="S25" s="25" t="n">
        <f aca="false">S23*S26</f>
        <v>411.809922187018</v>
      </c>
      <c r="T25" s="25" t="n">
        <f aca="false">T51</f>
        <v>431.878792394932</v>
      </c>
      <c r="U25" s="25" t="n">
        <f aca="false">U51</f>
        <v>449.283507728448</v>
      </c>
      <c r="V25" s="25" t="n">
        <f aca="false">V51</f>
        <v>463.600675508061</v>
      </c>
      <c r="W25" s="25" t="n">
        <f aca="false">W51</f>
        <v>474.4643846708</v>
      </c>
      <c r="X25" s="26" t="n">
        <f aca="false">X51</f>
        <v>481.581350440862</v>
      </c>
    </row>
    <row r="26" customFormat="false" ht="15" hidden="false" customHeight="true" outlineLevel="0" collapsed="false">
      <c r="B26" s="27" t="s">
        <v>33</v>
      </c>
      <c r="C26" s="28"/>
      <c r="D26" s="28"/>
      <c r="E26" s="27" t="n">
        <f aca="false">E25/E23</f>
        <v>0.111499212382714</v>
      </c>
      <c r="F26" s="27" t="n">
        <f aca="false">F25/F23</f>
        <v>0.100651890482399</v>
      </c>
      <c r="G26" s="27" t="n">
        <f aca="false">G25/G23</f>
        <v>0.0966232831524021</v>
      </c>
      <c r="H26" s="27" t="n">
        <f aca="false">H25/H23</f>
        <v>0.0620574350904799</v>
      </c>
      <c r="I26" s="27" t="n">
        <f aca="false">I25/I23</f>
        <v>0.0191591271953167</v>
      </c>
      <c r="J26" s="27" t="n">
        <f aca="false">J25/J23</f>
        <v>0.111508220157255</v>
      </c>
      <c r="K26" s="27" t="n">
        <f aca="false">K25/K23</f>
        <v>0.556537102473498</v>
      </c>
      <c r="L26" s="27" t="n">
        <f aca="false">L25/L23</f>
        <v>0.0892139193123527</v>
      </c>
      <c r="M26" s="27" t="n">
        <f aca="false">M25/M23</f>
        <v>0.102343863735624</v>
      </c>
      <c r="N26" s="27" t="n">
        <f aca="false">N25/N23</f>
        <v>0.110911424903723</v>
      </c>
      <c r="O26" s="27" t="n">
        <f aca="false">O52</f>
        <v>0.12</v>
      </c>
      <c r="P26" s="27" t="n">
        <f aca="false">P52</f>
        <v>0.12</v>
      </c>
      <c r="Q26" s="27" t="n">
        <f aca="false">Q52</f>
        <v>0.12</v>
      </c>
      <c r="R26" s="27" t="n">
        <f aca="false">R52</f>
        <v>0.12</v>
      </c>
      <c r="S26" s="27" t="n">
        <f aca="false">S52</f>
        <v>0.12</v>
      </c>
      <c r="T26" s="27" t="n">
        <f aca="false">T52</f>
        <v>0.12</v>
      </c>
      <c r="U26" s="27" t="n">
        <f aca="false">U52</f>
        <v>0.12</v>
      </c>
      <c r="V26" s="27" t="n">
        <f aca="false">V52</f>
        <v>0.12</v>
      </c>
      <c r="W26" s="27" t="n">
        <f aca="false">W52</f>
        <v>0.12</v>
      </c>
      <c r="X26" s="29" t="n">
        <f aca="false">X52</f>
        <v>0.12</v>
      </c>
    </row>
    <row r="27" customFormat="false" ht="15" hidden="false" customHeight="true" outlineLevel="0" collapsed="false">
      <c r="A27" s="21" t="s">
        <v>10</v>
      </c>
      <c r="B27" s="22" t="s">
        <v>34</v>
      </c>
      <c r="C27" s="15"/>
      <c r="D27" s="23"/>
      <c r="E27" s="23" t="n">
        <f aca="false">E19</f>
        <v>2016</v>
      </c>
      <c r="F27" s="23" t="n">
        <f aca="false">F19</f>
        <v>2017</v>
      </c>
      <c r="G27" s="23" t="n">
        <f aca="false">G19</f>
        <v>2018</v>
      </c>
      <c r="H27" s="23" t="n">
        <f aca="false">H19</f>
        <v>2019</v>
      </c>
      <c r="I27" s="23" t="n">
        <f aca="false">I19</f>
        <v>2020</v>
      </c>
      <c r="J27" s="23" t="n">
        <f aca="false">J19</f>
        <v>2021</v>
      </c>
      <c r="K27" s="23" t="n">
        <f aca="false">K19</f>
        <v>2022</v>
      </c>
      <c r="L27" s="23" t="n">
        <f aca="false">L19</f>
        <v>2023</v>
      </c>
      <c r="M27" s="23" t="n">
        <f aca="false">M19</f>
        <v>2024</v>
      </c>
      <c r="N27" s="23" t="n">
        <f aca="false">N19</f>
        <v>2025</v>
      </c>
      <c r="O27" s="23" t="n">
        <f aca="false">O19</f>
        <v>2026</v>
      </c>
      <c r="P27" s="23" t="n">
        <f aca="false">P19</f>
        <v>2027</v>
      </c>
      <c r="Q27" s="23" t="n">
        <f aca="false">Q19</f>
        <v>2028</v>
      </c>
      <c r="R27" s="23" t="n">
        <f aca="false">R19</f>
        <v>2029</v>
      </c>
      <c r="S27" s="23" t="n">
        <f aca="false">S19</f>
        <v>2030</v>
      </c>
      <c r="T27" s="23" t="n">
        <f aca="false">T38</f>
        <v>2031</v>
      </c>
      <c r="U27" s="23" t="n">
        <f aca="false">U38</f>
        <v>2032</v>
      </c>
      <c r="V27" s="23" t="n">
        <f aca="false">V38</f>
        <v>2033</v>
      </c>
      <c r="W27" s="23" t="n">
        <f aca="false">W38</f>
        <v>2034</v>
      </c>
      <c r="X27" s="23" t="n">
        <f aca="false">X38</f>
        <v>2035</v>
      </c>
    </row>
    <row r="28" customFormat="false" ht="15" hidden="false" customHeight="true" outlineLevel="0" collapsed="false">
      <c r="B28" s="24" t="s">
        <v>35</v>
      </c>
      <c r="E28" s="25" t="n">
        <v>427.3</v>
      </c>
      <c r="F28" s="25" t="n">
        <v>497.5</v>
      </c>
      <c r="G28" s="25" t="n">
        <v>561</v>
      </c>
      <c r="H28" s="25" t="n">
        <v>640.5</v>
      </c>
      <c r="I28" s="25" t="n">
        <v>748.7</v>
      </c>
      <c r="J28" s="25" t="n">
        <v>571</v>
      </c>
      <c r="K28" s="25" t="n">
        <v>719.4</v>
      </c>
      <c r="L28" s="25" t="n">
        <v>923.2</v>
      </c>
      <c r="M28" s="25" t="n">
        <v>1059.5</v>
      </c>
      <c r="N28" s="25" t="n">
        <v>1214.4</v>
      </c>
      <c r="O28" s="25" t="n">
        <f aca="false">O20*O29</f>
        <v>1224.921701325</v>
      </c>
      <c r="P28" s="25" t="n">
        <f aca="false">P20*P29</f>
        <v>1325.93691096094</v>
      </c>
      <c r="Q28" s="25" t="n">
        <f aca="false">Q20*Q29</f>
        <v>1424.10044026908</v>
      </c>
      <c r="R28" s="25" t="n">
        <f aca="false">R20*R29</f>
        <v>1517.52142915073</v>
      </c>
      <c r="S28" s="25" t="n">
        <f aca="false">S20*S29</f>
        <v>1604.27307085051</v>
      </c>
      <c r="T28" s="25" t="n">
        <f aca="false">T56</f>
        <v>1682.45464516996</v>
      </c>
      <c r="U28" s="25" t="n">
        <f aca="false">U56</f>
        <v>1750.25756737031</v>
      </c>
      <c r="V28" s="25" t="n">
        <f aca="false">V56</f>
        <v>1806.03244185051</v>
      </c>
      <c r="W28" s="25" t="n">
        <f aca="false">W56</f>
        <v>1848.35380207121</v>
      </c>
      <c r="X28" s="25" t="n">
        <f aca="false">X56</f>
        <v>1876.07910910227</v>
      </c>
    </row>
    <row r="29" customFormat="false" ht="15" hidden="false" customHeight="true" outlineLevel="0" collapsed="false">
      <c r="B29" s="27" t="s">
        <v>31</v>
      </c>
      <c r="C29" s="30"/>
      <c r="D29" s="30"/>
      <c r="E29" s="27" t="n">
        <f aca="false">E28/E20</f>
        <v>0.0653783775513327</v>
      </c>
      <c r="F29" s="27" t="n">
        <f aca="false">F28/F20</f>
        <v>0.0748367881103523</v>
      </c>
      <c r="G29" s="27" t="n">
        <f aca="false">G28/G20</f>
        <v>0.078450566354356</v>
      </c>
      <c r="H29" s="27" t="n">
        <f aca="false">H28/H20</f>
        <v>0.083209915036246</v>
      </c>
      <c r="I29" s="27" t="n">
        <f aca="false">I28/I20</f>
        <v>0.0881362716014503</v>
      </c>
      <c r="J29" s="27" t="n">
        <f aca="false">J28/J20</f>
        <v>0.349064677833476</v>
      </c>
      <c r="K29" s="27" t="n">
        <f aca="false">K28/K20</f>
        <v>0.149846903705555</v>
      </c>
      <c r="L29" s="27" t="n">
        <f aca="false">L28/L20</f>
        <v>0.0856782240700869</v>
      </c>
      <c r="M29" s="27" t="n">
        <f aca="false">M28/M20</f>
        <v>0.0788095627724304</v>
      </c>
      <c r="N29" s="27" t="n">
        <f aca="false">N28/N20</f>
        <v>0.0870631250672115</v>
      </c>
      <c r="O29" s="27" t="n">
        <f aca="false">O57</f>
        <v>0.0805</v>
      </c>
      <c r="P29" s="27" t="n">
        <f aca="false">P57</f>
        <v>0.0805</v>
      </c>
      <c r="Q29" s="27" t="n">
        <f aca="false">Q57</f>
        <v>0.0805</v>
      </c>
      <c r="R29" s="27" t="n">
        <f aca="false">R57</f>
        <v>0.0805</v>
      </c>
      <c r="S29" s="27" t="n">
        <f aca="false">S57</f>
        <v>0.0805</v>
      </c>
      <c r="T29" s="27" t="n">
        <f aca="false">T57</f>
        <v>0.0805</v>
      </c>
      <c r="U29" s="27" t="n">
        <f aca="false">U57</f>
        <v>0.0805</v>
      </c>
      <c r="V29" s="27" t="n">
        <f aca="false">V57</f>
        <v>0.0805</v>
      </c>
      <c r="W29" s="27" t="n">
        <f aca="false">W57</f>
        <v>0.0805</v>
      </c>
      <c r="X29" s="27" t="n">
        <f aca="false">X57</f>
        <v>0.0805</v>
      </c>
    </row>
    <row r="30" customFormat="false" ht="15" hidden="false" customHeight="true" outlineLevel="0" collapsed="false">
      <c r="C30" s="30"/>
      <c r="D30" s="30"/>
      <c r="E30" s="30"/>
    </row>
    <row r="31" customFormat="false" ht="15" hidden="false" customHeight="true" outlineLevel="0" collapsed="false">
      <c r="B31" s="24" t="s">
        <v>36</v>
      </c>
      <c r="E31" s="25" t="n">
        <v>1217.7</v>
      </c>
      <c r="F31" s="25" t="n">
        <v>1449.8</v>
      </c>
      <c r="G31" s="25" t="n">
        <v>1470.6</v>
      </c>
      <c r="H31" s="25" t="n">
        <v>1546.7</v>
      </c>
      <c r="I31" s="25" t="n">
        <v>578.8</v>
      </c>
      <c r="J31" s="25" t="n">
        <v>294.7</v>
      </c>
      <c r="K31" s="25" t="n">
        <v>1181.6</v>
      </c>
      <c r="L31" s="25" t="n">
        <v>1914.7</v>
      </c>
      <c r="M31" s="25" t="n">
        <v>2391.9</v>
      </c>
      <c r="N31" s="25" t="n">
        <v>1552.5</v>
      </c>
      <c r="O31" s="25" t="n">
        <f aca="false">O20*O32</f>
        <v>2781.56132922</v>
      </c>
      <c r="P31" s="25" t="n">
        <f aca="false">P20*P32</f>
        <v>2952.49090937213</v>
      </c>
      <c r="Q31" s="25" t="n">
        <f aca="false">Q20*Q32</f>
        <v>3099.7001312924</v>
      </c>
      <c r="R31" s="25" t="n">
        <f aca="false">R20*R32</f>
        <v>3215.81595910245</v>
      </c>
      <c r="S31" s="25" t="n">
        <f aca="false">S20*S32</f>
        <v>3292.82824205063</v>
      </c>
      <c r="T31" s="25" t="n">
        <f aca="false">T59</f>
        <v>3321.98381179582</v>
      </c>
      <c r="U31" s="25" t="n">
        <f aca="false">U59</f>
        <v>3293.52457342164</v>
      </c>
      <c r="V31" s="25" t="n">
        <f aca="false">V59</f>
        <v>3196.14208617074</v>
      </c>
      <c r="W31" s="25" t="n">
        <f aca="false">W59</f>
        <v>3015.91055429821</v>
      </c>
      <c r="X31" s="25" t="n">
        <f aca="false">X59</f>
        <v>2734.22032285907</v>
      </c>
    </row>
    <row r="32" customFormat="false" ht="15" hidden="false" customHeight="true" outlineLevel="0" collapsed="false">
      <c r="B32" s="27" t="s">
        <v>31</v>
      </c>
      <c r="C32" s="28"/>
      <c r="D32" s="28"/>
      <c r="E32" s="27" t="n">
        <f aca="false">E31/E20</f>
        <v>0.186312310658221</v>
      </c>
      <c r="F32" s="27" t="n">
        <f aca="false">F31/F20</f>
        <v>0.21808718673847</v>
      </c>
      <c r="G32" s="27" t="n">
        <f aca="false">G31/G20</f>
        <v>0.205649559502168</v>
      </c>
      <c r="H32" s="27" t="n">
        <f aca="false">H31/H20</f>
        <v>0.200937979057864</v>
      </c>
      <c r="I32" s="27" t="n">
        <f aca="false">I31/I20</f>
        <v>0.0681358007251495</v>
      </c>
      <c r="J32" s="27" t="n">
        <f aca="false">J31/J20</f>
        <v>0.180156498349431</v>
      </c>
      <c r="K32" s="27" t="n">
        <f aca="false">K31/K20</f>
        <v>0.246120519069341</v>
      </c>
      <c r="L32" s="27" t="n">
        <f aca="false">L31/L20</f>
        <v>0.177695077585567</v>
      </c>
      <c r="M32" s="27" t="n">
        <f aca="false">M31/M20</f>
        <v>0.177918445677561</v>
      </c>
      <c r="N32" s="27" t="n">
        <f aca="false">N31/N20</f>
        <v>0.111302290568878</v>
      </c>
      <c r="O32" s="27" t="n">
        <f aca="false">O60</f>
        <v>0.1828</v>
      </c>
      <c r="P32" s="27" t="n">
        <f aca="false">P60</f>
        <v>0.179251000737439</v>
      </c>
      <c r="Q32" s="27" t="n">
        <f aca="false">Q60</f>
        <v>0.175216475968431</v>
      </c>
      <c r="R32" s="27" t="n">
        <f aca="false">R60</f>
        <v>0.170589475532233</v>
      </c>
      <c r="S32" s="27" t="n">
        <f aca="false">S60</f>
        <v>0.165229148516808</v>
      </c>
      <c r="T32" s="27" t="n">
        <f aca="false">T60</f>
        <v>0.158946155022532</v>
      </c>
      <c r="U32" s="27" t="n">
        <f aca="false">U60</f>
        <v>0.151479835370052</v>
      </c>
      <c r="V32" s="27" t="n">
        <f aca="false">V60</f>
        <v>0.142461138556913</v>
      </c>
      <c r="W32" s="27" t="n">
        <f aca="false">W60</f>
        <v>0.131349744485582</v>
      </c>
      <c r="X32" s="27" t="n">
        <f aca="false">X60</f>
        <v>0.117321670990451</v>
      </c>
    </row>
    <row r="34" customFormat="false" ht="15" hidden="false" customHeight="true" outlineLevel="0" collapsed="false">
      <c r="B34" s="24" t="s">
        <v>37</v>
      </c>
      <c r="E34" s="25" t="n">
        <v>-135.6</v>
      </c>
      <c r="F34" s="25" t="n">
        <v>-113.1</v>
      </c>
      <c r="G34" s="25" t="n">
        <v>-168.9</v>
      </c>
      <c r="H34" s="25" t="n">
        <v>-514.3</v>
      </c>
      <c r="I34" s="25" t="n">
        <v>388.5</v>
      </c>
      <c r="J34" s="25" t="n">
        <v>1703.2</v>
      </c>
      <c r="K34" s="25" t="n">
        <v>-1785.9</v>
      </c>
      <c r="L34" s="25" t="n">
        <v>-1353.9</v>
      </c>
      <c r="M34" s="25" t="n">
        <v>-19</v>
      </c>
      <c r="N34" s="25" t="n">
        <v>-480.3</v>
      </c>
      <c r="O34" s="25" t="n">
        <f aca="false">O20*O35</f>
        <v>-436.711215255</v>
      </c>
      <c r="P34" s="25" t="n">
        <f aca="false">P20*P35</f>
        <v>-456.325510795713</v>
      </c>
      <c r="Q34" s="25" t="n">
        <f aca="false">Q20*Q35</f>
        <v>-470.085152809084</v>
      </c>
      <c r="R34" s="25" t="n">
        <f aca="false">R20*R35</f>
        <v>-476.452131081276</v>
      </c>
      <c r="S34" s="25" t="n">
        <f aca="false">S20*S35</f>
        <v>-473.719779212545</v>
      </c>
      <c r="T34" s="25" t="n">
        <f aca="false">T62</f>
        <v>-459.965660627196</v>
      </c>
      <c r="U34" s="25" t="n">
        <f aca="false">U62</f>
        <v>-432.959560837472</v>
      </c>
      <c r="V34" s="25" t="n">
        <f aca="false">V62</f>
        <v>-389.991659745755</v>
      </c>
      <c r="W34" s="25" t="n">
        <f aca="false">W62</f>
        <v>-327.555022374536</v>
      </c>
      <c r="X34" s="25" t="n">
        <f aca="false">X62</f>
        <v>-240.749294573021</v>
      </c>
    </row>
    <row r="35" customFormat="false" ht="15" hidden="false" customHeight="true" outlineLevel="0" collapsed="false">
      <c r="B35" s="27" t="s">
        <v>31</v>
      </c>
      <c r="C35" s="30"/>
      <c r="D35" s="30"/>
      <c r="E35" s="27" t="n">
        <f aca="false">E34/E20</f>
        <v>-0.0207472688882769</v>
      </c>
      <c r="F35" s="27" t="n">
        <f aca="false">F34/F20</f>
        <v>-0.0170131472065947</v>
      </c>
      <c r="G35" s="27" t="n">
        <f aca="false">G34/G20</f>
        <v>-0.0236190742553489</v>
      </c>
      <c r="H35" s="27" t="n">
        <f aca="false">H34/H20</f>
        <v>-0.0668147686231715</v>
      </c>
      <c r="I35" s="27" t="n">
        <f aca="false">I34/I20</f>
        <v>0.0457338607147902</v>
      </c>
      <c r="J35" s="27" t="n">
        <f aca="false">J34/J20</f>
        <v>1.04120308106125</v>
      </c>
      <c r="K35" s="27" t="n">
        <f aca="false">K34/K20</f>
        <v>-0.37199275135912</v>
      </c>
      <c r="L35" s="27" t="n">
        <f aca="false">L34/L20</f>
        <v>-0.125649639913876</v>
      </c>
      <c r="M35" s="27" t="n">
        <f aca="false">M34/M20</f>
        <v>-0.00141329088501763</v>
      </c>
      <c r="N35" s="27" t="n">
        <f aca="false">N34/N20</f>
        <v>-0.0344338100871061</v>
      </c>
      <c r="O35" s="27" t="n">
        <f aca="false">O63</f>
        <v>-0.0287</v>
      </c>
      <c r="P35" s="27" t="n">
        <f aca="false">P63</f>
        <v>-0.0277043374502885</v>
      </c>
      <c r="Q35" s="27" t="n">
        <f aca="false">Q63</f>
        <v>-0.026572461977458</v>
      </c>
      <c r="R35" s="27" t="n">
        <f aca="false">R63</f>
        <v>-0.0252743689909588</v>
      </c>
      <c r="S35" s="27" t="n">
        <f aca="false">S63</f>
        <v>-0.0237705431322816</v>
      </c>
      <c r="T35" s="27" t="n">
        <f aca="false">T63</f>
        <v>-0.0220078655830564</v>
      </c>
      <c r="U35" s="27" t="n">
        <f aca="false">U63</f>
        <v>-0.0199132089454594</v>
      </c>
      <c r="V35" s="27" t="n">
        <f aca="false">V63</f>
        <v>-0.0173830369167487</v>
      </c>
      <c r="W35" s="27" t="n">
        <f aca="false">W63</f>
        <v>-0.0142657640932179</v>
      </c>
      <c r="X35" s="27" t="n">
        <f aca="false">X63</f>
        <v>-0.0103302244127658</v>
      </c>
    </row>
    <row r="36" customFormat="false" ht="15" hidden="false" customHeight="true" outlineLevel="0" collapsed="false">
      <c r="B36" s="31" t="s">
        <v>38</v>
      </c>
      <c r="C36" s="30"/>
      <c r="D36" s="30"/>
      <c r="E36" s="30"/>
      <c r="F36" s="31" t="n">
        <f aca="false">F34/(F20-E20)</f>
        <v>-1.00982142857143</v>
      </c>
      <c r="G36" s="31" t="n">
        <f aca="false">G34/(G20-F20)</f>
        <v>-0.335651828298887</v>
      </c>
      <c r="H36" s="31" t="n">
        <f aca="false">H34/(H20-G20)</f>
        <v>-0.941251830161055</v>
      </c>
      <c r="I36" s="31" t="n">
        <f aca="false">I34/(I20-H20)</f>
        <v>0.487208427389015</v>
      </c>
      <c r="J36" s="31" t="n">
        <f aca="false">J34/(J20-I20)</f>
        <v>-0.248316081061379</v>
      </c>
      <c r="K36" s="31" t="n">
        <f aca="false">K34/(K20-J20)</f>
        <v>-0.56424757511611</v>
      </c>
      <c r="L36" s="31" t="n">
        <f aca="false">L34/(L20-K20)</f>
        <v>-0.226620691963912</v>
      </c>
      <c r="M36" s="31" t="n">
        <f aca="false">M34/(M20-L20)</f>
        <v>-0.00711983811736491</v>
      </c>
      <c r="N36" s="31" t="n">
        <f aca="false">N34/(N20-M20)</f>
        <v>-0.951654448187041</v>
      </c>
    </row>
    <row r="38" customFormat="false" ht="15" hidden="false" customHeight="true" outlineLevel="0" collapsed="false">
      <c r="A38" s="21" t="s">
        <v>10</v>
      </c>
      <c r="B38" s="32" t="s">
        <v>39</v>
      </c>
      <c r="C38" s="33"/>
      <c r="D38" s="34"/>
      <c r="E38" s="23" t="n">
        <f aca="false">E27</f>
        <v>2016</v>
      </c>
      <c r="F38" s="23" t="n">
        <f aca="false">E38+1</f>
        <v>2017</v>
      </c>
      <c r="G38" s="23" t="n">
        <f aca="false">F38+1</f>
        <v>2018</v>
      </c>
      <c r="H38" s="23" t="n">
        <f aca="false">G38+1</f>
        <v>2019</v>
      </c>
      <c r="I38" s="23" t="n">
        <f aca="false">H38+1</f>
        <v>2020</v>
      </c>
      <c r="J38" s="23" t="n">
        <f aca="false">I38+1</f>
        <v>2021</v>
      </c>
      <c r="K38" s="23" t="n">
        <f aca="false">J38+1</f>
        <v>2022</v>
      </c>
      <c r="L38" s="23" t="n">
        <f aca="false">K38+1</f>
        <v>2023</v>
      </c>
      <c r="M38" s="23" t="n">
        <f aca="false">L38+1</f>
        <v>2024</v>
      </c>
      <c r="N38" s="23" t="n">
        <f aca="false">M38+1</f>
        <v>2025</v>
      </c>
      <c r="O38" s="23" t="n">
        <f aca="false">N38+1</f>
        <v>2026</v>
      </c>
      <c r="P38" s="23" t="n">
        <f aca="false">O38+1</f>
        <v>2027</v>
      </c>
      <c r="Q38" s="23" t="n">
        <f aca="false">P38+1</f>
        <v>2028</v>
      </c>
      <c r="R38" s="23" t="n">
        <f aca="false">Q38+1</f>
        <v>2029</v>
      </c>
      <c r="S38" s="23" t="n">
        <f aca="false">R38+1</f>
        <v>2030</v>
      </c>
      <c r="T38" s="23" t="n">
        <f aca="false">S38+1</f>
        <v>2031</v>
      </c>
      <c r="U38" s="23" t="n">
        <f aca="false">T38+1</f>
        <v>2032</v>
      </c>
      <c r="V38" s="23" t="n">
        <f aca="false">U38+1</f>
        <v>2033</v>
      </c>
      <c r="W38" s="23" t="n">
        <f aca="false">V38+1</f>
        <v>2034</v>
      </c>
      <c r="X38" s="23" t="n">
        <f aca="false">W38+1</f>
        <v>2035</v>
      </c>
      <c r="Y38" s="35" t="s">
        <v>40</v>
      </c>
    </row>
    <row r="39" customFormat="false" ht="15" hidden="false" customHeight="true" outlineLevel="0" collapsed="false">
      <c r="B39" s="24" t="s">
        <v>16</v>
      </c>
      <c r="E39" s="25" t="n">
        <f aca="false">E20</f>
        <v>6535.8</v>
      </c>
      <c r="F39" s="25" t="n">
        <f aca="false">F20</f>
        <v>6647.8</v>
      </c>
      <c r="G39" s="25" t="n">
        <f aca="false">G20</f>
        <v>7151</v>
      </c>
      <c r="H39" s="25" t="n">
        <f aca="false">H20</f>
        <v>7697.4</v>
      </c>
      <c r="I39" s="25" t="n">
        <f aca="false">I20</f>
        <v>8494.8</v>
      </c>
      <c r="J39" s="25" t="n">
        <f aca="false">J20</f>
        <v>1635.8</v>
      </c>
      <c r="K39" s="25" t="n">
        <f aca="false">K20</f>
        <v>4800.9</v>
      </c>
      <c r="L39" s="25" t="n">
        <f aca="false">L20</f>
        <v>10775.2</v>
      </c>
      <c r="M39" s="25" t="n">
        <f aca="false">M20</f>
        <v>13443.8</v>
      </c>
      <c r="N39" s="25" t="n">
        <f aca="false">N20</f>
        <v>13948.5</v>
      </c>
      <c r="O39" s="25" t="n">
        <f aca="false">N39*(1+O40)</f>
        <v>15216.41865</v>
      </c>
      <c r="P39" s="25" t="n">
        <f aca="false">O39*(1+P40)</f>
        <v>16471.26597467</v>
      </c>
      <c r="Q39" s="25" t="n">
        <f aca="false">P39*(1+Q40)</f>
        <v>17690.6886989947</v>
      </c>
      <c r="R39" s="25" t="n">
        <f aca="false">Q39*(1+R40)</f>
        <v>18851.1978776488</v>
      </c>
      <c r="S39" s="25" t="n">
        <f aca="false">R39*(1+S40)</f>
        <v>19928.8580229877</v>
      </c>
      <c r="T39" s="25" t="n">
        <f aca="false">S39*(1+T40)</f>
        <v>20900.0577039746</v>
      </c>
      <c r="U39" s="25" t="n">
        <f aca="false">T39*(1+U40)</f>
        <v>21742.3300294448</v>
      </c>
      <c r="V39" s="25" t="n">
        <f aca="false">U39*(1+V40)</f>
        <v>22435.1856130498</v>
      </c>
      <c r="W39" s="25" t="n">
        <f aca="false">V39*(1+W40)</f>
        <v>22960.9167959156</v>
      </c>
      <c r="X39" s="25" t="n">
        <f aca="false">W39*(1+X40)</f>
        <v>23305.3305478543</v>
      </c>
    </row>
    <row r="40" customFormat="false" ht="15" hidden="false" customHeight="true" outlineLevel="0" collapsed="false">
      <c r="B40" s="27" t="s">
        <v>28</v>
      </c>
      <c r="C40" s="28"/>
      <c r="D40" s="28"/>
      <c r="E40" s="28"/>
      <c r="F40" s="27" t="n">
        <f aca="false">F39/E39-1</f>
        <v>0.0171363872823527</v>
      </c>
      <c r="G40" s="27" t="n">
        <f aca="false">G39/F39-1</f>
        <v>0.0756942146273956</v>
      </c>
      <c r="H40" s="27" t="n">
        <f aca="false">H39/G39-1</f>
        <v>0.0764088938609984</v>
      </c>
      <c r="I40" s="27" t="n">
        <f aca="false">I39/H39-1</f>
        <v>0.103593421155195</v>
      </c>
      <c r="J40" s="27" t="n">
        <f aca="false">J39/I39-1</f>
        <v>-0.807435136789565</v>
      </c>
      <c r="K40" s="27" t="n">
        <f aca="false">K39/J39-1</f>
        <v>1.9348942413498</v>
      </c>
      <c r="L40" s="27" t="n">
        <f aca="false">L39/K39-1</f>
        <v>1.24441250598846</v>
      </c>
      <c r="M40" s="27" t="n">
        <f aca="false">M39/L39-1</f>
        <v>0.247661296310045</v>
      </c>
      <c r="N40" s="27" t="n">
        <f aca="false">N39/M39-1</f>
        <v>0.0375414689299156</v>
      </c>
      <c r="O40" s="27" t="n">
        <f aca="false">INDEX(O41:O43,$D$11)</f>
        <v>0.0909</v>
      </c>
      <c r="P40" s="27" t="n">
        <f aca="false">INDEX(P41:P43,$D$11)</f>
        <v>0.0824666666666667</v>
      </c>
      <c r="Q40" s="27" t="n">
        <f aca="false">INDEX(Q41:Q43,$D$11)</f>
        <v>0.0740333333333333</v>
      </c>
      <c r="R40" s="27" t="n">
        <f aca="false">INDEX(R41:R43,$D$11)</f>
        <v>0.0656</v>
      </c>
      <c r="S40" s="27" t="n">
        <f aca="false">INDEX(S41:S43,$D$11)</f>
        <v>0.0571666666666667</v>
      </c>
      <c r="T40" s="27" t="n">
        <f aca="false">INDEX(T41:T43,$D$11)</f>
        <v>0.0487333333333333</v>
      </c>
      <c r="U40" s="27" t="n">
        <f aca="false">INDEX(U41:U43,$D$11)</f>
        <v>0.0403</v>
      </c>
      <c r="V40" s="27" t="n">
        <f aca="false">INDEX(V41:V43,$D$11)</f>
        <v>0.0318666666666667</v>
      </c>
      <c r="W40" s="27" t="n">
        <f aca="false">INDEX(W41:W43,$D$11)</f>
        <v>0.0234333333333333</v>
      </c>
      <c r="X40" s="27" t="n">
        <f aca="false">INDEX(X41:X43,$D$11)</f>
        <v>0.015</v>
      </c>
      <c r="Y40" s="27" t="n">
        <f aca="false">$D$17</f>
        <v>0.015</v>
      </c>
    </row>
    <row r="41" customFormat="false" ht="15" hidden="false" customHeight="true" outlineLevel="0" collapsed="false">
      <c r="B41" s="36" t="s">
        <v>41</v>
      </c>
      <c r="O41" s="37" t="n">
        <f aca="false">$H$11</f>
        <v>0.07</v>
      </c>
      <c r="P41" s="37" t="n">
        <f aca="false">O41-($H$11-$H$17)/$D$18</f>
        <v>0.0633333333333333</v>
      </c>
      <c r="Q41" s="37" t="n">
        <f aca="false">P41-($H$11-$H$17)/$D$18</f>
        <v>0.0566666666666667</v>
      </c>
      <c r="R41" s="37" t="n">
        <f aca="false">Q41-($H$11-$H$17)/$D$18</f>
        <v>0.05</v>
      </c>
      <c r="S41" s="37" t="n">
        <f aca="false">R41-($H$11-$H$17)/$D$18</f>
        <v>0.0433333333333333</v>
      </c>
      <c r="T41" s="37" t="n">
        <f aca="false">S41-($H$11-$H$17)/$D$18</f>
        <v>0.0366666666666667</v>
      </c>
      <c r="U41" s="37" t="n">
        <f aca="false">T41-($H$11-$H$17)/$D$18</f>
        <v>0.03</v>
      </c>
      <c r="V41" s="37" t="n">
        <f aca="false">U41-($H$11-$H$17)/$D$18</f>
        <v>0.0233333333333333</v>
      </c>
      <c r="W41" s="37" t="n">
        <f aca="false">V41-($H$11-$H$17)/$D$18</f>
        <v>0.0166666666666667</v>
      </c>
      <c r="X41" s="37" t="n">
        <f aca="false">W41-($H$11-$H$17)/$D$18</f>
        <v>0.01</v>
      </c>
    </row>
    <row r="42" customFormat="false" ht="15" hidden="false" customHeight="true" outlineLevel="0" collapsed="false">
      <c r="B42" s="36" t="s">
        <v>42</v>
      </c>
      <c r="O42" s="37" t="n">
        <f aca="false">$L$11</f>
        <v>0.0909</v>
      </c>
      <c r="P42" s="37" t="n">
        <f aca="false">O42-($L$11-$L$17)/$D$18</f>
        <v>0.0824666666666667</v>
      </c>
      <c r="Q42" s="37" t="n">
        <f aca="false">P42-($L$11-$L$17)/$D$18</f>
        <v>0.0740333333333333</v>
      </c>
      <c r="R42" s="37" t="n">
        <f aca="false">Q42-($L$11-$L$17)/$D$18</f>
        <v>0.0656</v>
      </c>
      <c r="S42" s="37" t="n">
        <f aca="false">R42-($L$11-$L$17)/$D$18</f>
        <v>0.0571666666666667</v>
      </c>
      <c r="T42" s="37" t="n">
        <f aca="false">S42-($L$11-$L$17)/$D$18</f>
        <v>0.0487333333333333</v>
      </c>
      <c r="U42" s="37" t="n">
        <f aca="false">T42-($L$11-$L$17)/$D$18</f>
        <v>0.0403</v>
      </c>
      <c r="V42" s="37" t="n">
        <f aca="false">U42-($L$11-$L$17)/$D$18</f>
        <v>0.0318666666666667</v>
      </c>
      <c r="W42" s="37" t="n">
        <f aca="false">V42-($L$11-$L$17)/$D$18</f>
        <v>0.0234333333333333</v>
      </c>
      <c r="X42" s="37" t="n">
        <f aca="false">W42-($L$11-$L$17)/$D$18</f>
        <v>0.015</v>
      </c>
    </row>
    <row r="43" customFormat="false" ht="15" hidden="false" customHeight="true" outlineLevel="0" collapsed="false">
      <c r="B43" s="36" t="s">
        <v>43</v>
      </c>
      <c r="O43" s="37" t="n">
        <f aca="false">$P$11</f>
        <v>0.11</v>
      </c>
      <c r="P43" s="37" t="n">
        <f aca="false">O43-($P$11-$P$17)/$D$18</f>
        <v>0.1</v>
      </c>
      <c r="Q43" s="37" t="n">
        <f aca="false">P43-($P$11-$P$17)/$D$18</f>
        <v>0.09</v>
      </c>
      <c r="R43" s="37" t="n">
        <f aca="false">Q43-($P$11-$P$17)/$D$18</f>
        <v>0.08</v>
      </c>
      <c r="S43" s="37" t="n">
        <f aca="false">R43-($P$11-$P$17)/$D$18</f>
        <v>0.07</v>
      </c>
      <c r="T43" s="37" t="n">
        <f aca="false">S43-($P$11-$P$17)/$D$18</f>
        <v>0.06</v>
      </c>
      <c r="U43" s="37" t="n">
        <f aca="false">T43-($P$11-$P$17)/$D$18</f>
        <v>0.05</v>
      </c>
      <c r="V43" s="37" t="n">
        <f aca="false">U43-($P$11-$P$17)/$D$18</f>
        <v>0.04</v>
      </c>
      <c r="W43" s="37" t="n">
        <f aca="false">V43-($P$11-$P$17)/$D$18</f>
        <v>0.03</v>
      </c>
      <c r="X43" s="37" t="n">
        <f aca="false">W43-($P$11-$P$17)/$D$18</f>
        <v>0.02</v>
      </c>
    </row>
    <row r="45" customFormat="false" ht="15" hidden="false" customHeight="true" outlineLevel="0" collapsed="false">
      <c r="B45" s="24" t="s">
        <v>18</v>
      </c>
      <c r="E45" s="25" t="n">
        <f aca="false">E23</f>
        <v>1460.1</v>
      </c>
      <c r="F45" s="25" t="n">
        <f aca="false">F23</f>
        <v>1534</v>
      </c>
      <c r="G45" s="25" t="n">
        <f aca="false">G23</f>
        <v>1667.3</v>
      </c>
      <c r="H45" s="25" t="n">
        <f aca="false">H23</f>
        <v>1016.8</v>
      </c>
      <c r="I45" s="25" t="n">
        <f aca="false">I23</f>
        <v>1127.4</v>
      </c>
      <c r="J45" s="25" t="n">
        <f aca="false">J23</f>
        <v>-839.4</v>
      </c>
      <c r="K45" s="25" t="n">
        <f aca="false">K23</f>
        <v>-339.6</v>
      </c>
      <c r="L45" s="25" t="n">
        <f aca="false">L23</f>
        <v>1442.6</v>
      </c>
      <c r="M45" s="25" t="n">
        <f aca="false">M23</f>
        <v>2060.7</v>
      </c>
      <c r="N45" s="25" t="n">
        <f aca="false">N23</f>
        <v>1558</v>
      </c>
      <c r="O45" s="25" t="n">
        <f aca="false">O39*O46</f>
        <v>2620.26729153</v>
      </c>
      <c r="P45" s="25" t="n">
        <f aca="false">P39*P46</f>
        <v>2836.35200083817</v>
      </c>
      <c r="Q45" s="25" t="n">
        <f aca="false">Q39*Q46</f>
        <v>3046.33659396689</v>
      </c>
      <c r="R45" s="25" t="n">
        <f aca="false">R39*R46</f>
        <v>3246.17627453112</v>
      </c>
      <c r="S45" s="25" t="n">
        <f aca="false">S39*S46</f>
        <v>3431.74935155848</v>
      </c>
      <c r="T45" s="25" t="n">
        <f aca="false">T39*T46</f>
        <v>3598.98993662443</v>
      </c>
      <c r="U45" s="25" t="n">
        <f aca="false">U39*U46</f>
        <v>3744.0292310704</v>
      </c>
      <c r="V45" s="25" t="n">
        <f aca="false">V39*V46</f>
        <v>3863.33896256718</v>
      </c>
      <c r="W45" s="25" t="n">
        <f aca="false">W39*W46</f>
        <v>3953.86987225667</v>
      </c>
      <c r="X45" s="25" t="n">
        <f aca="false">X39*X46</f>
        <v>4013.17792034052</v>
      </c>
    </row>
    <row r="46" customFormat="false" ht="15" hidden="false" customHeight="true" outlineLevel="0" collapsed="false">
      <c r="B46" s="27" t="s">
        <v>31</v>
      </c>
      <c r="C46" s="28"/>
      <c r="D46" s="28"/>
      <c r="E46" s="27" t="n">
        <f aca="false">E45/E20</f>
        <v>0.223400348847884</v>
      </c>
      <c r="F46" s="27" t="n">
        <f aca="false">F45/F20</f>
        <v>0.230753031077951</v>
      </c>
      <c r="G46" s="27" t="n">
        <f aca="false">G45/G20</f>
        <v>0.2331562019298</v>
      </c>
      <c r="H46" s="27" t="n">
        <f aca="false">H45/H20</f>
        <v>0.132096552082521</v>
      </c>
      <c r="I46" s="27" t="n">
        <f aca="false">I45/I20</f>
        <v>0.132716485379291</v>
      </c>
      <c r="J46" s="27" t="n">
        <f aca="false">J45/J20</f>
        <v>-0.513143416065534</v>
      </c>
      <c r="K46" s="27" t="n">
        <f aca="false">K45/K20</f>
        <v>-0.0707367368618384</v>
      </c>
      <c r="L46" s="27" t="n">
        <f aca="false">L45/L20</f>
        <v>0.133881505679709</v>
      </c>
      <c r="M46" s="27" t="n">
        <f aca="false">M45/M20</f>
        <v>0.15328255403978</v>
      </c>
      <c r="N46" s="27" t="n">
        <f aca="false">N45/N20</f>
        <v>0.111696598200523</v>
      </c>
      <c r="O46" s="27" t="n">
        <f aca="false">INDEX(O47:O49,$D$12)</f>
        <v>0.1722</v>
      </c>
      <c r="P46" s="27" t="n">
        <f aca="false">INDEX(P47:P49,$D$12)</f>
        <v>0.1722</v>
      </c>
      <c r="Q46" s="27" t="n">
        <f aca="false">INDEX(Q47:Q49,$D$12)</f>
        <v>0.1722</v>
      </c>
      <c r="R46" s="27" t="n">
        <f aca="false">INDEX(R47:R49,$D$12)</f>
        <v>0.1722</v>
      </c>
      <c r="S46" s="27" t="n">
        <f aca="false">INDEX(S47:S49,$D$12)</f>
        <v>0.1722</v>
      </c>
      <c r="T46" s="27" t="n">
        <f aca="false">INDEX(T47:T49,$D$12)</f>
        <v>0.1722</v>
      </c>
      <c r="U46" s="27" t="n">
        <f aca="false">INDEX(U47:U49,$D$12)</f>
        <v>0.1722</v>
      </c>
      <c r="V46" s="27" t="n">
        <f aca="false">INDEX(V47:V49,$D$12)</f>
        <v>0.1722</v>
      </c>
      <c r="W46" s="27" t="n">
        <f aca="false">INDEX(W47:W49,$D$12)</f>
        <v>0.1722</v>
      </c>
      <c r="X46" s="27" t="n">
        <f aca="false">INDEX(X47:X49,$D$12)</f>
        <v>0.1722</v>
      </c>
    </row>
    <row r="47" customFormat="false" ht="15" hidden="false" customHeight="true" outlineLevel="0" collapsed="false">
      <c r="B47" s="36" t="s">
        <v>41</v>
      </c>
      <c r="D47" s="28"/>
      <c r="O47" s="37" t="n">
        <f aca="false">$H$13</f>
        <v>0.16</v>
      </c>
      <c r="P47" s="37" t="n">
        <f aca="false">$H$13</f>
        <v>0.16</v>
      </c>
      <c r="Q47" s="37" t="n">
        <f aca="false">$H$13</f>
        <v>0.16</v>
      </c>
      <c r="R47" s="37" t="n">
        <f aca="false">$H$13</f>
        <v>0.16</v>
      </c>
      <c r="S47" s="37" t="n">
        <f aca="false">$H$13</f>
        <v>0.16</v>
      </c>
      <c r="T47" s="37" t="n">
        <f aca="false">$H$13</f>
        <v>0.16</v>
      </c>
      <c r="U47" s="37" t="n">
        <f aca="false">$H$13</f>
        <v>0.16</v>
      </c>
      <c r="V47" s="37" t="n">
        <f aca="false">$H$13</f>
        <v>0.16</v>
      </c>
      <c r="W47" s="37" t="n">
        <f aca="false">$H$13</f>
        <v>0.16</v>
      </c>
      <c r="X47" s="37" t="n">
        <f aca="false">$H$13</f>
        <v>0.16</v>
      </c>
    </row>
    <row r="48" customFormat="false" ht="15" hidden="false" customHeight="true" outlineLevel="0" collapsed="false">
      <c r="B48" s="36" t="s">
        <v>42</v>
      </c>
      <c r="D48" s="28"/>
      <c r="O48" s="37" t="n">
        <f aca="false">$L$13</f>
        <v>0.1722</v>
      </c>
      <c r="P48" s="37" t="n">
        <f aca="false">$L$13</f>
        <v>0.1722</v>
      </c>
      <c r="Q48" s="37" t="n">
        <f aca="false">$L$13</f>
        <v>0.1722</v>
      </c>
      <c r="R48" s="37" t="n">
        <f aca="false">$L$13</f>
        <v>0.1722</v>
      </c>
      <c r="S48" s="37" t="n">
        <f aca="false">$L$13</f>
        <v>0.1722</v>
      </c>
      <c r="T48" s="37" t="n">
        <f aca="false">$L$13</f>
        <v>0.1722</v>
      </c>
      <c r="U48" s="37" t="n">
        <f aca="false">$L$13</f>
        <v>0.1722</v>
      </c>
      <c r="V48" s="37" t="n">
        <f aca="false">$L$13</f>
        <v>0.1722</v>
      </c>
      <c r="W48" s="37" t="n">
        <f aca="false">$L$13</f>
        <v>0.1722</v>
      </c>
      <c r="X48" s="37" t="n">
        <f aca="false">$L$13</f>
        <v>0.1722</v>
      </c>
    </row>
    <row r="49" customFormat="false" ht="15" hidden="false" customHeight="true" outlineLevel="0" collapsed="false">
      <c r="B49" s="36" t="s">
        <v>43</v>
      </c>
      <c r="D49" s="28"/>
      <c r="O49" s="37" t="n">
        <f aca="false">$P$13</f>
        <v>0.185</v>
      </c>
      <c r="P49" s="37" t="n">
        <f aca="false">$P$13</f>
        <v>0.185</v>
      </c>
      <c r="Q49" s="37" t="n">
        <f aca="false">$P$13</f>
        <v>0.185</v>
      </c>
      <c r="R49" s="37" t="n">
        <f aca="false">$P$13</f>
        <v>0.185</v>
      </c>
      <c r="S49" s="37" t="n">
        <f aca="false">$P$13</f>
        <v>0.185</v>
      </c>
      <c r="T49" s="37" t="n">
        <f aca="false">$P$13</f>
        <v>0.185</v>
      </c>
      <c r="U49" s="37" t="n">
        <f aca="false">$P$13</f>
        <v>0.185</v>
      </c>
      <c r="V49" s="37" t="n">
        <f aca="false">$P$13</f>
        <v>0.185</v>
      </c>
      <c r="W49" s="37" t="n">
        <f aca="false">$P$13</f>
        <v>0.185</v>
      </c>
      <c r="X49" s="37" t="n">
        <f aca="false">$P$13</f>
        <v>0.185</v>
      </c>
    </row>
    <row r="51" customFormat="false" ht="15" hidden="false" customHeight="true" outlineLevel="0" collapsed="false">
      <c r="B51" s="24" t="s">
        <v>32</v>
      </c>
      <c r="E51" s="25" t="n">
        <f aca="false">E25</f>
        <v>162.8</v>
      </c>
      <c r="F51" s="25" t="n">
        <f aca="false">F25</f>
        <v>154.4</v>
      </c>
      <c r="G51" s="25" t="n">
        <f aca="false">G25</f>
        <v>161.1</v>
      </c>
      <c r="H51" s="25" t="n">
        <f aca="false">H25</f>
        <v>63.1</v>
      </c>
      <c r="I51" s="25" t="n">
        <f aca="false">I25</f>
        <v>21.6</v>
      </c>
      <c r="J51" s="25" t="n">
        <f aca="false">J25</f>
        <v>-93.6</v>
      </c>
      <c r="K51" s="25" t="n">
        <f aca="false">K25</f>
        <v>-189</v>
      </c>
      <c r="L51" s="25" t="n">
        <f aca="false">L25</f>
        <v>128.7</v>
      </c>
      <c r="M51" s="25" t="n">
        <f aca="false">M25</f>
        <v>210.9</v>
      </c>
      <c r="N51" s="25" t="n">
        <f aca="false">N25</f>
        <v>172.8</v>
      </c>
      <c r="O51" s="25" t="n">
        <f aca="false">O45*O52</f>
        <v>314.4320749836</v>
      </c>
      <c r="P51" s="25" t="n">
        <f aca="false">P45*P52</f>
        <v>340.362240100581</v>
      </c>
      <c r="Q51" s="25" t="n">
        <f aca="false">Q45*Q52</f>
        <v>365.560391276027</v>
      </c>
      <c r="R51" s="25" t="n">
        <f aca="false">R45*R52</f>
        <v>389.541152943735</v>
      </c>
      <c r="S51" s="25" t="n">
        <f aca="false">S45*S52</f>
        <v>411.809922187018</v>
      </c>
      <c r="T51" s="25" t="n">
        <f aca="false">T45*T52</f>
        <v>431.878792394932</v>
      </c>
      <c r="U51" s="25" t="n">
        <f aca="false">U45*U52</f>
        <v>449.283507728448</v>
      </c>
      <c r="V51" s="25" t="n">
        <f aca="false">V45*V52</f>
        <v>463.600675508061</v>
      </c>
      <c r="W51" s="25" t="n">
        <f aca="false">W45*W52</f>
        <v>474.4643846708</v>
      </c>
      <c r="X51" s="25" t="n">
        <f aca="false">X45*X52</f>
        <v>481.581350440862</v>
      </c>
    </row>
    <row r="52" customFormat="false" ht="15" hidden="false" customHeight="true" outlineLevel="0" collapsed="false">
      <c r="B52" s="27" t="s">
        <v>33</v>
      </c>
      <c r="C52" s="28"/>
      <c r="D52" s="28"/>
      <c r="E52" s="27" t="n">
        <f aca="false">E51/E45</f>
        <v>0.111499212382714</v>
      </c>
      <c r="F52" s="27" t="n">
        <f aca="false">F51/F45</f>
        <v>0.100651890482399</v>
      </c>
      <c r="G52" s="27" t="n">
        <f aca="false">G51/G45</f>
        <v>0.0966232831524021</v>
      </c>
      <c r="H52" s="27" t="n">
        <f aca="false">H51/H45</f>
        <v>0.0620574350904799</v>
      </c>
      <c r="I52" s="27" t="n">
        <f aca="false">I51/I45</f>
        <v>0.0191591271953167</v>
      </c>
      <c r="J52" s="27" t="n">
        <f aca="false">J51/J45</f>
        <v>0.111508220157255</v>
      </c>
      <c r="K52" s="27" t="n">
        <f aca="false">K51/K45</f>
        <v>0.556537102473498</v>
      </c>
      <c r="L52" s="27" t="n">
        <f aca="false">L51/L45</f>
        <v>0.0892139193123527</v>
      </c>
      <c r="M52" s="27" t="n">
        <f aca="false">M51/M45</f>
        <v>0.102343863735624</v>
      </c>
      <c r="N52" s="27" t="n">
        <f aca="false">N51/N45</f>
        <v>0.110911424903723</v>
      </c>
      <c r="O52" s="38" t="n">
        <f aca="false">'Sources &amp; Checks'!$B$14</f>
        <v>0.12</v>
      </c>
      <c r="P52" s="38" t="n">
        <f aca="false">'Sources &amp; Checks'!$B$14</f>
        <v>0.12</v>
      </c>
      <c r="Q52" s="38" t="n">
        <f aca="false">'Sources &amp; Checks'!$B$14</f>
        <v>0.12</v>
      </c>
      <c r="R52" s="38" t="n">
        <f aca="false">'Sources &amp; Checks'!$B$14</f>
        <v>0.12</v>
      </c>
      <c r="S52" s="38" t="n">
        <f aca="false">'Sources &amp; Checks'!$B$14</f>
        <v>0.12</v>
      </c>
      <c r="T52" s="38" t="n">
        <f aca="false">'Sources &amp; Checks'!$B$14</f>
        <v>0.12</v>
      </c>
      <c r="U52" s="38" t="n">
        <f aca="false">'Sources &amp; Checks'!$B$14</f>
        <v>0.12</v>
      </c>
      <c r="V52" s="38" t="n">
        <f aca="false">'Sources &amp; Checks'!$B$14</f>
        <v>0.12</v>
      </c>
      <c r="W52" s="38" t="n">
        <f aca="false">'Sources &amp; Checks'!$B$14</f>
        <v>0.12</v>
      </c>
      <c r="X52" s="38" t="n">
        <f aca="false">'Sources &amp; Checks'!$B$14</f>
        <v>0.12</v>
      </c>
    </row>
    <row r="54" customFormat="false" ht="15.75" hidden="false" customHeight="true" outlineLevel="0" collapsed="false">
      <c r="A54" s="39" t="s">
        <v>10</v>
      </c>
      <c r="B54" s="40" t="s">
        <v>44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2" t="n">
        <f aca="false">O45-O51</f>
        <v>2305.8352165464</v>
      </c>
      <c r="P54" s="42" t="n">
        <f aca="false">P45-P51</f>
        <v>2495.98976073759</v>
      </c>
      <c r="Q54" s="42" t="n">
        <f aca="false">Q45-Q51</f>
        <v>2680.77620269087</v>
      </c>
      <c r="R54" s="42" t="n">
        <f aca="false">R45-R51</f>
        <v>2856.63512158739</v>
      </c>
      <c r="S54" s="42" t="n">
        <f aca="false">S45-S51</f>
        <v>3019.93942937147</v>
      </c>
      <c r="T54" s="42" t="n">
        <f aca="false">T45-T51</f>
        <v>3167.1111442295</v>
      </c>
      <c r="U54" s="42" t="n">
        <f aca="false">U45-U51</f>
        <v>3294.74572334195</v>
      </c>
      <c r="V54" s="42" t="n">
        <f aca="false">V45-V51</f>
        <v>3399.73828705911</v>
      </c>
      <c r="W54" s="42" t="n">
        <f aca="false">W45-W51</f>
        <v>3479.40548758587</v>
      </c>
      <c r="X54" s="42" t="n">
        <f aca="false">X45-X51</f>
        <v>3531.59656989965</v>
      </c>
      <c r="Y54" s="42" t="n">
        <f aca="false">X54*(1+Y40)</f>
        <v>3584.57051844815</v>
      </c>
    </row>
    <row r="55" customFormat="false" ht="15.75" hidden="false" customHeight="true" outlineLevel="0" collapsed="false"/>
    <row r="56" customFormat="false" ht="15" hidden="false" customHeight="true" outlineLevel="0" collapsed="false">
      <c r="B56" s="24" t="s">
        <v>35</v>
      </c>
      <c r="E56" s="25" t="n">
        <f aca="false">E28</f>
        <v>427.3</v>
      </c>
      <c r="F56" s="25" t="n">
        <f aca="false">F28</f>
        <v>497.5</v>
      </c>
      <c r="G56" s="25" t="n">
        <f aca="false">G28</f>
        <v>561</v>
      </c>
      <c r="H56" s="25" t="n">
        <f aca="false">H28</f>
        <v>640.5</v>
      </c>
      <c r="I56" s="25" t="n">
        <f aca="false">I28</f>
        <v>748.7</v>
      </c>
      <c r="J56" s="25" t="n">
        <f aca="false">J28</f>
        <v>571</v>
      </c>
      <c r="K56" s="25" t="n">
        <f aca="false">K28</f>
        <v>719.4</v>
      </c>
      <c r="L56" s="25" t="n">
        <f aca="false">L28</f>
        <v>923.2</v>
      </c>
      <c r="M56" s="25" t="n">
        <f aca="false">M28</f>
        <v>1059.5</v>
      </c>
      <c r="N56" s="25" t="n">
        <f aca="false">N28</f>
        <v>1214.4</v>
      </c>
      <c r="O56" s="25" t="n">
        <f aca="false">O57*O39</f>
        <v>1224.921701325</v>
      </c>
      <c r="P56" s="25" t="n">
        <f aca="false">P57*P39</f>
        <v>1325.93691096094</v>
      </c>
      <c r="Q56" s="25" t="n">
        <f aca="false">Q57*Q39</f>
        <v>1424.10044026908</v>
      </c>
      <c r="R56" s="25" t="n">
        <f aca="false">R57*R39</f>
        <v>1517.52142915073</v>
      </c>
      <c r="S56" s="25" t="n">
        <f aca="false">S57*S39</f>
        <v>1604.27307085051</v>
      </c>
      <c r="T56" s="25" t="n">
        <f aca="false">T57*T39</f>
        <v>1682.45464516996</v>
      </c>
      <c r="U56" s="25" t="n">
        <f aca="false">U57*U39</f>
        <v>1750.25756737031</v>
      </c>
      <c r="V56" s="25" t="n">
        <f aca="false">V57*V39</f>
        <v>1806.03244185051</v>
      </c>
      <c r="W56" s="25" t="n">
        <f aca="false">W57*W39</f>
        <v>1848.35380207121</v>
      </c>
      <c r="X56" s="25" t="n">
        <f aca="false">X57*X39</f>
        <v>1876.07910910227</v>
      </c>
    </row>
    <row r="57" customFormat="false" ht="15" hidden="false" customHeight="true" outlineLevel="0" collapsed="false">
      <c r="B57" s="27" t="s">
        <v>31</v>
      </c>
      <c r="C57" s="30"/>
      <c r="E57" s="27" t="n">
        <f aca="false">E56/E20</f>
        <v>0.0653783775513327</v>
      </c>
      <c r="F57" s="27" t="n">
        <f aca="false">F56/F20</f>
        <v>0.0748367881103523</v>
      </c>
      <c r="G57" s="27" t="n">
        <f aca="false">G56/G20</f>
        <v>0.078450566354356</v>
      </c>
      <c r="H57" s="27" t="n">
        <f aca="false">H56/H20</f>
        <v>0.083209915036246</v>
      </c>
      <c r="I57" s="27" t="n">
        <f aca="false">I56/I20</f>
        <v>0.0881362716014503</v>
      </c>
      <c r="J57" s="27" t="n">
        <f aca="false">J56/J20</f>
        <v>0.349064677833476</v>
      </c>
      <c r="K57" s="27" t="n">
        <f aca="false">K56/K20</f>
        <v>0.149846903705555</v>
      </c>
      <c r="L57" s="27" t="n">
        <f aca="false">L56/L20</f>
        <v>0.0856782240700869</v>
      </c>
      <c r="M57" s="27" t="n">
        <f aca="false">M56/M20</f>
        <v>0.0788095627724304</v>
      </c>
      <c r="N57" s="27" t="n">
        <f aca="false">N56/N20</f>
        <v>0.0870631250672115</v>
      </c>
      <c r="O57" s="38" t="n">
        <f aca="false">'Sources &amp; Checks'!$B$21</f>
        <v>0.0805</v>
      </c>
      <c r="P57" s="38" t="n">
        <f aca="false">'Sources &amp; Checks'!$B$21</f>
        <v>0.0805</v>
      </c>
      <c r="Q57" s="38" t="n">
        <f aca="false">'Sources &amp; Checks'!$B$21</f>
        <v>0.0805</v>
      </c>
      <c r="R57" s="38" t="n">
        <f aca="false">'Sources &amp; Checks'!$B$21</f>
        <v>0.0805</v>
      </c>
      <c r="S57" s="38" t="n">
        <f aca="false">'Sources &amp; Checks'!$B$21</f>
        <v>0.0805</v>
      </c>
      <c r="T57" s="38" t="n">
        <f aca="false">'Sources &amp; Checks'!$B$21</f>
        <v>0.0805</v>
      </c>
      <c r="U57" s="38" t="n">
        <f aca="false">'Sources &amp; Checks'!$B$21</f>
        <v>0.0805</v>
      </c>
      <c r="V57" s="38" t="n">
        <f aca="false">'Sources &amp; Checks'!$B$21</f>
        <v>0.0805</v>
      </c>
      <c r="W57" s="38" t="n">
        <f aca="false">'Sources &amp; Checks'!$B$21</f>
        <v>0.0805</v>
      </c>
      <c r="X57" s="38" t="n">
        <f aca="false">'Sources &amp; Checks'!$B$21</f>
        <v>0.0805</v>
      </c>
    </row>
    <row r="58" customFormat="false" ht="15" hidden="false" customHeight="true" outlineLevel="0" collapsed="false">
      <c r="C58" s="30"/>
    </row>
    <row r="59" customFormat="false" ht="15" hidden="false" customHeight="true" outlineLevel="0" collapsed="false">
      <c r="B59" s="24" t="s">
        <v>36</v>
      </c>
      <c r="E59" s="25" t="n">
        <f aca="false">E31</f>
        <v>1217.7</v>
      </c>
      <c r="F59" s="25" t="n">
        <f aca="false">F31</f>
        <v>1449.8</v>
      </c>
      <c r="G59" s="25" t="n">
        <f aca="false">G31</f>
        <v>1470.6</v>
      </c>
      <c r="H59" s="25" t="n">
        <f aca="false">H31</f>
        <v>1546.7</v>
      </c>
      <c r="I59" s="25" t="n">
        <f aca="false">I31</f>
        <v>578.8</v>
      </c>
      <c r="J59" s="25" t="n">
        <f aca="false">J31</f>
        <v>294.7</v>
      </c>
      <c r="K59" s="25" t="n">
        <f aca="false">K31</f>
        <v>1181.6</v>
      </c>
      <c r="L59" s="25" t="n">
        <f aca="false">L31</f>
        <v>1914.7</v>
      </c>
      <c r="M59" s="25" t="n">
        <f aca="false">M31</f>
        <v>2391.9</v>
      </c>
      <c r="N59" s="25" t="n">
        <f aca="false">N31</f>
        <v>1552.5</v>
      </c>
      <c r="O59" s="25" t="n">
        <f aca="false">O60*O39</f>
        <v>2781.56132922</v>
      </c>
      <c r="P59" s="25" t="n">
        <f aca="false">P60*P39</f>
        <v>2952.49090937213</v>
      </c>
      <c r="Q59" s="25" t="n">
        <f aca="false">Q60*Q39</f>
        <v>3099.7001312924</v>
      </c>
      <c r="R59" s="25" t="n">
        <f aca="false">R60*R39</f>
        <v>3215.81595910245</v>
      </c>
      <c r="S59" s="25" t="n">
        <f aca="false">S60*S39</f>
        <v>3292.82824205063</v>
      </c>
      <c r="T59" s="25" t="n">
        <f aca="false">T60*T39</f>
        <v>3321.98381179582</v>
      </c>
      <c r="U59" s="25" t="n">
        <f aca="false">U60*U39</f>
        <v>3293.52457342164</v>
      </c>
      <c r="V59" s="25" t="n">
        <f aca="false">V60*V39</f>
        <v>3196.14208617074</v>
      </c>
      <c r="W59" s="25" t="n">
        <f aca="false">W60*W39</f>
        <v>3015.91055429821</v>
      </c>
      <c r="X59" s="25" t="n">
        <f aca="false">X60*X39</f>
        <v>2734.22032285907</v>
      </c>
    </row>
    <row r="60" customFormat="false" ht="15" hidden="false" customHeight="true" outlineLevel="0" collapsed="false">
      <c r="B60" s="27" t="s">
        <v>31</v>
      </c>
      <c r="C60" s="28"/>
      <c r="E60" s="27" t="n">
        <f aca="false">E59/E20</f>
        <v>0.186312310658221</v>
      </c>
      <c r="F60" s="27" t="n">
        <f aca="false">F59/F20</f>
        <v>0.21808718673847</v>
      </c>
      <c r="G60" s="27" t="n">
        <f aca="false">G59/G20</f>
        <v>0.205649559502168</v>
      </c>
      <c r="H60" s="27" t="n">
        <f aca="false">H59/H20</f>
        <v>0.200937979057864</v>
      </c>
      <c r="I60" s="27" t="n">
        <f aca="false">I59/I20</f>
        <v>0.0681358007251495</v>
      </c>
      <c r="J60" s="27" t="n">
        <f aca="false">J59/J20</f>
        <v>0.180156498349431</v>
      </c>
      <c r="K60" s="27" t="n">
        <f aca="false">K59/K20</f>
        <v>0.246120519069341</v>
      </c>
      <c r="L60" s="27" t="n">
        <f aca="false">L59/L20</f>
        <v>0.177695077585567</v>
      </c>
      <c r="M60" s="27" t="n">
        <f aca="false">M59/M20</f>
        <v>0.177918445677561</v>
      </c>
      <c r="N60" s="27" t="n">
        <f aca="false">N59/N20</f>
        <v>0.111302290568878</v>
      </c>
      <c r="O60" s="38" t="n">
        <f aca="false">'Sources &amp; Checks'!$B$22</f>
        <v>0.1828</v>
      </c>
      <c r="P60" s="43" t="n">
        <f aca="false">P57+P64*P46*(1-P52)-P63</f>
        <v>0.179251000737439</v>
      </c>
      <c r="Q60" s="43" t="n">
        <f aca="false">Q57+Q64*Q46*(1-Q52)-Q63</f>
        <v>0.175216475968431</v>
      </c>
      <c r="R60" s="43" t="n">
        <f aca="false">R57+R64*R46*(1-R52)-R63</f>
        <v>0.170589475532233</v>
      </c>
      <c r="S60" s="43" t="n">
        <f aca="false">S57+S64*S46*(1-S52)-S63</f>
        <v>0.165229148516808</v>
      </c>
      <c r="T60" s="43" t="n">
        <f aca="false">T57+T64*T46*(1-T52)-T63</f>
        <v>0.158946155022532</v>
      </c>
      <c r="U60" s="43" t="n">
        <f aca="false">U57+U64*U46*(1-U52)-U63</f>
        <v>0.151479835370052</v>
      </c>
      <c r="V60" s="43" t="n">
        <f aca="false">V57+V64*V46*(1-V52)-V63</f>
        <v>0.142461138556913</v>
      </c>
      <c r="W60" s="43" t="n">
        <f aca="false">W57+W64*W46*(1-W52)-W63</f>
        <v>0.131349744485582</v>
      </c>
      <c r="X60" s="43" t="n">
        <f aca="false">X57+X64*X46*(1-X52)-X63</f>
        <v>0.117321670990451</v>
      </c>
    </row>
    <row r="62" customFormat="false" ht="15" hidden="false" customHeight="true" outlineLevel="0" collapsed="false">
      <c r="B62" s="24" t="s">
        <v>37</v>
      </c>
      <c r="E62" s="25" t="n">
        <f aca="false">E34</f>
        <v>-135.6</v>
      </c>
      <c r="F62" s="25" t="n">
        <f aca="false">F34</f>
        <v>-113.1</v>
      </c>
      <c r="G62" s="25" t="n">
        <f aca="false">G34</f>
        <v>-168.9</v>
      </c>
      <c r="H62" s="25" t="n">
        <f aca="false">H34</f>
        <v>-514.3</v>
      </c>
      <c r="I62" s="25" t="n">
        <f aca="false">I34</f>
        <v>388.5</v>
      </c>
      <c r="J62" s="25" t="n">
        <f aca="false">J34</f>
        <v>1703.2</v>
      </c>
      <c r="K62" s="25" t="n">
        <f aca="false">K34</f>
        <v>-1785.9</v>
      </c>
      <c r="L62" s="25" t="n">
        <f aca="false">L34</f>
        <v>-1353.9</v>
      </c>
      <c r="M62" s="25" t="n">
        <f aca="false">M34</f>
        <v>-19</v>
      </c>
      <c r="N62" s="25" t="n">
        <f aca="false">N34</f>
        <v>-480.3</v>
      </c>
      <c r="O62" s="25" t="n">
        <f aca="false">O63*O39</f>
        <v>-436.711215255</v>
      </c>
      <c r="P62" s="25" t="n">
        <f aca="false">P63*P39</f>
        <v>-456.325510795713</v>
      </c>
      <c r="Q62" s="25" t="n">
        <f aca="false">Q63*Q39</f>
        <v>-470.085152809084</v>
      </c>
      <c r="R62" s="25" t="n">
        <f aca="false">R63*R39</f>
        <v>-476.452131081276</v>
      </c>
      <c r="S62" s="25" t="n">
        <f aca="false">S63*S39</f>
        <v>-473.719779212545</v>
      </c>
      <c r="T62" s="25" t="n">
        <f aca="false">T63*T39</f>
        <v>-459.965660627196</v>
      </c>
      <c r="U62" s="25" t="n">
        <f aca="false">U63*U39</f>
        <v>-432.959560837472</v>
      </c>
      <c r="V62" s="25" t="n">
        <f aca="false">V63*V39</f>
        <v>-389.991659745755</v>
      </c>
      <c r="W62" s="25" t="n">
        <f aca="false">W63*W39</f>
        <v>-327.555022374536</v>
      </c>
      <c r="X62" s="25" t="n">
        <f aca="false">X63*X39</f>
        <v>-240.749294573021</v>
      </c>
    </row>
    <row r="63" customFormat="false" ht="15" hidden="false" customHeight="true" outlineLevel="0" collapsed="false">
      <c r="B63" s="27" t="s">
        <v>31</v>
      </c>
      <c r="C63" s="30"/>
      <c r="E63" s="27" t="n">
        <f aca="false">E62/E20</f>
        <v>-0.0207472688882769</v>
      </c>
      <c r="F63" s="27" t="n">
        <f aca="false">F62/F20</f>
        <v>-0.0170131472065947</v>
      </c>
      <c r="G63" s="27" t="n">
        <f aca="false">G62/G20</f>
        <v>-0.0236190742553489</v>
      </c>
      <c r="H63" s="27" t="n">
        <f aca="false">H62/H20</f>
        <v>-0.0668147686231715</v>
      </c>
      <c r="I63" s="27" t="n">
        <f aca="false">I62/I20</f>
        <v>0.0457338607147902</v>
      </c>
      <c r="J63" s="27" t="n">
        <f aca="false">J62/J20</f>
        <v>1.04120308106125</v>
      </c>
      <c r="K63" s="27" t="n">
        <f aca="false">K62/K20</f>
        <v>-0.37199275135912</v>
      </c>
      <c r="L63" s="27" t="n">
        <f aca="false">L62/L20</f>
        <v>-0.125649639913876</v>
      </c>
      <c r="M63" s="27" t="n">
        <f aca="false">M62/M20</f>
        <v>-0.00141329088501763</v>
      </c>
      <c r="N63" s="27" t="n">
        <f aca="false">N62/N20</f>
        <v>-0.0344338100871061</v>
      </c>
      <c r="O63" s="38" t="n">
        <f aca="false">'Sources &amp; Checks'!$B$23</f>
        <v>-0.0287</v>
      </c>
      <c r="P63" s="43" t="n">
        <f aca="false">P64*P46*(1-P52)*'Sources &amp; Checks'!$B$23/('Sources &amp; Checks'!$B$22-'Sources &amp; Checks'!$B$21+'Sources &amp; Checks'!$B$23)</f>
        <v>-0.0277043374502885</v>
      </c>
      <c r="Q63" s="43" t="n">
        <f aca="false">Q64*Q46*(1-Q52)*'Sources &amp; Checks'!$B$23/('Sources &amp; Checks'!$B$22-'Sources &amp; Checks'!$B$21+'Sources &amp; Checks'!$B$23)</f>
        <v>-0.026572461977458</v>
      </c>
      <c r="R63" s="43" t="n">
        <f aca="false">R64*R46*(1-R52)*'Sources &amp; Checks'!$B$23/('Sources &amp; Checks'!$B$22-'Sources &amp; Checks'!$B$21+'Sources &amp; Checks'!$B$23)</f>
        <v>-0.0252743689909588</v>
      </c>
      <c r="S63" s="43" t="n">
        <f aca="false">S64*S46*(1-S52)*'Sources &amp; Checks'!$B$23/('Sources &amp; Checks'!$B$22-'Sources &amp; Checks'!$B$21+'Sources &amp; Checks'!$B$23)</f>
        <v>-0.0237705431322816</v>
      </c>
      <c r="T63" s="43" t="n">
        <f aca="false">T64*T46*(1-T52)*'Sources &amp; Checks'!$B$23/('Sources &amp; Checks'!$B$22-'Sources &amp; Checks'!$B$21+'Sources &amp; Checks'!$B$23)</f>
        <v>-0.0220078655830564</v>
      </c>
      <c r="U63" s="43" t="n">
        <f aca="false">U64*U46*(1-U52)*'Sources &amp; Checks'!$B$23/('Sources &amp; Checks'!$B$22-'Sources &amp; Checks'!$B$21+'Sources &amp; Checks'!$B$23)</f>
        <v>-0.0199132089454594</v>
      </c>
      <c r="V63" s="43" t="n">
        <f aca="false">V64*V46*(1-V52)*'Sources &amp; Checks'!$B$23/('Sources &amp; Checks'!$B$22-'Sources &amp; Checks'!$B$21+'Sources &amp; Checks'!$B$23)</f>
        <v>-0.0173830369167487</v>
      </c>
      <c r="W63" s="43" t="n">
        <f aca="false">W64*W46*(1-W52)*'Sources &amp; Checks'!$B$23/('Sources &amp; Checks'!$B$22-'Sources &amp; Checks'!$B$21+'Sources &amp; Checks'!$B$23)</f>
        <v>-0.0142657640932179</v>
      </c>
      <c r="X63" s="43" t="n">
        <f aca="false">X64*X46*(1-X52)*'Sources &amp; Checks'!$B$23/('Sources &amp; Checks'!$B$22-'Sources &amp; Checks'!$B$21+'Sources &amp; Checks'!$B$23)</f>
        <v>-0.0103302244127658</v>
      </c>
    </row>
    <row r="64" customFormat="false" ht="15" hidden="false" customHeight="true" outlineLevel="0" collapsed="false">
      <c r="B64" s="27" t="s">
        <v>45</v>
      </c>
      <c r="O64" s="43" t="n">
        <f aca="false">O40/O65</f>
        <v>0.485693168619998</v>
      </c>
      <c r="P64" s="43" t="n">
        <f aca="false">P40/P65</f>
        <v>0.468843464834435</v>
      </c>
      <c r="Q64" s="43" t="n">
        <f aca="false">Q40/Q65</f>
        <v>0.449688615186969</v>
      </c>
      <c r="R64" s="43" t="n">
        <f aca="false">R40/R65</f>
        <v>0.427720848783617</v>
      </c>
      <c r="S64" s="43" t="n">
        <f aca="false">S40/S65</f>
        <v>0.402271442987323</v>
      </c>
      <c r="T64" s="43" t="n">
        <f aca="false">T40/T65</f>
        <v>0.372441462355318</v>
      </c>
      <c r="U64" s="43" t="n">
        <f aca="false">U40/U65</f>
        <v>0.33699336411541</v>
      </c>
      <c r="V64" s="43" t="n">
        <f aca="false">V40/V65</f>
        <v>0.294174992346136</v>
      </c>
      <c r="W64" s="43" t="n">
        <f aca="false">W40/W65</f>
        <v>0.241421051052975</v>
      </c>
      <c r="X64" s="43" t="n">
        <f aca="false">X40/X65</f>
        <v>0.174819492250588</v>
      </c>
      <c r="Y64" s="43" t="n">
        <f aca="false">Y40/Y65</f>
        <v>0.174819492250588</v>
      </c>
    </row>
    <row r="65" customFormat="false" ht="15" hidden="false" customHeight="true" outlineLevel="0" collapsed="false">
      <c r="B65" s="27" t="s">
        <v>46</v>
      </c>
      <c r="O65" s="43" t="n">
        <f aca="false">O40/(('Sources &amp; Checks'!$B$22-'Sources &amp; Checks'!$B$21+'Sources &amp; Checks'!$B$23)/(O46*(1-O52)))</f>
        <v>0.187155195652174</v>
      </c>
      <c r="P65" s="43" t="n">
        <f aca="false">O65-($O$65-$D$16)/$D$18</f>
        <v>0.17589381713103</v>
      </c>
      <c r="Q65" s="43" t="n">
        <f aca="false">P65-($O$65-$D$16)/$D$18</f>
        <v>0.164632438609886</v>
      </c>
      <c r="R65" s="43" t="n">
        <f aca="false">Q65-($O$65-$D$16)/$D$18</f>
        <v>0.153371060088742</v>
      </c>
      <c r="S65" s="43" t="n">
        <f aca="false">R65-($O$65-$D$16)/$D$18</f>
        <v>0.142109681567598</v>
      </c>
      <c r="T65" s="43" t="n">
        <f aca="false">S65-($O$65-$D$16)/$D$18</f>
        <v>0.130848303046454</v>
      </c>
      <c r="U65" s="43" t="n">
        <f aca="false">T65-($O$65-$D$16)/$D$18</f>
        <v>0.11958692452531</v>
      </c>
      <c r="V65" s="43" t="n">
        <f aca="false">U65-($O$65-$D$16)/$D$18</f>
        <v>0.108325546004167</v>
      </c>
      <c r="W65" s="43" t="n">
        <f aca="false">V65-($O$65-$D$16)/$D$18</f>
        <v>0.0970641674830226</v>
      </c>
      <c r="X65" s="43" t="n">
        <f aca="false">W65-($O$65-$D$16)/$D$18</f>
        <v>0.0858027889618787</v>
      </c>
      <c r="Y65" s="43" t="n">
        <f aca="false">$D$16</f>
        <v>0.0858027889618787</v>
      </c>
    </row>
    <row r="66" customFormat="false" ht="15" hidden="false" customHeight="true" outlineLevel="0" collapsed="false">
      <c r="A66" s="39" t="s">
        <v>10</v>
      </c>
      <c r="B66" s="44" t="s">
        <v>47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 t="n">
        <f aca="false">O54+O56-O59-O62</f>
        <v>1185.9068039064</v>
      </c>
      <c r="P66" s="46" t="n">
        <f aca="false">P54+P56-P59-P62</f>
        <v>1325.76127312211</v>
      </c>
      <c r="Q66" s="46" t="n">
        <f aca="false">Q54+Q56-Q59-Q62</f>
        <v>1475.26166447663</v>
      </c>
      <c r="R66" s="46" t="n">
        <f aca="false">R54+R56-R59-R62</f>
        <v>1634.79272271694</v>
      </c>
      <c r="S66" s="46" t="n">
        <f aca="false">S54+S56-S59-S62</f>
        <v>1805.1040373839</v>
      </c>
      <c r="T66" s="46" t="n">
        <f aca="false">T54+T56-T59-T62</f>
        <v>1987.54763823084</v>
      </c>
      <c r="U66" s="46" t="n">
        <f aca="false">U54+U56-U59-U62</f>
        <v>2184.43827812809</v>
      </c>
      <c r="V66" s="46" t="n">
        <f aca="false">V54+V56-V59-V62</f>
        <v>2399.62030248464</v>
      </c>
      <c r="W66" s="46" t="n">
        <f aca="false">W54+W56-W59-W62</f>
        <v>2639.4037577334</v>
      </c>
      <c r="X66" s="46" t="n">
        <f aca="false">X54+X56-X59-X62</f>
        <v>2914.20465071588</v>
      </c>
      <c r="Y66" s="46" t="n">
        <f aca="false">Y54*(1-Y64)</f>
        <v>2957.91772047662</v>
      </c>
    </row>
    <row r="67" customFormat="false" ht="15" hidden="false" customHeight="true" outlineLevel="0" collapsed="false">
      <c r="B67" s="47" t="s">
        <v>48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8" t="n">
        <f aca="false">O66*$O$70/(1+$D$16)^O71</f>
        <v>82.1195793601576</v>
      </c>
      <c r="P67" s="48" t="n">
        <f aca="false">P66/(1+$D$16)^P71</f>
        <v>1265.04841606139</v>
      </c>
      <c r="Q67" s="48" t="n">
        <f aca="false">Q66/(1+$D$16)^Q71</f>
        <v>1296.4623909656</v>
      </c>
      <c r="R67" s="48" t="n">
        <f aca="false">R66/(1+$D$16)^R71</f>
        <v>1323.13028059206</v>
      </c>
      <c r="S67" s="48" t="n">
        <f aca="false">S66/(1+$D$16)^S71</f>
        <v>1345.52322218258</v>
      </c>
      <c r="T67" s="48" t="n">
        <f aca="false">T66/(1+$D$16)^T71</f>
        <v>1364.44349117996</v>
      </c>
      <c r="U67" s="48" t="n">
        <f aca="false">U66/(1+$D$16)^U71</f>
        <v>1381.10542902973</v>
      </c>
      <c r="V67" s="48" t="n">
        <f aca="false">V66/(1+$D$16)^V71</f>
        <v>1397.2645130318</v>
      </c>
      <c r="W67" s="48" t="n">
        <f aca="false">W66/(1+$D$16)^W71</f>
        <v>1415.43841874013</v>
      </c>
      <c r="X67" s="48" t="n">
        <f aca="false">X66/(1+$D$16)^X71</f>
        <v>1439.30966851738</v>
      </c>
    </row>
    <row r="70" customFormat="false" ht="15" hidden="false" customHeight="true" outlineLevel="0" collapsed="false">
      <c r="A70" s="13" t="s">
        <v>10</v>
      </c>
      <c r="B70" s="49" t="s">
        <v>49</v>
      </c>
      <c r="O70" s="50" t="n">
        <f aca="false">YEARFRAC(D6,D7)</f>
        <v>0.0694444444444445</v>
      </c>
    </row>
    <row r="71" customFormat="false" ht="15" hidden="false" customHeight="true" outlineLevel="0" collapsed="false">
      <c r="B71" s="51" t="s">
        <v>50</v>
      </c>
      <c r="O71" s="51" t="n">
        <f aca="false">O70/2</f>
        <v>0.0347222222222222</v>
      </c>
      <c r="P71" s="51" t="n">
        <f aca="false">O70+0.5</f>
        <v>0.569444444444444</v>
      </c>
      <c r="Q71" s="51" t="n">
        <f aca="false">P71+1</f>
        <v>1.56944444444444</v>
      </c>
      <c r="R71" s="51" t="n">
        <f aca="false">Q71+1</f>
        <v>2.56944444444444</v>
      </c>
      <c r="S71" s="51" t="n">
        <f aca="false">R71+1</f>
        <v>3.56944444444444</v>
      </c>
      <c r="T71" s="51" t="n">
        <f aca="false">S71+1</f>
        <v>4.56944444444445</v>
      </c>
      <c r="U71" s="51" t="n">
        <f aca="false">T71+1</f>
        <v>5.56944444444445</v>
      </c>
      <c r="V71" s="51" t="n">
        <f aca="false">U71+1</f>
        <v>6.56944444444445</v>
      </c>
      <c r="W71" s="51" t="n">
        <f aca="false">V71+1</f>
        <v>7.56944444444445</v>
      </c>
      <c r="X71" s="51" t="n">
        <f aca="false">W71+1</f>
        <v>8.56944444444445</v>
      </c>
    </row>
    <row r="73" customFormat="false" ht="15" hidden="false" customHeight="true" outlineLevel="0" collapsed="false">
      <c r="B73" s="25" t="s">
        <v>51</v>
      </c>
      <c r="S73" s="52"/>
      <c r="T73" s="52"/>
      <c r="U73" s="52"/>
      <c r="V73" s="52"/>
      <c r="W73" s="52"/>
      <c r="X73" s="25" t="n">
        <f aca="false">Y66/(D16-D17)</f>
        <v>41776.8531981022</v>
      </c>
    </row>
    <row r="74" customFormat="false" ht="15" hidden="false" customHeight="true" outlineLevel="0" collapsed="false">
      <c r="B74" s="25" t="s">
        <v>52</v>
      </c>
      <c r="S74" s="52"/>
      <c r="T74" s="52"/>
      <c r="U74" s="52"/>
      <c r="V74" s="52"/>
      <c r="W74" s="52"/>
      <c r="X74" s="25" t="n">
        <f aca="false">X73/(1+D16)^X71</f>
        <v>20633.3583036074</v>
      </c>
    </row>
    <row r="75" customFormat="false" ht="15" hidden="false" customHeight="true" outlineLevel="0" collapsed="false">
      <c r="B75" s="25" t="s">
        <v>53</v>
      </c>
      <c r="S75" s="25" t="n">
        <f aca="false">SUM(O67:X67)+X74</f>
        <v>32943.2037132682</v>
      </c>
      <c r="T75" s="52"/>
      <c r="U75" s="52"/>
      <c r="V75" s="52"/>
      <c r="W75" s="52"/>
      <c r="X75" s="52"/>
    </row>
    <row r="76" customFormat="false" ht="15" hidden="false" customHeight="true" outlineLevel="0" collapsed="false">
      <c r="B76" s="25" t="s">
        <v>54</v>
      </c>
      <c r="S76" s="25" t="n">
        <f aca="false">'Sources &amp; Checks'!$B$6</f>
        <v>2400</v>
      </c>
      <c r="T76" s="52"/>
      <c r="U76" s="52"/>
      <c r="V76" s="52"/>
      <c r="W76" s="52"/>
      <c r="X76" s="52"/>
    </row>
    <row r="77" customFormat="false" ht="15" hidden="false" customHeight="true" outlineLevel="0" collapsed="false">
      <c r="B77" s="25" t="s">
        <v>55</v>
      </c>
      <c r="S77" s="25" t="n">
        <f aca="false">'Sources &amp; Checks'!$B$7+'Sources &amp; Checks'!$B$24</f>
        <v>1611.2</v>
      </c>
    </row>
    <row r="78" customFormat="false" ht="15" hidden="false" customHeight="true" outlineLevel="0" collapsed="false">
      <c r="A78" s="39" t="s">
        <v>10</v>
      </c>
      <c r="B78" s="53" t="s">
        <v>56</v>
      </c>
      <c r="S78" s="25" t="n">
        <f aca="false">S75+S76-S77</f>
        <v>33732.0037132682</v>
      </c>
      <c r="T78" s="52"/>
      <c r="U78" s="52"/>
      <c r="V78" s="52"/>
      <c r="W78" s="52"/>
      <c r="X78" s="52"/>
    </row>
    <row r="80" customFormat="false" ht="15" hidden="false" customHeight="true" outlineLevel="0" collapsed="false">
      <c r="B80" s="54" t="s">
        <v>57</v>
      </c>
      <c r="S80" s="54" t="n">
        <f aca="false">'Sources &amp; Checks'!$B$9</f>
        <v>1066.8</v>
      </c>
    </row>
    <row r="81" customFormat="false" ht="15" hidden="false" customHeight="true" outlineLevel="0" collapsed="false">
      <c r="A81" s="55" t="s">
        <v>10</v>
      </c>
      <c r="B81" s="56" t="s">
        <v>58</v>
      </c>
      <c r="S81" s="57" t="n">
        <f aca="false">S78/S80</f>
        <v>31.6198010060632</v>
      </c>
      <c r="T81" s="58"/>
      <c r="U81" s="58"/>
      <c r="V81" s="58"/>
      <c r="W81" s="58"/>
      <c r="X81" s="58"/>
    </row>
    <row r="85" customFormat="false" ht="15" hidden="false" customHeight="true" outlineLevel="0" collapsed="false">
      <c r="A85" s="59"/>
      <c r="B85" s="60" t="s">
        <v>59</v>
      </c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customFormat="false" ht="15" hidden="false" customHeight="true" outlineLevel="0" collapsed="false">
      <c r="B86" s="62" t="s">
        <v>60</v>
      </c>
      <c r="D86" s="62" t="s">
        <v>61</v>
      </c>
      <c r="F86" s="62" t="s">
        <v>62</v>
      </c>
      <c r="H86" s="62" t="s">
        <v>21</v>
      </c>
      <c r="J86" s="62" t="s">
        <v>23</v>
      </c>
      <c r="L86" s="62" t="s">
        <v>63</v>
      </c>
      <c r="N86" s="62" t="s">
        <v>64</v>
      </c>
    </row>
    <row r="87" customFormat="false" ht="15" hidden="false" customHeight="true" outlineLevel="0" collapsed="false">
      <c r="B87" s="63" t="s">
        <v>13</v>
      </c>
      <c r="D87" s="64" t="n">
        <f aca="false">$H$11</f>
        <v>0.07</v>
      </c>
      <c r="F87" s="65" t="n">
        <f aca="false">$H$13</f>
        <v>0.16</v>
      </c>
      <c r="H87" s="66" t="n">
        <f aca="false">H16</f>
        <v>0.092</v>
      </c>
      <c r="J87" s="65" t="n">
        <f aca="false">$H$17</f>
        <v>0.01</v>
      </c>
      <c r="L87" s="67" t="n">
        <f aca="false">Calc!$C$29</f>
        <v>24.7965963086233</v>
      </c>
      <c r="N87" s="65" t="n">
        <f aca="false">L87/'Sources &amp; Checks'!$B$5-1</f>
        <v>-0.0532036537371797</v>
      </c>
    </row>
    <row r="88" customFormat="false" ht="15" hidden="false" customHeight="true" outlineLevel="0" collapsed="false">
      <c r="B88" s="68" t="s">
        <v>65</v>
      </c>
      <c r="D88" s="69" t="n">
        <f aca="false">$L$11</f>
        <v>0.0909</v>
      </c>
      <c r="F88" s="70" t="n">
        <f aca="false">$L$13</f>
        <v>0.1722</v>
      </c>
      <c r="H88" s="71" t="n">
        <f aca="false">WACC!F22</f>
        <v>0.0858027889618787</v>
      </c>
      <c r="J88" s="70" t="n">
        <f aca="false">$L$17</f>
        <v>0.015</v>
      </c>
      <c r="L88" s="72" t="n">
        <f aca="false">Calc!$C$48</f>
        <v>31.6198010060632</v>
      </c>
      <c r="N88" s="70" t="n">
        <f aca="false">L88/'Sources &amp; Checks'!$B$5-1</f>
        <v>0.207323444294127</v>
      </c>
    </row>
    <row r="89" customFormat="false" ht="15" hidden="false" customHeight="true" outlineLevel="0" collapsed="false">
      <c r="B89" s="63" t="s">
        <v>15</v>
      </c>
      <c r="D89" s="64" t="n">
        <f aca="false">$P$11</f>
        <v>0.11</v>
      </c>
      <c r="F89" s="65" t="n">
        <f aca="false">$P$13</f>
        <v>0.185</v>
      </c>
      <c r="H89" s="66" t="n">
        <f aca="false">P16</f>
        <v>0.082</v>
      </c>
      <c r="J89" s="65" t="n">
        <f aca="false">$P$17</f>
        <v>0.02</v>
      </c>
      <c r="L89" s="67" t="n">
        <f aca="false">Calc!$C$67</f>
        <v>39.2291143805989</v>
      </c>
      <c r="N89" s="65" t="n">
        <f aca="false">L89/'Sources &amp; Checks'!$B$5-1</f>
        <v>0.497866146643714</v>
      </c>
    </row>
    <row r="90" customFormat="false" ht="15" hidden="false" customHeight="true" outlineLevel="0" collapsed="false">
      <c r="B90" s="73" t="s">
        <v>66</v>
      </c>
    </row>
    <row r="91" customFormat="false" ht="15" hidden="false" customHeight="true" outlineLevel="0" collapsed="false">
      <c r="A91" s="59" t="s">
        <v>10</v>
      </c>
      <c r="B91" s="74" t="s">
        <v>67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customFormat="false" ht="15" hidden="false" customHeight="true" outlineLevel="0" collapsed="false">
      <c r="B92" s="62" t="s">
        <v>68</v>
      </c>
      <c r="D92" s="75" t="n">
        <v>0.005</v>
      </c>
      <c r="F92" s="75" t="n">
        <v>0.01</v>
      </c>
      <c r="H92" s="75" t="n">
        <v>0.015</v>
      </c>
      <c r="J92" s="75" t="n">
        <v>0.02</v>
      </c>
      <c r="L92" s="75" t="n">
        <v>0.025</v>
      </c>
    </row>
    <row r="93" customFormat="false" ht="15" hidden="false" customHeight="true" outlineLevel="0" collapsed="false">
      <c r="B93" s="76" t="n">
        <v>0.075</v>
      </c>
      <c r="D93" s="77" t="n">
        <f aca="false">(SUMPRODUCT(Calc!$F$81:$O$81/(1+$B93)^$O$71:$X$71)-(1-$O$70)*Calc!$F$81/(1+$B93)^$O$71+(Calc!$O$77*(1+D$92)*(1-D$92/$B93)/($B93-D$92))/(1+$B93)^$X$71+'Sources &amp; Checks'!$B$6-'Sources &amp; Checks'!$B$7-'Sources &amp; Checks'!$B$24)/'Sources &amp; Checks'!$B$9</f>
        <v>36.1945918474672</v>
      </c>
      <c r="F93" s="77" t="n">
        <f aca="false">(SUMPRODUCT(Calc!$F$100:$O$100/(1+$B93)^$O$71:$X$71)-(1-$O$70)*Calc!$F$100/(1+$B93)^$O$71+(Calc!$O$96*(1+F$92)*(1-F$92/$B93)/($B93-F$92))/(1+$B93)^$X$71+'Sources &amp; Checks'!$B$6-'Sources &amp; Checks'!$B$7-'Sources &amp; Checks'!$B$24)/'Sources &amp; Checks'!$B$9</f>
        <v>36.5627735935774</v>
      </c>
      <c r="H93" s="77" t="n">
        <f aca="false">(SUMPRODUCT(Calc!$F$119:$O$119/(1+$B93)^$O$71:$X$71)-(1-$O$70)*Calc!$F$119/(1+$B93)^$O$71+(Calc!$O$115*(1+H$92)*(1-H$92/$B93)/($B93-H$92))/(1+$B93)^$X$71+'Sources &amp; Checks'!$B$6-'Sources &amp; Checks'!$B$7-'Sources &amp; Checks'!$B$24)/'Sources &amp; Checks'!$B$9</f>
        <v>36.9372630299162</v>
      </c>
      <c r="J93" s="77" t="n">
        <f aca="false">(SUMPRODUCT(Calc!$F$138:$O$138/(1+$B93)^$O$71:$X$71)-(1-$O$70)*Calc!$F$138/(1+$B93)^$O$71+(Calc!$O$134*(1+J$92)*(1-J$92/$B93)/($B93-J$92))/(1+$B93)^$X$71+'Sources &amp; Checks'!$B$6-'Sources &amp; Checks'!$B$7-'Sources &amp; Checks'!$B$24)/'Sources &amp; Checks'!$B$9</f>
        <v>37.3181684611653</v>
      </c>
      <c r="L93" s="77" t="n">
        <f aca="false">(SUMPRODUCT(Calc!$F$157:$O$157/(1+$B93)^$O$71:$X$71)-(1-$O$70)*Calc!$F$157/(1+$B93)^$O$71+(Calc!$O$153*(1+L$92)*(1-L$92/$B93)/($B93-L$92))/(1+$B93)^$X$71+'Sources &amp; Checks'!$B$6-'Sources &amp; Checks'!$B$7-'Sources &amp; Checks'!$B$24)/'Sources &amp; Checks'!$B$9</f>
        <v>37.7055998530035</v>
      </c>
    </row>
    <row r="94" customFormat="false" ht="15" hidden="false" customHeight="true" outlineLevel="0" collapsed="false">
      <c r="B94" s="76" t="n">
        <v>0.08</v>
      </c>
      <c r="D94" s="77" t="n">
        <f aca="false">(SUMPRODUCT(Calc!$F$81:$O$81/(1+$B94)^$O$71:$X$71)-(1-$O$70)*Calc!$F$81/(1+$B94)^$O$71+(Calc!$O$77*(1+D$92)*(1-D$92/$B94)/($B94-D$92))/(1+$B94)^$X$71+'Sources &amp; Checks'!$B$6-'Sources &amp; Checks'!$B$7-'Sources &amp; Checks'!$B$24)/'Sources &amp; Checks'!$B$9</f>
        <v>33.6647173200633</v>
      </c>
      <c r="F94" s="77" t="n">
        <f aca="false">(SUMPRODUCT(Calc!$F$100:$O$100/(1+$B94)^$O$71:$X$71)-(1-$O$70)*Calc!$F$100/(1+$B94)^$O$71+(Calc!$O$96*(1+F$92)*(1-F$92/$B94)/($B94-F$92))/(1+$B94)^$X$71+'Sources &amp; Checks'!$B$6-'Sources &amp; Checks'!$B$7-'Sources &amp; Checks'!$B$24)/'Sources &amp; Checks'!$B$9</f>
        <v>33.9744522914576</v>
      </c>
      <c r="H94" s="77" t="n">
        <f aca="false">(SUMPRODUCT(Calc!$F$119:$O$119/(1+$B94)^$O$71:$X$71)-(1-$O$70)*Calc!$F$119/(1+$B94)^$O$71+(Calc!$O$115*(1+H$92)*(1-H$92/$B94)/($B94-H$92))/(1+$B94)^$X$71+'Sources &amp; Checks'!$B$6-'Sources &amp; Checks'!$B$7-'Sources &amp; Checks'!$B$24)/'Sources &amp; Checks'!$B$9</f>
        <v>34.289138164529</v>
      </c>
      <c r="J94" s="77" t="n">
        <f aca="false">(SUMPRODUCT(Calc!$F$138:$O$138/(1+$B94)^$O$71:$X$71)-(1-$O$70)*Calc!$F$138/(1+$B94)^$O$71+(Calc!$O$134*(1+J$92)*(1-J$92/$B94)/($B94-J$92))/(1+$B94)^$X$71+'Sources &amp; Checks'!$B$6-'Sources &amp; Checks'!$B$7-'Sources &amp; Checks'!$B$24)/'Sources &amp; Checks'!$B$9</f>
        <v>34.608855007657</v>
      </c>
      <c r="L94" s="77" t="n">
        <f aca="false">(SUMPRODUCT(Calc!$F$157:$O$157/(1+$B94)^$O$71:$X$71)-(1-$O$70)*Calc!$F$157/(1+$B94)^$O$71+(Calc!$O$153*(1+L$92)*(1-L$92/$B94)/($B94-L$92))/(1+$B94)^$X$71+'Sources &amp; Checks'!$B$6-'Sources &amp; Checks'!$B$7-'Sources &amp; Checks'!$B$24)/'Sources &amp; Checks'!$B$9</f>
        <v>34.9336840467851</v>
      </c>
    </row>
    <row r="95" customFormat="false" ht="15" hidden="false" customHeight="true" outlineLevel="0" collapsed="false">
      <c r="B95" s="76" t="n">
        <v>0.085</v>
      </c>
      <c r="D95" s="77" t="n">
        <f aca="false">(SUMPRODUCT(Calc!$F$81:$O$81/(1+$B95)^$O$71:$X$71)-(1-$O$70)*Calc!$F$81/(1+$B95)^$O$71+(Calc!$O$77*(1+D$92)*(1-D$92/$B95)/($B95-D$92))/(1+$B95)^$X$71+'Sources &amp; Checks'!$B$6-'Sources &amp; Checks'!$B$7-'Sources &amp; Checks'!$B$24)/'Sources &amp; Checks'!$B$9</f>
        <v>31.4427878941897</v>
      </c>
      <c r="F95" s="77" t="n">
        <f aca="false">(SUMPRODUCT(Calc!$F$100:$O$100/(1+$B95)^$O$71:$X$71)-(1-$O$70)*Calc!$F$100/(1+$B95)^$O$71+(Calc!$O$96*(1+F$92)*(1-F$92/$B95)/($B95-F$92))/(1+$B95)^$X$71+'Sources &amp; Checks'!$B$6-'Sources &amp; Checks'!$B$7-'Sources &amp; Checks'!$B$24)/'Sources &amp; Checks'!$B$9</f>
        <v>31.7026393213261</v>
      </c>
      <c r="H95" s="77" t="n">
        <f aca="false">(SUMPRODUCT(Calc!$F$119:$O$119/(1+$B95)^$O$71:$X$71)-(1-$O$70)*Calc!$F$119/(1+$B95)^$O$71+(Calc!$O$115*(1+H$92)*(1-H$92/$B95)/($B95-H$92))/(1+$B95)^$X$71+'Sources &amp; Checks'!$B$6-'Sources &amp; Checks'!$B$7-'Sources &amp; Checks'!$B$24)/'Sources &amp; Checks'!$B$9</f>
        <v>31.9662989725854</v>
      </c>
      <c r="J95" s="77" t="n">
        <f aca="false">(SUMPRODUCT(Calc!$F$138:$O$138/(1+$B95)^$O$71:$X$71)-(1-$O$70)*Calc!$F$138/(1+$B95)^$O$71+(Calc!$O$134*(1+J$92)*(1-J$92/$B95)/($B95-J$92))/(1+$B95)^$X$71+'Sources &amp; Checks'!$B$6-'Sources &amp; Checks'!$B$7-'Sources &amp; Checks'!$B$24)/'Sources &amp; Checks'!$B$9</f>
        <v>32.2338233203974</v>
      </c>
      <c r="L95" s="77" t="n">
        <f aca="false">(SUMPRODUCT(Calc!$F$157:$O$157/(1+$B95)^$O$71:$X$71)-(1-$O$70)*Calc!$F$157/(1+$B95)^$O$71+(Calc!$O$153*(1+L$92)*(1-L$92/$B95)/($B95-L$92))/(1+$B95)^$X$71+'Sources &amp; Checks'!$B$6-'Sources &amp; Checks'!$B$7-'Sources &amp; Checks'!$B$24)/'Sources &amp; Checks'!$B$9</f>
        <v>32.5052695762665</v>
      </c>
    </row>
    <row r="96" customFormat="false" ht="15" hidden="false" customHeight="true" outlineLevel="0" collapsed="false">
      <c r="B96" s="78" t="n">
        <f aca="false">WACC!F22</f>
        <v>0.0858027889618787</v>
      </c>
      <c r="D96" s="77" t="n">
        <f aca="false">(SUMPRODUCT(Calc!$F$81:$O$81/(1+$B96)^$O$71:$X$71)-(1-$O$70)*Calc!$F$81/(1+$B96)^$O$71+(Calc!$O$77*(1+D$92)*(1-D$92/$B96)/($B96-D$92))/(1+$B96)^$X$71+'Sources &amp; Checks'!$B$6-'Sources &amp; Checks'!$B$7-'Sources &amp; Checks'!$B$24)/'Sources &amp; Checks'!$B$9</f>
        <v>31.1110914312575</v>
      </c>
      <c r="F96" s="77" t="n">
        <f aca="false">(SUMPRODUCT(Calc!$F$100:$O$100/(1+$B96)^$O$71:$X$71)-(1-$O$70)*Calc!$F$100/(1+$B96)^$O$71+(Calc!$O$96*(1+F$92)*(1-F$92/$B96)/($B96-F$92))/(1+$B96)^$X$71+'Sources &amp; Checks'!$B$6-'Sources &amp; Checks'!$B$7-'Sources &amp; Checks'!$B$24)/'Sources &amp; Checks'!$B$9</f>
        <v>31.363625223711</v>
      </c>
      <c r="H96" s="77" t="n">
        <f aca="false">(SUMPRODUCT(Calc!$F$119:$O$119/(1+$B96)^$O$71:$X$71)-(1-$O$70)*Calc!$F$119/(1+$B96)^$O$71+(Calc!$O$115*(1+H$92)*(1-H$92/$B96)/($B96-H$92))/(1+$B96)^$X$71+'Sources &amp; Checks'!$B$6-'Sources &amp; Checks'!$B$7-'Sources &amp; Checks'!$B$24)/'Sources &amp; Checks'!$B$9</f>
        <v>31.6198010060632</v>
      </c>
      <c r="J96" s="77" t="n">
        <f aca="false">(SUMPRODUCT(Calc!$F$138:$O$138/(1+$B96)^$O$71:$X$71)-(1-$O$70)*Calc!$F$138/(1+$B96)^$O$71+(Calc!$O$134*(1+J$92)*(1-J$92/$B96)/($B96-J$92))/(1+$B96)^$X$71+'Sources &amp; Checks'!$B$6-'Sources &amp; Checks'!$B$7-'Sources &amp; Checks'!$B$24)/'Sources &amp; Checks'!$B$9</f>
        <v>31.8796718349254</v>
      </c>
      <c r="L96" s="77" t="n">
        <f aca="false">(SUMPRODUCT(Calc!$F$157:$O$157/(1+$B96)^$O$71:$X$71)-(1-$O$70)*Calc!$F$157/(1+$B96)^$O$71+(Calc!$O$153*(1+L$92)*(1-L$92/$B96)/($B96-L$92))/(1+$B96)^$X$71+'Sources &amp; Checks'!$B$6-'Sources &amp; Checks'!$B$7-'Sources &amp; Checks'!$B$24)/'Sources &amp; Checks'!$B$9</f>
        <v>32.1432914456048</v>
      </c>
    </row>
    <row r="97" customFormat="false" ht="15" hidden="false" customHeight="true" outlineLevel="0" collapsed="false">
      <c r="B97" s="76" t="n">
        <v>0.09</v>
      </c>
      <c r="D97" s="77" t="n">
        <f aca="false">(SUMPRODUCT(Calc!$F$81:$O$81/(1+$B97)^$O$71:$X$71)-(1-$O$70)*Calc!$F$81/(1+$B97)^$O$71+(Calc!$O$77*(1+D$92)*(1-D$92/$B97)/($B97-D$92))/(1+$B97)^$X$71+'Sources &amp; Checks'!$B$6-'Sources &amp; Checks'!$B$7-'Sources &amp; Checks'!$B$24)/'Sources &amp; Checks'!$B$9</f>
        <v>29.4771012647604</v>
      </c>
      <c r="F97" s="77" t="n">
        <f aca="false">(SUMPRODUCT(Calc!$F$100:$O$100/(1+$B97)^$O$71:$X$71)-(1-$O$70)*Calc!$F$100/(1+$B97)^$O$71+(Calc!$O$96*(1+F$92)*(1-F$92/$B97)/($B97-F$92))/(1+$B97)^$X$71+'Sources &amp; Checks'!$B$6-'Sources &amp; Checks'!$B$7-'Sources &amp; Checks'!$B$24)/'Sources &amp; Checks'!$B$9</f>
        <v>29.6941234750103</v>
      </c>
      <c r="H97" s="77" t="n">
        <f aca="false">(SUMPRODUCT(Calc!$F$119:$O$119/(1+$B97)^$O$71:$X$71)-(1-$O$70)*Calc!$F$119/(1+$B97)^$O$71+(Calc!$O$115*(1+H$92)*(1-H$92/$B97)/($B97-H$92))/(1+$B97)^$X$71+'Sources &amp; Checks'!$B$6-'Sources &amp; Checks'!$B$7-'Sources &amp; Checks'!$B$24)/'Sources &amp; Checks'!$B$9</f>
        <v>29.9139867768195</v>
      </c>
      <c r="J97" s="77" t="n">
        <f aca="false">(SUMPRODUCT(Calc!$F$138:$O$138/(1+$B97)^$O$71:$X$71)-(1-$O$70)*Calc!$F$138/(1+$B97)^$O$71+(Calc!$O$134*(1+J$92)*(1-J$92/$B97)/($B97-J$92))/(1+$B97)^$X$71+'Sources &amp; Checks'!$B$6-'Sources &amp; Checks'!$B$7-'Sources &amp; Checks'!$B$24)/'Sources &amp; Checks'!$B$9</f>
        <v>30.1367278405758</v>
      </c>
      <c r="L97" s="77" t="n">
        <f aca="false">(SUMPRODUCT(Calc!$F$157:$O$157/(1+$B97)^$O$71:$X$71)-(1-$O$70)*Calc!$F$157/(1+$B97)^$O$71+(Calc!$O$153*(1+L$92)*(1-L$92/$B97)/($B97-L$92))/(1+$B97)^$X$71+'Sources &amp; Checks'!$B$6-'Sources &amp; Checks'!$B$7-'Sources &amp; Checks'!$B$24)/'Sources &amp; Checks'!$B$9</f>
        <v>30.3623837265723</v>
      </c>
    </row>
    <row r="98" customFormat="false" ht="15" hidden="false" customHeight="true" outlineLevel="0" collapsed="false">
      <c r="B98" s="76" t="n">
        <v>0.095</v>
      </c>
      <c r="D98" s="77" t="n">
        <f aca="false">(SUMPRODUCT(Calc!$F$81:$O$81/(1+$B98)^$O$71:$X$71)-(1-$O$70)*Calc!$F$81/(1+$B98)^$O$71+(Calc!$O$77*(1+D$92)*(1-D$92/$B98)/($B98-D$92))/(1+$B98)^$X$71+'Sources &amp; Checks'!$B$6-'Sources &amp; Checks'!$B$7-'Sources &amp; Checks'!$B$24)/'Sources &amp; Checks'!$B$9</f>
        <v>27.7268557842724</v>
      </c>
      <c r="F98" s="77" t="n">
        <f aca="false">(SUMPRODUCT(Calc!$F$100:$O$100/(1+$B98)^$O$71:$X$71)-(1-$O$70)*Calc!$F$100/(1+$B98)^$O$71+(Calc!$O$96*(1+F$92)*(1-F$92/$B98)/($B98-F$92))/(1+$B98)^$X$71+'Sources &amp; Checks'!$B$6-'Sources &amp; Checks'!$B$7-'Sources &amp; Checks'!$B$24)/'Sources &amp; Checks'!$B$9</f>
        <v>27.9069160597402</v>
      </c>
      <c r="H98" s="77" t="n">
        <f aca="false">(SUMPRODUCT(Calc!$F$119:$O$119/(1+$B98)^$O$71:$X$71)-(1-$O$70)*Calc!$F$119/(1+$B98)^$O$71+(Calc!$O$115*(1+H$92)*(1-H$92/$B98)/($B98-H$92))/(1+$B98)^$X$71+'Sources &amp; Checks'!$B$6-'Sources &amp; Checks'!$B$7-'Sources &amp; Checks'!$B$24)/'Sources &amp; Checks'!$B$9</f>
        <v>28.0889955485976</v>
      </c>
      <c r="J98" s="77" t="n">
        <f aca="false">(SUMPRODUCT(Calc!$F$138:$O$138/(1+$B98)^$O$71:$X$71)-(1-$O$70)*Calc!$F$138/(1+$B98)^$O$71+(Calc!$O$134*(1+J$92)*(1-J$92/$B98)/($B98-J$92))/(1+$B98)^$X$71+'Sources &amp; Checks'!$B$6-'Sources &amp; Checks'!$B$7-'Sources &amp; Checks'!$B$24)/'Sources &amp; Checks'!$B$9</f>
        <v>28.2731142489404</v>
      </c>
      <c r="L98" s="77" t="n">
        <f aca="false">(SUMPRODUCT(Calc!$F$157:$O$157/(1+$B98)^$O$71:$X$71)-(1-$O$70)*Calc!$F$157/(1+$B98)^$O$71+(Calc!$O$153*(1+L$92)*(1-L$92/$B98)/($B98-L$92))/(1+$B98)^$X$71+'Sources &amp; Checks'!$B$6-'Sources &amp; Checks'!$B$7-'Sources &amp; Checks'!$B$24)/'Sources &amp; Checks'!$B$9</f>
        <v>28.4592922566704</v>
      </c>
    </row>
    <row r="99" customFormat="false" ht="15" hidden="false" customHeight="true" outlineLevel="0" collapsed="false">
      <c r="B99" s="76" t="n">
        <v>0.1</v>
      </c>
      <c r="D99" s="77" t="n">
        <f aca="false">(SUMPRODUCT(Calc!$F$81:$O$81/(1+$B99)^$O$71:$X$71)-(1-$O$70)*Calc!$F$81/(1+$B99)^$O$71+(Calc!$O$77*(1+D$92)*(1-D$92/$B99)/($B99-D$92))/(1+$B99)^$X$71+'Sources &amp; Checks'!$B$6-'Sources &amp; Checks'!$B$7-'Sources &amp; Checks'!$B$24)/'Sources &amp; Checks'!$B$9</f>
        <v>26.1594245421226</v>
      </c>
      <c r="F99" s="77" t="n">
        <f aca="false">(SUMPRODUCT(Calc!$F$100:$O$100/(1+$B99)^$O$71:$X$71)-(1-$O$70)*Calc!$F$100/(1+$B99)^$O$71+(Calc!$O$96*(1+F$92)*(1-F$92/$B99)/($B99-F$92))/(1+$B99)^$X$71+'Sources &amp; Checks'!$B$6-'Sources &amp; Checks'!$B$7-'Sources &amp; Checks'!$B$24)/'Sources &amp; Checks'!$B$9</f>
        <v>26.3074442829021</v>
      </c>
      <c r="H99" s="77" t="n">
        <f aca="false">(SUMPRODUCT(Calc!$F$119:$O$119/(1+$B99)^$O$71:$X$71)-(1-$O$70)*Calc!$F$119/(1+$B99)^$O$71+(Calc!$O$115*(1+H$92)*(1-H$92/$B99)/($B99-H$92))/(1+$B99)^$X$71+'Sources &amp; Checks'!$B$6-'Sources &amp; Checks'!$B$7-'Sources &amp; Checks'!$B$24)/'Sources &amp; Checks'!$B$9</f>
        <v>26.4567825203499</v>
      </c>
      <c r="J99" s="77" t="n">
        <f aca="false">(SUMPRODUCT(Calc!$F$138:$O$138/(1+$B99)^$O$71:$X$71)-(1-$O$70)*Calc!$F$138/(1+$B99)^$O$71+(Calc!$O$134*(1+J$92)*(1-J$92/$B99)/($B99-J$92))/(1+$B99)^$X$71+'Sources &amp; Checks'!$B$6-'Sources &amp; Checks'!$B$7-'Sources &amp; Checks'!$B$24)/'Sources &amp; Checks'!$B$9</f>
        <v>26.6074451823407</v>
      </c>
      <c r="L99" s="77" t="n">
        <f aca="false">(SUMPRODUCT(Calc!$F$157:$O$157/(1+$B99)^$O$71:$X$71)-(1-$O$70)*Calc!$F$157/(1+$B99)^$O$71+(Calc!$O$153*(1+L$92)*(1-L$92/$B99)/($B99-L$92))/(1+$B99)^$X$71+'Sources &amp; Checks'!$B$6-'Sources &amp; Checks'!$B$7-'Sources &amp; Checks'!$B$24)/'Sources &amp; Checks'!$B$9</f>
        <v>26.759438049799</v>
      </c>
    </row>
    <row r="101" customFormat="false" ht="15" hidden="false" customHeight="true" outlineLevel="0" collapsed="false">
      <c r="B101" s="79" t="str">
        <f aca="false">"⬛ = base case (WACC "&amp;TEXT(WACC!$F$22,"0.00%")&amp;", TGR "&amp;TEXT(DCF!$L$17,"0.0%")&amp;"). Each TGR column uses its own growth path, fading to that rate by FY35. The WACC rows change discounting and terminal value only. Current price: €"&amp;TEXT('Sources &amp; Checks'!$B$5,"0.00")&amp;"."</f>
        <v>⬛ = base case (WACC 8.58%, TGR 1.5%). Each TGR column uses its own growth path, fading to that rate by FY35. The WACC rows change discounting and terminal value only. Current price: €26.19.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30"/>
    <col collapsed="false" customWidth="true" hidden="false" outlineLevel="0" max="4" min="4" style="1" width="130"/>
  </cols>
  <sheetData>
    <row r="1" customFormat="false" ht="15" hidden="false" customHeight="true" outlineLevel="0" collapsed="false">
      <c r="B1" s="80" t="s">
        <v>69</v>
      </c>
    </row>
    <row r="3" customFormat="false" ht="15" hidden="false" customHeight="true" outlineLevel="0" collapsed="false">
      <c r="B3" s="81" t="s">
        <v>70</v>
      </c>
      <c r="C3" s="81"/>
      <c r="D3" s="81"/>
    </row>
    <row r="4" customFormat="false" ht="15" hidden="false" customHeight="true" outlineLevel="0" collapsed="false">
      <c r="B4" s="82" t="s">
        <v>71</v>
      </c>
      <c r="C4" s="83" t="s">
        <v>72</v>
      </c>
      <c r="D4" s="83" t="s">
        <v>73</v>
      </c>
    </row>
    <row r="5" customFormat="false" ht="15" hidden="false" customHeight="true" outlineLevel="0" collapsed="false">
      <c r="B5" s="82" t="s">
        <v>74</v>
      </c>
      <c r="C5" s="83" t="s">
        <v>75</v>
      </c>
      <c r="D5" s="83" t="s">
        <v>76</v>
      </c>
    </row>
    <row r="6" customFormat="false" ht="15" hidden="false" customHeight="true" outlineLevel="0" collapsed="false">
      <c r="B6" s="82" t="s">
        <v>77</v>
      </c>
      <c r="C6" s="83" t="s">
        <v>78</v>
      </c>
      <c r="D6" s="83" t="s">
        <v>79</v>
      </c>
    </row>
    <row r="7" customFormat="false" ht="15" hidden="false" customHeight="true" outlineLevel="0" collapsed="false">
      <c r="B7" s="82" t="s">
        <v>80</v>
      </c>
      <c r="C7" s="83" t="s">
        <v>81</v>
      </c>
      <c r="D7" s="83" t="s">
        <v>82</v>
      </c>
    </row>
    <row r="8" customFormat="false" ht="15" hidden="false" customHeight="true" outlineLevel="0" collapsed="false">
      <c r="B8" s="82" t="s">
        <v>33</v>
      </c>
      <c r="C8" s="83" t="s">
        <v>83</v>
      </c>
      <c r="D8" s="83" t="s">
        <v>84</v>
      </c>
    </row>
    <row r="9" customFormat="false" ht="15" hidden="false" customHeight="true" outlineLevel="0" collapsed="false">
      <c r="B9" s="82" t="s">
        <v>85</v>
      </c>
      <c r="C9" s="83" t="s">
        <v>86</v>
      </c>
      <c r="D9" s="83" t="s">
        <v>87</v>
      </c>
    </row>
    <row r="10" customFormat="false" ht="15" hidden="false" customHeight="true" outlineLevel="0" collapsed="false">
      <c r="B10" s="82" t="s">
        <v>88</v>
      </c>
      <c r="C10" s="83" t="s">
        <v>89</v>
      </c>
      <c r="D10" s="8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Z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19.83"/>
    <col collapsed="false" customWidth="true" hidden="false" outlineLevel="0" max="3" min="3" style="1" width="28.83"/>
    <col collapsed="false" customWidth="true" hidden="false" outlineLevel="0" max="4" min="4" style="1" width="26"/>
    <col collapsed="false" customWidth="true" hidden="false" outlineLevel="0" max="5" min="5" style="1" width="23.33"/>
    <col collapsed="false" customWidth="true" hidden="false" outlineLevel="0" max="7" min="6" style="1" width="14"/>
    <col collapsed="false" customWidth="true" hidden="false" outlineLevel="0" max="8" min="8" style="1" width="23.16"/>
    <col collapsed="false" customWidth="true" hidden="false" outlineLevel="0" max="24" min="9" style="1" width="14"/>
    <col collapsed="false" customWidth="true" hidden="false" outlineLevel="0" max="25" min="25" style="1" width="20.33"/>
    <col collapsed="false" customWidth="true" hidden="false" outlineLevel="0" max="26" min="26" style="1" width="14"/>
  </cols>
  <sheetData>
    <row r="2" s="2" customFormat="true" ht="21" hidden="false" customHeight="true" outlineLevel="0" collapsed="false">
      <c r="B2" s="84" t="s">
        <v>91</v>
      </c>
    </row>
    <row r="4" customFormat="false" ht="15.75" hidden="false" customHeight="true" outlineLevel="0" collapsed="false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85" t="s">
        <v>92</v>
      </c>
      <c r="O4" s="85"/>
      <c r="P4" s="85"/>
      <c r="Q4" s="85"/>
      <c r="R4" s="85"/>
      <c r="S4" s="15"/>
      <c r="T4" s="85" t="s">
        <v>93</v>
      </c>
      <c r="U4" s="85"/>
      <c r="V4" s="85"/>
      <c r="W4" s="85"/>
      <c r="X4" s="85"/>
      <c r="Y4" s="86" t="s">
        <v>94</v>
      </c>
      <c r="Z4" s="86"/>
    </row>
    <row r="5" customFormat="false" ht="15.75" hidden="false" customHeight="true" outlineLevel="0" collapsed="false">
      <c r="B5" s="33"/>
      <c r="C5" s="33"/>
      <c r="D5" s="33"/>
      <c r="E5" s="33"/>
      <c r="F5" s="33"/>
      <c r="G5" s="33"/>
      <c r="H5" s="87" t="s">
        <v>95</v>
      </c>
      <c r="I5" s="88"/>
      <c r="J5" s="87" t="s">
        <v>96</v>
      </c>
      <c r="K5" s="88"/>
      <c r="L5" s="87" t="s">
        <v>97</v>
      </c>
      <c r="M5" s="89"/>
      <c r="N5" s="87" t="s">
        <v>98</v>
      </c>
      <c r="O5" s="87" t="s">
        <v>99</v>
      </c>
      <c r="P5" s="88"/>
      <c r="Q5" s="87" t="s">
        <v>100</v>
      </c>
      <c r="R5" s="87" t="s">
        <v>101</v>
      </c>
      <c r="S5" s="88"/>
      <c r="T5" s="87" t="s">
        <v>102</v>
      </c>
      <c r="U5" s="87" t="s">
        <v>103</v>
      </c>
      <c r="V5" s="88"/>
      <c r="W5" s="87" t="s">
        <v>104</v>
      </c>
      <c r="X5" s="87" t="s">
        <v>105</v>
      </c>
      <c r="Y5" s="87" t="s">
        <v>106</v>
      </c>
      <c r="Z5" s="87" t="s">
        <v>107</v>
      </c>
    </row>
    <row r="6" customFormat="false" ht="15" hidden="false" customHeight="true" outlineLevel="0" collapsed="false">
      <c r="B6" s="90" t="s">
        <v>1</v>
      </c>
      <c r="C6" s="88"/>
      <c r="D6" s="91" t="s">
        <v>108</v>
      </c>
      <c r="E6" s="91"/>
      <c r="F6" s="91"/>
      <c r="G6" s="88"/>
      <c r="H6" s="90" t="s">
        <v>109</v>
      </c>
      <c r="I6" s="88"/>
      <c r="J6" s="90" t="s">
        <v>110</v>
      </c>
      <c r="K6" s="88"/>
      <c r="L6" s="90" t="s">
        <v>110</v>
      </c>
      <c r="M6" s="15"/>
      <c r="N6" s="90" t="s">
        <v>111</v>
      </c>
      <c r="O6" s="90" t="s">
        <v>111</v>
      </c>
      <c r="P6" s="88"/>
      <c r="Q6" s="90" t="s">
        <v>111</v>
      </c>
      <c r="R6" s="90" t="s">
        <v>111</v>
      </c>
      <c r="S6" s="15"/>
      <c r="T6" s="90" t="s">
        <v>112</v>
      </c>
      <c r="U6" s="90" t="s">
        <v>112</v>
      </c>
      <c r="V6" s="90" t="s">
        <v>112</v>
      </c>
      <c r="W6" s="90" t="s">
        <v>112</v>
      </c>
      <c r="X6" s="90" t="s">
        <v>112</v>
      </c>
      <c r="Y6" s="90" t="s">
        <v>112</v>
      </c>
      <c r="Z6" s="90" t="s">
        <v>112</v>
      </c>
    </row>
    <row r="7" customFormat="false" ht="15" hidden="false" customHeight="true" outlineLevel="0" collapsed="false">
      <c r="H7" s="92" t="s">
        <v>113</v>
      </c>
      <c r="J7" s="92" t="s">
        <v>114</v>
      </c>
      <c r="L7" s="92" t="s">
        <v>114</v>
      </c>
    </row>
    <row r="8" customFormat="false" ht="15" hidden="false" customHeight="true" outlineLevel="0" collapsed="false">
      <c r="B8" s="93" t="s">
        <v>2</v>
      </c>
      <c r="C8" s="94"/>
      <c r="D8" s="95" t="s">
        <v>115</v>
      </c>
      <c r="E8" s="95"/>
      <c r="F8" s="95"/>
      <c r="G8" s="94"/>
      <c r="H8" s="96" t="n">
        <f aca="false">'Sources &amp; Checks'!$B$5</f>
        <v>26.19</v>
      </c>
      <c r="I8" s="94"/>
      <c r="J8" s="97" t="n">
        <f aca="false">'Sources &amp; Checks'!$B$8*H8</f>
        <v>27499.5</v>
      </c>
      <c r="K8" s="94"/>
      <c r="L8" s="97" t="n">
        <f aca="false">J8-'Sources &amp; Checks'!$B$6+'Sources &amp; Checks'!$B$7+'Sources &amp; Checks'!$B$24</f>
        <v>26710.7</v>
      </c>
      <c r="M8" s="94"/>
      <c r="N8" s="98" t="n">
        <f aca="false">DCF!M21</f>
        <v>0.247661296310045</v>
      </c>
      <c r="O8" s="98" t="n">
        <f aca="false">DCF!N21</f>
        <v>0.0375414689299156</v>
      </c>
      <c r="P8" s="94"/>
      <c r="Q8" s="98" t="n">
        <f aca="false">DCF!M24</f>
        <v>0.15328255403978</v>
      </c>
      <c r="R8" s="98" t="n">
        <f aca="false">DCF!N24</f>
        <v>0.111696598200523</v>
      </c>
      <c r="S8" s="94"/>
      <c r="T8" s="99" t="n">
        <f aca="false">L8/DCF!M22</f>
        <v>8.56057304018973</v>
      </c>
      <c r="U8" s="99" t="n">
        <f aca="false">L8/DCF!N22</f>
        <v>9.63450440051941</v>
      </c>
      <c r="V8" s="94"/>
      <c r="W8" s="100" t="n">
        <f aca="false">L8/DCF!M20</f>
        <v>1.98684151802318</v>
      </c>
      <c r="X8" s="100" t="n">
        <f aca="false">L8/DCF!N20</f>
        <v>1.91495142846901</v>
      </c>
      <c r="Y8" s="101" t="n">
        <f aca="false">L8/DCF!M23</f>
        <v>12.9619546755957</v>
      </c>
      <c r="Z8" s="101" t="n">
        <f aca="false">L8/DCF!N23</f>
        <v>17.1442233632863</v>
      </c>
    </row>
    <row r="9" customFormat="false" ht="15" hidden="false" customHeight="true" outlineLevel="0" collapsed="false">
      <c r="B9" s="102"/>
      <c r="C9" s="102"/>
      <c r="D9" s="102"/>
      <c r="E9" s="102"/>
      <c r="F9" s="102"/>
      <c r="G9" s="102"/>
      <c r="H9" s="103"/>
      <c r="I9" s="102"/>
      <c r="J9" s="104"/>
      <c r="K9" s="102"/>
      <c r="L9" s="104"/>
      <c r="M9" s="102"/>
      <c r="N9" s="105"/>
      <c r="O9" s="105"/>
      <c r="P9" s="102"/>
      <c r="Q9" s="105"/>
      <c r="R9" s="105"/>
      <c r="S9" s="102"/>
      <c r="T9" s="106"/>
      <c r="U9" s="106"/>
      <c r="V9" s="102"/>
      <c r="W9" s="105"/>
      <c r="X9" s="105"/>
    </row>
    <row r="10" customFormat="false" ht="15" hidden="false" customHeight="true" outlineLevel="0" collapsed="false">
      <c r="B10" s="107" t="s">
        <v>116</v>
      </c>
      <c r="C10" s="102"/>
      <c r="D10" s="108" t="s">
        <v>117</v>
      </c>
      <c r="E10" s="108"/>
      <c r="F10" s="108"/>
      <c r="G10" s="102"/>
      <c r="H10" s="109" t="n">
        <v>4.089</v>
      </c>
      <c r="I10" s="102"/>
      <c r="J10" s="110" t="n">
        <v>3287.49</v>
      </c>
      <c r="K10" s="102"/>
      <c r="L10" s="110" t="n">
        <v>2450</v>
      </c>
      <c r="M10" s="102"/>
      <c r="N10" s="111" t="n">
        <v>0.1393</v>
      </c>
      <c r="O10" s="111" t="n">
        <v>0.0856</v>
      </c>
      <c r="P10" s="102"/>
      <c r="Q10" s="111" t="n">
        <v>0.0641314856590396</v>
      </c>
      <c r="R10" s="111" t="n">
        <v>0.0695626360577875</v>
      </c>
      <c r="S10" s="102"/>
      <c r="T10" s="112" t="n">
        <v>1.79224579370885</v>
      </c>
      <c r="U10" s="112" t="n">
        <v>1.69432918395574</v>
      </c>
      <c r="V10" s="102"/>
      <c r="W10" s="113" t="n">
        <v>0.263186163927382</v>
      </c>
      <c r="X10" s="113" t="n">
        <v>0.242430239461706</v>
      </c>
      <c r="Y10" s="114" t="n">
        <v>4.1039</v>
      </c>
      <c r="Z10" s="114" t="n">
        <v>3.485</v>
      </c>
    </row>
    <row r="11" customFormat="false" ht="15" hidden="false" customHeight="true" outlineLevel="0" collapsed="false">
      <c r="B11" s="107" t="s">
        <v>118</v>
      </c>
      <c r="C11" s="102"/>
      <c r="D11" s="108" t="s">
        <v>119</v>
      </c>
      <c r="E11" s="108"/>
      <c r="F11" s="108"/>
      <c r="G11" s="102"/>
      <c r="H11" s="109" t="n">
        <v>9.275</v>
      </c>
      <c r="I11" s="102"/>
      <c r="J11" s="110" t="n">
        <v>1166.6</v>
      </c>
      <c r="K11" s="102"/>
      <c r="L11" s="110" t="n">
        <v>5950.1</v>
      </c>
      <c r="M11" s="102"/>
      <c r="N11" s="111" t="n">
        <v>0.3</v>
      </c>
      <c r="O11" s="111" t="n">
        <v>0.0454</v>
      </c>
      <c r="P11" s="102"/>
      <c r="Q11" s="111" t="n">
        <v>0.086370808678501</v>
      </c>
      <c r="R11" s="111" t="n">
        <v>0.0316037735849057</v>
      </c>
      <c r="S11" s="102"/>
      <c r="T11" s="112" t="n">
        <v>4.9866744887697</v>
      </c>
      <c r="U11" s="112" t="n">
        <v>5.24561403508772</v>
      </c>
      <c r="V11" s="102"/>
      <c r="W11" s="113" t="n">
        <v>1.17358974358974</v>
      </c>
      <c r="X11" s="113" t="n">
        <v>1.12266037735849</v>
      </c>
      <c r="Y11" s="114" t="n">
        <v>13.5878</v>
      </c>
      <c r="Z11" s="114" t="n">
        <v>35.5227</v>
      </c>
    </row>
    <row r="12" customFormat="false" ht="15" hidden="false" customHeight="true" outlineLevel="0" collapsed="false">
      <c r="B12" s="107" t="s">
        <v>120</v>
      </c>
      <c r="C12" s="102"/>
      <c r="D12" s="108" t="s">
        <v>121</v>
      </c>
      <c r="E12" s="108"/>
      <c r="F12" s="108"/>
      <c r="G12" s="102"/>
      <c r="H12" s="109" t="n">
        <v>4.464</v>
      </c>
      <c r="I12" s="102"/>
      <c r="J12" s="110" t="n">
        <v>19080</v>
      </c>
      <c r="K12" s="102"/>
      <c r="L12" s="110" t="n">
        <v>25060</v>
      </c>
      <c r="M12" s="102"/>
      <c r="N12" s="111" t="n">
        <v>0.0898719994567616</v>
      </c>
      <c r="O12" s="111" t="n">
        <v>0.0346728971962618</v>
      </c>
      <c r="P12" s="102"/>
      <c r="Q12" s="111" t="n">
        <v>0.138411214953271</v>
      </c>
      <c r="R12" s="111" t="n">
        <v>0.151266070514558</v>
      </c>
      <c r="S12" s="102"/>
      <c r="T12" s="112" t="n">
        <v>3.68150433377406</v>
      </c>
      <c r="U12" s="112" t="n">
        <v>3.29780234241348</v>
      </c>
      <c r="V12" s="102"/>
      <c r="W12" s="113" t="n">
        <v>0.780685358255452</v>
      </c>
      <c r="X12" s="113" t="n">
        <v>0.754523831030018</v>
      </c>
      <c r="Y12" s="114" t="n">
        <v>5.6403</v>
      </c>
      <c r="Z12" s="114" t="n">
        <v>4.9881</v>
      </c>
    </row>
    <row r="13" customFormat="false" ht="15" hidden="false" customHeight="true" outlineLevel="0" collapsed="false">
      <c r="B13" s="107" t="s">
        <v>122</v>
      </c>
      <c r="C13" s="102"/>
      <c r="D13" s="108" t="s">
        <v>123</v>
      </c>
      <c r="E13" s="108"/>
      <c r="F13" s="108"/>
      <c r="G13" s="102"/>
      <c r="H13" s="109" t="n">
        <v>8.12</v>
      </c>
      <c r="I13" s="102"/>
      <c r="J13" s="110" t="n">
        <v>9740</v>
      </c>
      <c r="K13" s="102"/>
      <c r="L13" s="110" t="n">
        <v>17780</v>
      </c>
      <c r="M13" s="102"/>
      <c r="N13" s="111" t="n">
        <v>0.0603521245979346</v>
      </c>
      <c r="O13" s="111" t="n">
        <v>0.0536441286820468</v>
      </c>
      <c r="P13" s="102"/>
      <c r="Q13" s="111" t="n">
        <v>0.0437721188898646</v>
      </c>
      <c r="R13" s="111" t="n">
        <v>0.0494986993964189</v>
      </c>
      <c r="S13" s="102"/>
      <c r="T13" s="112" t="n">
        <v>4.46509291813159</v>
      </c>
      <c r="U13" s="112" t="n">
        <v>4.10718410718411</v>
      </c>
      <c r="V13" s="102"/>
      <c r="W13" s="113" t="n">
        <v>0.47311141268194</v>
      </c>
      <c r="X13" s="113" t="n">
        <v>0.449023915953229</v>
      </c>
      <c r="Y13" s="114" t="n">
        <v>10.8085</v>
      </c>
      <c r="Z13" s="114" t="n">
        <v>9.0714</v>
      </c>
    </row>
    <row r="14" customFormat="false" ht="15" hidden="false" customHeight="true" outlineLevel="0" collapsed="false">
      <c r="B14" s="107" t="s">
        <v>124</v>
      </c>
      <c r="C14" s="102"/>
      <c r="D14" s="108" t="s">
        <v>125</v>
      </c>
      <c r="E14" s="108"/>
      <c r="F14" s="108"/>
      <c r="G14" s="102"/>
      <c r="H14" s="109" t="n">
        <v>10.09</v>
      </c>
      <c r="I14" s="102"/>
      <c r="J14" s="110" t="n">
        <v>2650</v>
      </c>
      <c r="K14" s="102"/>
      <c r="L14" s="110" t="n">
        <v>3020</v>
      </c>
      <c r="M14" s="102"/>
      <c r="N14" s="111" t="n">
        <v>0.0479696192411472</v>
      </c>
      <c r="O14" s="111" t="n">
        <v>0.0492069042245462</v>
      </c>
      <c r="P14" s="102"/>
      <c r="Q14" s="111" t="n">
        <v>0.051</v>
      </c>
      <c r="R14" s="111" t="n">
        <v>0.061</v>
      </c>
      <c r="S14" s="102"/>
      <c r="T14" s="112" t="n">
        <v>0.711592836946277</v>
      </c>
      <c r="U14" s="112" t="n">
        <v>0.597073942269672</v>
      </c>
      <c r="V14" s="102"/>
      <c r="W14" s="113" t="n">
        <v>0.0959979656060269</v>
      </c>
      <c r="X14" s="113" t="n">
        <v>0.091495743327173</v>
      </c>
      <c r="Y14" s="114" t="n">
        <v>1.8822</v>
      </c>
      <c r="Z14" s="114" t="n">
        <v>1.5</v>
      </c>
    </row>
    <row r="15" customFormat="false" ht="15" hidden="false" customHeight="true" outlineLevel="0" collapsed="false">
      <c r="B15" s="102"/>
      <c r="C15" s="102"/>
      <c r="D15" s="102"/>
      <c r="E15" s="102"/>
      <c r="F15" s="102"/>
      <c r="G15" s="102"/>
      <c r="H15" s="102"/>
      <c r="I15" s="102"/>
      <c r="J15" s="115"/>
      <c r="K15" s="102"/>
      <c r="L15" s="115"/>
      <c r="M15" s="102"/>
      <c r="N15" s="116"/>
      <c r="O15" s="116"/>
      <c r="P15" s="102"/>
      <c r="Q15" s="116"/>
      <c r="R15" s="116"/>
      <c r="S15" s="102"/>
      <c r="T15" s="102"/>
      <c r="U15" s="102"/>
      <c r="V15" s="102"/>
      <c r="W15" s="102"/>
      <c r="X15" s="102"/>
    </row>
    <row r="16" customFormat="false" ht="15" hidden="false" customHeight="true" outlineLevel="0" collapsed="false">
      <c r="B16" s="102"/>
      <c r="C16" s="102"/>
      <c r="D16" s="102"/>
      <c r="E16" s="102"/>
      <c r="F16" s="102"/>
      <c r="G16" s="102"/>
      <c r="H16" s="102"/>
      <c r="I16" s="102"/>
      <c r="J16" s="115"/>
      <c r="K16" s="102"/>
      <c r="L16" s="115"/>
      <c r="M16" s="102"/>
      <c r="N16" s="116"/>
      <c r="O16" s="116"/>
      <c r="P16" s="102"/>
      <c r="Q16" s="116"/>
      <c r="R16" s="116"/>
      <c r="S16" s="102"/>
      <c r="T16" s="102"/>
      <c r="U16" s="102"/>
      <c r="V16" s="102"/>
      <c r="W16" s="102"/>
      <c r="X16" s="102"/>
    </row>
    <row r="17" customFormat="false" ht="15" hidden="false" customHeight="true" outlineLevel="0" collapsed="false">
      <c r="B17" s="102"/>
      <c r="C17" s="102"/>
      <c r="D17" s="102"/>
      <c r="E17" s="102"/>
      <c r="F17" s="102"/>
      <c r="G17" s="102"/>
      <c r="H17" s="102"/>
      <c r="I17" s="102"/>
      <c r="J17" s="115"/>
      <c r="K17" s="102"/>
      <c r="L17" s="115"/>
      <c r="M17" s="102"/>
      <c r="N17" s="116"/>
      <c r="O17" s="116"/>
      <c r="P17" s="102"/>
      <c r="Q17" s="116"/>
      <c r="R17" s="116"/>
      <c r="S17" s="102"/>
      <c r="T17" s="102"/>
      <c r="U17" s="102"/>
      <c r="V17" s="102"/>
      <c r="W17" s="102"/>
      <c r="X17" s="102"/>
    </row>
    <row r="18" customFormat="false" ht="15" hidden="false" customHeight="true" outlineLevel="0" collapsed="false">
      <c r="B18" s="102"/>
      <c r="C18" s="102"/>
      <c r="D18" s="102"/>
      <c r="E18" s="102"/>
      <c r="F18" s="102"/>
      <c r="G18" s="102"/>
      <c r="H18" s="102"/>
      <c r="I18" s="102"/>
      <c r="J18" s="115"/>
      <c r="K18" s="102"/>
      <c r="L18" s="115"/>
      <c r="M18" s="102"/>
      <c r="N18" s="116"/>
      <c r="O18" s="116"/>
      <c r="P18" s="102"/>
      <c r="Q18" s="116"/>
      <c r="R18" s="116"/>
      <c r="S18" s="102"/>
      <c r="T18" s="102"/>
      <c r="U18" s="102"/>
      <c r="V18" s="102"/>
      <c r="W18" s="102"/>
      <c r="X18" s="102"/>
    </row>
    <row r="19" customFormat="false" ht="15" hidden="false" customHeight="true" outlineLevel="0" collapsed="false">
      <c r="N19" s="102"/>
      <c r="O19" s="102"/>
      <c r="Q19" s="102"/>
      <c r="R19" s="102"/>
    </row>
    <row r="20" customFormat="false" ht="15" hidden="false" customHeight="true" outlineLevel="0" collapsed="false">
      <c r="B20" s="117" t="s">
        <v>126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9" t="n">
        <f aca="false">IF(COUNT(N10:N17)=0,"",AVERAGE(N10:N17))</f>
        <v>0.127498748659169</v>
      </c>
      <c r="O20" s="119" t="n">
        <f aca="false">IF(COUNT(O10:O17)=0,"",AVERAGE(O10:O17))</f>
        <v>0.053704786020571</v>
      </c>
      <c r="P20" s="117" t="str">
        <f aca="false">IF(COUNT(P8:P17)=0,"",AVERAGE(P8:P17))</f>
        <v/>
      </c>
      <c r="Q20" s="119" t="n">
        <f aca="false">IF(COUNT(Q10:Q17)=0,"",AVERAGE(Q10:Q17))</f>
        <v>0.0767371256361352</v>
      </c>
      <c r="R20" s="119" t="n">
        <f aca="false">IF(COUNT(R10:R17)=0,"",AVERAGE(R10:R17))</f>
        <v>0.072586235910734</v>
      </c>
      <c r="S20" s="117" t="str">
        <f aca="false">IF(COUNT(S8:S17)=0,"",AVERAGE(S8:S17))</f>
        <v/>
      </c>
      <c r="T20" s="120" t="n">
        <f aca="false">IF(COUNT(T10:T17)=0,"",AVERAGE(T10:T17))</f>
        <v>3.1274220742661</v>
      </c>
      <c r="U20" s="120" t="n">
        <f aca="false">IF(COUNT(U10:U17)=0,"",AVERAGE(U10:U17))</f>
        <v>2.98840072218214</v>
      </c>
      <c r="V20" s="117" t="str">
        <f aca="false">IF(COUNT(V8:V17)=0,"",AVERAGE(V8:V17))</f>
        <v/>
      </c>
      <c r="W20" s="121" t="n">
        <f aca="false">IF(COUNT(W10:W17)=0,"",AVERAGE(W10:W17))</f>
        <v>0.557314128812108</v>
      </c>
      <c r="X20" s="121" t="n">
        <f aca="false">IF(COUNT(X10:X17)=0,"",AVERAGE(X10:X17))</f>
        <v>0.532026821426123</v>
      </c>
      <c r="Y20" s="122" t="n">
        <f aca="false">IF(COUNT(Y10:Y17)=0,"",AVERAGE(Y10:Y17))</f>
        <v>7.20454</v>
      </c>
      <c r="Z20" s="122" t="n">
        <f aca="false">IF(COUNT(Z10:Z17)=0,"",AVERAGE(Z10:Z17))</f>
        <v>10.91344</v>
      </c>
    </row>
    <row r="21" customFormat="false" ht="15" hidden="false" customHeight="true" outlineLevel="0" collapsed="false">
      <c r="B21" s="117" t="s">
        <v>127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9" t="n">
        <f aca="false">IF(COUNT(N10:N17)=0,"",MEDIAN(N10:N17))</f>
        <v>0.0898719994567616</v>
      </c>
      <c r="O21" s="119" t="n">
        <f aca="false">IF(COUNT(O10:O17)=0,"",MEDIAN(O10:O17))</f>
        <v>0.0492069042245462</v>
      </c>
      <c r="P21" s="117" t="str">
        <f aca="false">IF(COUNT(P8:P17)=0,"",MEDIAN(P8:P17))</f>
        <v/>
      </c>
      <c r="Q21" s="119" t="n">
        <f aca="false">IF(COUNT(Q10:Q17)=0,"",MEDIAN(Q10:Q17))</f>
        <v>0.0641314856590396</v>
      </c>
      <c r="R21" s="119" t="n">
        <f aca="false">IF(COUNT(R10:R17)=0,"",MEDIAN(R10:R17))</f>
        <v>0.061</v>
      </c>
      <c r="S21" s="117" t="str">
        <f aca="false">IF(COUNT(S8:S17)=0,"",MEDIAN(S8:S17))</f>
        <v/>
      </c>
      <c r="T21" s="120" t="n">
        <f aca="false">IF(COUNT(T10:T17)=0,"",MEDIAN(T10:T17))</f>
        <v>3.68150433377406</v>
      </c>
      <c r="U21" s="120" t="n">
        <f aca="false">IF(COUNT(U10:U17)=0,"",MEDIAN(U10:U17))</f>
        <v>3.29780234241348</v>
      </c>
      <c r="V21" s="117" t="str">
        <f aca="false">IF(COUNT(V8:V17)=0,"",MEDIAN(V8:V17))</f>
        <v/>
      </c>
      <c r="W21" s="121" t="n">
        <f aca="false">IF(COUNT(W10:W17)=0,"",MEDIAN(W10:W17))</f>
        <v>0.47311141268194</v>
      </c>
      <c r="X21" s="121" t="n">
        <f aca="false">IF(COUNT(X10:X17)=0,"",MEDIAN(X10:X17))</f>
        <v>0.449023915953229</v>
      </c>
      <c r="Y21" s="122" t="n">
        <f aca="false">IF(COUNT(Y10:Y17)=0,"",MEDIAN(Y10:Y17))</f>
        <v>5.6403</v>
      </c>
      <c r="Z21" s="122" t="n">
        <f aca="false">IF(COUNT(Z10:Z17)=0,"",MEDIAN(Z10:Z17))</f>
        <v>4.9881</v>
      </c>
    </row>
    <row r="24" customFormat="false" ht="15" hidden="false" customHeight="true" outlineLevel="0" collapsed="false">
      <c r="B24" s="123" t="s">
        <v>128</v>
      </c>
      <c r="C24" s="61"/>
      <c r="D24" s="61"/>
      <c r="E24" s="61"/>
      <c r="F24" s="61"/>
      <c r="G24" s="61"/>
      <c r="H24" s="61"/>
      <c r="I24" s="61"/>
      <c r="J24" s="61"/>
    </row>
    <row r="25" customFormat="false" ht="15" hidden="false" customHeight="true" outlineLevel="0" collapsed="false">
      <c r="B25" s="87" t="s">
        <v>129</v>
      </c>
      <c r="C25" s="87" t="s">
        <v>130</v>
      </c>
      <c r="D25" s="87" t="s">
        <v>131</v>
      </c>
      <c r="E25" s="87" t="s">
        <v>132</v>
      </c>
      <c r="F25" s="87" t="s">
        <v>54</v>
      </c>
      <c r="G25" s="87" t="s">
        <v>133</v>
      </c>
      <c r="H25" s="87" t="s">
        <v>134</v>
      </c>
      <c r="I25" s="87" t="s">
        <v>135</v>
      </c>
      <c r="J25" s="87" t="s">
        <v>136</v>
      </c>
    </row>
    <row r="26" customFormat="false" ht="15" hidden="false" customHeight="true" outlineLevel="0" collapsed="false">
      <c r="B26" s="124" t="s">
        <v>137</v>
      </c>
      <c r="C26" s="125" t="n">
        <f aca="false">U21</f>
        <v>3.29780234241348</v>
      </c>
      <c r="D26" s="126" t="n">
        <f aca="false">DCF!N22</f>
        <v>2772.4</v>
      </c>
      <c r="E26" s="126" t="n">
        <f aca="false">C26*D26</f>
        <v>9142.82721410713</v>
      </c>
      <c r="F26" s="126" t="n">
        <f aca="false">'Sources &amp; Checks'!$B$6</f>
        <v>2400</v>
      </c>
      <c r="G26" s="126" t="n">
        <f aca="false">'Sources &amp; Checks'!$B$7+'Sources &amp; Checks'!$B$24</f>
        <v>1611.2</v>
      </c>
      <c r="H26" s="126" t="n">
        <f aca="false">E26+F26-G26</f>
        <v>9931.62721410713</v>
      </c>
      <c r="I26" s="127" t="n">
        <f aca="false">H26/'Sources &amp; Checks'!$B$9</f>
        <v>9.30973679612592</v>
      </c>
      <c r="J26" s="128" t="n">
        <f aca="false">I26/'Sources &amp; Checks'!$B$5-1</f>
        <v>-0.644530859254451</v>
      </c>
    </row>
    <row r="27" customFormat="false" ht="15" hidden="false" customHeight="true" outlineLevel="0" collapsed="false">
      <c r="B27" s="129" t="s">
        <v>138</v>
      </c>
      <c r="C27" s="130" t="n">
        <f aca="false">X21</f>
        <v>0.449023915953229</v>
      </c>
      <c r="D27" s="131" t="n">
        <f aca="false">DCF!N20</f>
        <v>13948.5</v>
      </c>
      <c r="E27" s="131" t="n">
        <f aca="false">C27*D27</f>
        <v>6263.21009167361</v>
      </c>
      <c r="F27" s="131" t="n">
        <f aca="false">'Sources &amp; Checks'!$B$6</f>
        <v>2400</v>
      </c>
      <c r="G27" s="131" t="n">
        <f aca="false">'Sources &amp; Checks'!$B$7+'Sources &amp; Checks'!$B$24</f>
        <v>1611.2</v>
      </c>
      <c r="H27" s="131" t="n">
        <f aca="false">E27+F27-G27</f>
        <v>7052.01009167362</v>
      </c>
      <c r="I27" s="132" t="n">
        <f aca="false">H27/'Sources &amp; Checks'!$B$9</f>
        <v>6.61043315679941</v>
      </c>
      <c r="J27" s="133" t="n">
        <f aca="false">I27/'Sources &amp; Checks'!$B$5-1</f>
        <v>-0.747597053959549</v>
      </c>
    </row>
    <row r="28" customFormat="false" ht="15" hidden="false" customHeight="true" outlineLevel="0" collapsed="false">
      <c r="B28" s="124" t="s">
        <v>139</v>
      </c>
      <c r="C28" s="125" t="n">
        <f aca="false">Z21</f>
        <v>4.9881</v>
      </c>
      <c r="D28" s="126" t="n">
        <f aca="false">DCF!N23</f>
        <v>1558</v>
      </c>
      <c r="E28" s="126" t="n">
        <f aca="false">C28*D28</f>
        <v>7771.4598</v>
      </c>
      <c r="F28" s="126" t="n">
        <f aca="false">'Sources &amp; Checks'!$B$6</f>
        <v>2400</v>
      </c>
      <c r="G28" s="126" t="n">
        <f aca="false">'Sources &amp; Checks'!$B$7+'Sources &amp; Checks'!$B$24</f>
        <v>1611.2</v>
      </c>
      <c r="H28" s="126" t="n">
        <f aca="false">E28+F28-G28</f>
        <v>8560.2598</v>
      </c>
      <c r="I28" s="127" t="n">
        <f aca="false">H28/'Sources &amp; Checks'!$B$9</f>
        <v>8.02424053243345</v>
      </c>
      <c r="J28" s="128" t="n">
        <f aca="false">I28/'Sources &amp; Checks'!$B$5-1</f>
        <v>-0.693614336295019</v>
      </c>
    </row>
    <row r="30" customFormat="false" ht="15" hidden="false" customHeight="true" outlineLevel="0" collapsed="false">
      <c r="B30" s="134" t="s">
        <v>140</v>
      </c>
    </row>
  </sheetData>
  <mergeCells count="10">
    <mergeCell ref="N4:R4"/>
    <mergeCell ref="T4:X4"/>
    <mergeCell ref="Y4:Z4"/>
    <mergeCell ref="D6:F6"/>
    <mergeCell ref="D8:F8"/>
    <mergeCell ref="D10:F10"/>
    <mergeCell ref="D11:F11"/>
    <mergeCell ref="D12:F12"/>
    <mergeCell ref="D13:F13"/>
    <mergeCell ref="D14:F1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52"/>
    <col collapsed="false" customWidth="true" hidden="false" outlineLevel="0" max="6" min="6" style="1" width="16"/>
  </cols>
  <sheetData>
    <row r="2" s="2" customFormat="true" ht="21" hidden="false" customHeight="true" outlineLevel="0" collapsed="false">
      <c r="B2" s="3" t="s">
        <v>21</v>
      </c>
    </row>
    <row r="4" customFormat="false" ht="15" hidden="false" customHeight="true" outlineLevel="0" collapsed="false">
      <c r="B4" s="8" t="s">
        <v>141</v>
      </c>
    </row>
    <row r="5" customFormat="false" ht="15" hidden="false" customHeight="true" outlineLevel="0" collapsed="false">
      <c r="B5" s="8" t="s">
        <v>142</v>
      </c>
    </row>
    <row r="6" customFormat="false" ht="15" hidden="false" customHeight="true" outlineLevel="0" collapsed="false">
      <c r="J6" s="135"/>
    </row>
    <row r="7" customFormat="false" ht="15" hidden="false" customHeight="true" outlineLevel="0" collapsed="false">
      <c r="A7" s="123" t="s">
        <v>10</v>
      </c>
      <c r="B7" s="74" t="s">
        <v>21</v>
      </c>
      <c r="C7" s="33"/>
      <c r="D7" s="33"/>
      <c r="E7" s="33"/>
      <c r="F7" s="33"/>
    </row>
    <row r="8" customFormat="false" ht="15" hidden="false" customHeight="true" outlineLevel="0" collapsed="false">
      <c r="B8" s="8" t="s">
        <v>96</v>
      </c>
      <c r="F8" s="54" t="n">
        <f aca="false">'Sources &amp; Checks'!$B$8*'Sources &amp; Checks'!$B$5</f>
        <v>27499.5</v>
      </c>
    </row>
    <row r="9" customFormat="false" ht="15" hidden="false" customHeight="true" outlineLevel="0" collapsed="false">
      <c r="B9" s="8" t="s">
        <v>143</v>
      </c>
      <c r="F9" s="27" t="n">
        <f aca="false">F8/(F8+F15)</f>
        <v>0.948274970258108</v>
      </c>
    </row>
    <row r="10" customFormat="false" ht="15" hidden="false" customHeight="true" outlineLevel="0" collapsed="false">
      <c r="B10" s="8" t="s">
        <v>144</v>
      </c>
      <c r="F10" s="136" t="n">
        <f aca="false">F11+F14*F13</f>
        <v>0.089043</v>
      </c>
    </row>
    <row r="11" customFormat="false" ht="15" hidden="false" customHeight="true" outlineLevel="0" collapsed="false">
      <c r="B11" s="8" t="s">
        <v>145</v>
      </c>
      <c r="F11" s="37" t="n">
        <f aca="false">'Sources &amp; Checks'!$B$10</f>
        <v>0.028643</v>
      </c>
    </row>
    <row r="12" customFormat="false" ht="15" hidden="false" customHeight="true" outlineLevel="0" collapsed="false">
      <c r="B12" s="8" t="s">
        <v>146</v>
      </c>
      <c r="F12" s="137" t="n">
        <f aca="false">'Sources &amp; Checks'!$B$11</f>
        <v>1.01</v>
      </c>
    </row>
    <row r="13" customFormat="false" ht="15" hidden="false" customHeight="true" outlineLevel="0" collapsed="false">
      <c r="B13" s="8" t="s">
        <v>147</v>
      </c>
      <c r="F13" s="37" t="n">
        <f aca="false">'Sources &amp; Checks'!$B$12</f>
        <v>0.06</v>
      </c>
    </row>
    <row r="14" customFormat="false" ht="15" hidden="false" customHeight="true" outlineLevel="0" collapsed="false">
      <c r="B14" s="8" t="s">
        <v>148</v>
      </c>
      <c r="F14" s="138" t="n">
        <f aca="false">1/3*1+2/3*F12</f>
        <v>1.00666666666667</v>
      </c>
    </row>
    <row r="15" customFormat="false" ht="15" hidden="false" customHeight="true" outlineLevel="0" collapsed="false">
      <c r="A15" s="123" t="s">
        <v>10</v>
      </c>
      <c r="B15" s="74" t="s">
        <v>149</v>
      </c>
      <c r="F15" s="139" t="n">
        <f aca="false">'Sources &amp; Checks'!$B$7</f>
        <v>1500</v>
      </c>
    </row>
    <row r="16" customFormat="false" ht="15" hidden="false" customHeight="true" outlineLevel="0" collapsed="false">
      <c r="B16" s="8" t="s">
        <v>150</v>
      </c>
      <c r="F16" s="38" t="n">
        <f aca="false">F15/(F15+F8)</f>
        <v>0.0517250297418921</v>
      </c>
    </row>
    <row r="17" customFormat="false" ht="15" hidden="false" customHeight="true" outlineLevel="0" collapsed="false">
      <c r="B17" s="8" t="s">
        <v>151</v>
      </c>
      <c r="F17" s="38" t="n">
        <f aca="false">'Sources &amp; Checks'!$B$13</f>
        <v>0.03</v>
      </c>
    </row>
    <row r="18" customFormat="false" ht="15" hidden="false" customHeight="true" outlineLevel="0" collapsed="false">
      <c r="B18" s="8" t="s">
        <v>152</v>
      </c>
      <c r="F18" s="38" t="n">
        <f aca="false">'Sources &amp; Checks'!$B$14</f>
        <v>0.12</v>
      </c>
    </row>
    <row r="20" customFormat="false" ht="15" hidden="false" customHeight="true" outlineLevel="0" collapsed="false">
      <c r="A20" s="123" t="s">
        <v>10</v>
      </c>
      <c r="B20" s="74" t="s">
        <v>153</v>
      </c>
      <c r="F20" s="54" t="n">
        <f aca="false">F15+F8</f>
        <v>28999.5</v>
      </c>
    </row>
    <row r="22" customFormat="false" ht="15" hidden="false" customHeight="true" outlineLevel="0" collapsed="false">
      <c r="A22" s="123" t="s">
        <v>10</v>
      </c>
      <c r="B22" s="74" t="s">
        <v>21</v>
      </c>
      <c r="F22" s="140" t="n">
        <f aca="false">F9*F10+(F16*F17*(1-F18))</f>
        <v>0.0858027889618787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3.5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8.75" hidden="false" customHeight="true" outlineLevel="0" collapsed="false">
      <c r="A1" s="141" t="s">
        <v>154</v>
      </c>
      <c r="B1" s="141"/>
      <c r="C1" s="141"/>
      <c r="D1" s="141"/>
    </row>
    <row r="3" customFormat="false" ht="15.75" hidden="false" customHeight="true" outlineLevel="0" collapsed="false">
      <c r="A3" s="87" t="s">
        <v>129</v>
      </c>
      <c r="B3" s="87" t="s">
        <v>155</v>
      </c>
      <c r="C3" s="87" t="s">
        <v>156</v>
      </c>
      <c r="D3" s="87" t="s">
        <v>157</v>
      </c>
    </row>
    <row r="4" customFormat="false" ht="15" hidden="false" customHeight="true" outlineLevel="0" collapsed="false">
      <c r="A4" s="142" t="s">
        <v>158</v>
      </c>
      <c r="B4" s="143" t="n">
        <v>46087</v>
      </c>
      <c r="C4" s="142" t="s">
        <v>159</v>
      </c>
      <c r="D4" s="142" t="s">
        <v>160</v>
      </c>
    </row>
    <row r="5" customFormat="false" ht="15" hidden="false" customHeight="true" outlineLevel="0" collapsed="false">
      <c r="A5" s="142" t="s">
        <v>161</v>
      </c>
      <c r="B5" s="144" t="n">
        <v>26.19</v>
      </c>
      <c r="C5" s="142" t="s">
        <v>162</v>
      </c>
      <c r="D5" s="142" t="s">
        <v>163</v>
      </c>
    </row>
    <row r="6" customFormat="false" ht="15" hidden="false" customHeight="true" outlineLevel="0" collapsed="false">
      <c r="A6" s="142" t="s">
        <v>164</v>
      </c>
      <c r="B6" s="145" t="n">
        <v>2400</v>
      </c>
      <c r="C6" s="142" t="s">
        <v>165</v>
      </c>
      <c r="D6" s="142" t="s">
        <v>166</v>
      </c>
    </row>
    <row r="7" customFormat="false" ht="15" hidden="false" customHeight="true" outlineLevel="0" collapsed="false">
      <c r="A7" s="142" t="s">
        <v>167</v>
      </c>
      <c r="B7" s="145" t="n">
        <v>1500</v>
      </c>
      <c r="C7" s="142" t="s">
        <v>165</v>
      </c>
      <c r="D7" s="142" t="s">
        <v>168</v>
      </c>
    </row>
    <row r="8" customFormat="false" ht="15" hidden="false" customHeight="true" outlineLevel="0" collapsed="false">
      <c r="A8" s="142" t="s">
        <v>169</v>
      </c>
      <c r="B8" s="145" t="n">
        <v>1050</v>
      </c>
      <c r="C8" s="142" t="s">
        <v>170</v>
      </c>
      <c r="D8" s="142" t="s">
        <v>171</v>
      </c>
    </row>
    <row r="9" customFormat="false" ht="15" hidden="false" customHeight="true" outlineLevel="0" collapsed="false">
      <c r="A9" s="142" t="s">
        <v>172</v>
      </c>
      <c r="B9" s="145" t="n">
        <v>1066.8</v>
      </c>
      <c r="C9" s="142" t="s">
        <v>170</v>
      </c>
      <c r="D9" s="142" t="s">
        <v>173</v>
      </c>
    </row>
    <row r="10" customFormat="false" ht="15" hidden="false" customHeight="true" outlineLevel="0" collapsed="false">
      <c r="A10" s="142" t="s">
        <v>174</v>
      </c>
      <c r="B10" s="146" t="n">
        <v>0.028643</v>
      </c>
      <c r="C10" s="142" t="s">
        <v>175</v>
      </c>
      <c r="D10" s="142" t="s">
        <v>176</v>
      </c>
    </row>
    <row r="11" customFormat="false" ht="15" hidden="false" customHeight="true" outlineLevel="0" collapsed="false">
      <c r="A11" s="142" t="s">
        <v>177</v>
      </c>
      <c r="B11" s="147" t="n">
        <v>1.01</v>
      </c>
      <c r="C11" s="142" t="s">
        <v>178</v>
      </c>
      <c r="D11" s="142" t="s">
        <v>179</v>
      </c>
    </row>
    <row r="12" customFormat="false" ht="15" hidden="false" customHeight="true" outlineLevel="0" collapsed="false">
      <c r="A12" s="142" t="s">
        <v>180</v>
      </c>
      <c r="B12" s="146" t="n">
        <v>0.06</v>
      </c>
      <c r="C12" s="142" t="s">
        <v>175</v>
      </c>
      <c r="D12" s="142" t="s">
        <v>179</v>
      </c>
    </row>
    <row r="13" customFormat="false" ht="15" hidden="false" customHeight="true" outlineLevel="0" collapsed="false">
      <c r="A13" s="142" t="s">
        <v>181</v>
      </c>
      <c r="B13" s="146" t="n">
        <v>0.03</v>
      </c>
      <c r="C13" s="142" t="s">
        <v>175</v>
      </c>
      <c r="D13" s="142" t="s">
        <v>179</v>
      </c>
    </row>
    <row r="14" customFormat="false" ht="15" hidden="false" customHeight="true" outlineLevel="0" collapsed="false">
      <c r="A14" s="142" t="s">
        <v>33</v>
      </c>
      <c r="B14" s="146" t="n">
        <v>0.12</v>
      </c>
      <c r="C14" s="142" t="s">
        <v>175</v>
      </c>
      <c r="D14" s="142" t="s">
        <v>182</v>
      </c>
    </row>
    <row r="16" customFormat="false" ht="15" hidden="false" customHeight="true" outlineLevel="0" collapsed="false">
      <c r="A16" s="148" t="s">
        <v>183</v>
      </c>
      <c r="B16" s="148" t="s">
        <v>184</v>
      </c>
    </row>
    <row r="18" customFormat="false" ht="15" hidden="false" customHeight="true" outlineLevel="0" collapsed="false">
      <c r="A18" s="148" t="s">
        <v>185</v>
      </c>
      <c r="B18" s="148" t="s">
        <v>186</v>
      </c>
      <c r="C18" s="148" t="s">
        <v>187</v>
      </c>
      <c r="D18" s="148" t="s">
        <v>188</v>
      </c>
    </row>
    <row r="19" customFormat="false" ht="15" hidden="false" customHeight="true" outlineLevel="0" collapsed="false">
      <c r="A19" s="148" t="s">
        <v>189</v>
      </c>
      <c r="B19" s="149" t="n">
        <v>0.0909</v>
      </c>
      <c r="C19" s="148" t="s">
        <v>175</v>
      </c>
      <c r="D19" s="148" t="s">
        <v>190</v>
      </c>
    </row>
    <row r="20" customFormat="false" ht="15" hidden="false" customHeight="true" outlineLevel="0" collapsed="false">
      <c r="A20" s="148" t="s">
        <v>191</v>
      </c>
      <c r="B20" s="149" t="n">
        <v>0.1722</v>
      </c>
      <c r="C20" s="148" t="s">
        <v>175</v>
      </c>
      <c r="D20" s="148" t="s">
        <v>192</v>
      </c>
    </row>
    <row r="21" customFormat="false" ht="15" hidden="false" customHeight="true" outlineLevel="0" collapsed="false">
      <c r="A21" s="148" t="s">
        <v>193</v>
      </c>
      <c r="B21" s="149" t="n">
        <v>0.0805</v>
      </c>
      <c r="C21" s="148" t="s">
        <v>175</v>
      </c>
      <c r="D21" s="148" t="s">
        <v>194</v>
      </c>
    </row>
    <row r="22" customFormat="false" ht="15" hidden="false" customHeight="true" outlineLevel="0" collapsed="false">
      <c r="A22" s="148" t="s">
        <v>195</v>
      </c>
      <c r="B22" s="149" t="n">
        <v>0.1828</v>
      </c>
      <c r="C22" s="148" t="s">
        <v>175</v>
      </c>
      <c r="D22" s="148" t="s">
        <v>196</v>
      </c>
    </row>
    <row r="23" customFormat="false" ht="15" hidden="false" customHeight="true" outlineLevel="0" collapsed="false">
      <c r="A23" s="148" t="s">
        <v>197</v>
      </c>
      <c r="B23" s="149" t="n">
        <v>-0.0287</v>
      </c>
      <c r="C23" s="148" t="s">
        <v>175</v>
      </c>
      <c r="D23" s="148" t="s">
        <v>198</v>
      </c>
    </row>
    <row r="24" customFormat="false" ht="15" hidden="false" customHeight="true" outlineLevel="0" collapsed="false">
      <c r="A24" s="142" t="s">
        <v>199</v>
      </c>
      <c r="B24" s="145" t="n">
        <v>111.2</v>
      </c>
      <c r="C24" s="142" t="s">
        <v>165</v>
      </c>
      <c r="D24" s="142" t="s">
        <v>200</v>
      </c>
    </row>
    <row r="25" customFormat="false" ht="15" hidden="false" customHeight="true" outlineLevel="0" collapsed="false">
      <c r="A25" s="150" t="s">
        <v>201</v>
      </c>
      <c r="B25" s="151" t="s">
        <v>202</v>
      </c>
    </row>
  </sheetData>
  <mergeCells count="1">
    <mergeCell ref="A1:D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5.75" customHeight="false" zeroHeight="false" outlineLevelRow="0" outlineLevelCol="0"/>
  <cols>
    <col collapsed="false" customWidth="false" hidden="false" outlineLevel="0" max="1" min="1" style="152" width="10.83"/>
    <col collapsed="false" customWidth="true" hidden="false" outlineLevel="0" max="2" min="2" style="152" width="30.67"/>
    <col collapsed="false" customWidth="true" hidden="false" outlineLevel="0" max="5" min="3" style="152" width="8.83"/>
    <col collapsed="false" customWidth="false" hidden="false" outlineLevel="0" max="16384" min="6" style="152" width="10.83"/>
  </cols>
  <sheetData>
    <row r="2" customFormat="false" ht="18.75" hidden="false" customHeight="true" outlineLevel="0" collapsed="false">
      <c r="B2" s="153"/>
      <c r="C2" s="153"/>
    </row>
    <row r="3" customFormat="false" ht="15.75" hidden="false" customHeight="true" outlineLevel="0" collapsed="false">
      <c r="B3" s="154" t="s">
        <v>203</v>
      </c>
      <c r="C3" s="155" t="s">
        <v>204</v>
      </c>
      <c r="D3" s="156" t="s">
        <v>205</v>
      </c>
      <c r="E3" s="157" t="s">
        <v>206</v>
      </c>
    </row>
    <row r="4" customFormat="false" ht="18.75" hidden="false" customHeight="true" outlineLevel="0" collapsed="false">
      <c r="B4" s="158" t="s">
        <v>207</v>
      </c>
      <c r="C4" s="159" t="n">
        <v>10775</v>
      </c>
      <c r="D4" s="160" t="n">
        <v>13444</v>
      </c>
      <c r="E4" s="161" t="n">
        <v>13949</v>
      </c>
    </row>
    <row r="5" customFormat="false" ht="18.75" hidden="false" customHeight="true" outlineLevel="0" collapsed="false">
      <c r="B5" s="162" t="s">
        <v>208</v>
      </c>
      <c r="C5" s="163" t="n">
        <v>9332</v>
      </c>
      <c r="D5" s="164" t="n">
        <v>11383</v>
      </c>
      <c r="E5" s="165" t="n">
        <v>12391</v>
      </c>
    </row>
    <row r="6" customFormat="false" ht="18.75" hidden="false" customHeight="true" outlineLevel="0" collapsed="false">
      <c r="B6" s="162" t="s">
        <v>209</v>
      </c>
      <c r="C6" s="163" t="n">
        <v>1443</v>
      </c>
      <c r="D6" s="164" t="n">
        <v>2128</v>
      </c>
      <c r="E6" s="165" t="n">
        <v>1785</v>
      </c>
    </row>
    <row r="7" customFormat="false" ht="18.75" hidden="false" customHeight="true" outlineLevel="0" collapsed="false">
      <c r="B7" s="166" t="s">
        <v>210</v>
      </c>
      <c r="C7" s="167" t="n">
        <v>1314</v>
      </c>
      <c r="D7" s="168" t="n">
        <v>1917</v>
      </c>
      <c r="E7" s="169" t="n">
        <v>1612</v>
      </c>
    </row>
    <row r="10" customFormat="false" ht="15.75" hidden="false" customHeight="true" outlineLevel="0" collapsed="false">
      <c r="B10" s="154" t="s">
        <v>211</v>
      </c>
      <c r="C10" s="155" t="s">
        <v>204</v>
      </c>
      <c r="D10" s="156" t="s">
        <v>205</v>
      </c>
      <c r="E10" s="157" t="s">
        <v>206</v>
      </c>
    </row>
    <row r="11" customFormat="false" ht="18.75" hidden="false" customHeight="true" outlineLevel="0" collapsed="false">
      <c r="B11" s="158" t="s">
        <v>212</v>
      </c>
      <c r="C11" s="159" t="n">
        <v>16406</v>
      </c>
      <c r="D11" s="160" t="n">
        <v>17176</v>
      </c>
      <c r="E11" s="161" t="n">
        <v>17507</v>
      </c>
    </row>
    <row r="12" customFormat="false" ht="18.75" hidden="false" customHeight="true" outlineLevel="0" collapsed="false">
      <c r="B12" s="162" t="s">
        <v>213</v>
      </c>
      <c r="C12" s="163" t="n">
        <v>5643</v>
      </c>
      <c r="D12" s="164" t="n">
        <v>7614</v>
      </c>
      <c r="E12" s="165" t="n">
        <v>7037</v>
      </c>
    </row>
    <row r="13" customFormat="false" ht="18.75" hidden="false" customHeight="true" outlineLevel="0" collapsed="false">
      <c r="B13" s="166" t="s">
        <v>214</v>
      </c>
      <c r="C13" s="167" t="n">
        <v>4675</v>
      </c>
      <c r="D13" s="168" t="n">
        <v>4120</v>
      </c>
      <c r="E13" s="169" t="n">
        <v>3987</v>
      </c>
    </row>
    <row r="16" customFormat="false" ht="15.75" hidden="false" customHeight="true" outlineLevel="0" collapsed="false">
      <c r="B16" s="154" t="s">
        <v>149</v>
      </c>
      <c r="C16" s="155" t="s">
        <v>204</v>
      </c>
      <c r="D16" s="156" t="s">
        <v>205</v>
      </c>
      <c r="E16" s="157" t="s">
        <v>206</v>
      </c>
    </row>
    <row r="17" customFormat="false" ht="18.75" hidden="false" customHeight="true" outlineLevel="0" collapsed="false">
      <c r="B17" s="158" t="s">
        <v>215</v>
      </c>
      <c r="C17" s="159" t="n">
        <v>7422</v>
      </c>
      <c r="D17" s="160" t="n">
        <v>6401</v>
      </c>
      <c r="E17" s="161" t="n">
        <v>8153</v>
      </c>
    </row>
    <row r="18" customFormat="false" ht="18.75" hidden="false" customHeight="true" outlineLevel="0" collapsed="false">
      <c r="B18" s="162" t="s">
        <v>216</v>
      </c>
      <c r="C18" s="163" t="n">
        <v>3341</v>
      </c>
      <c r="D18" s="164" t="n">
        <v>3161</v>
      </c>
      <c r="E18" s="165" t="n">
        <v>2317</v>
      </c>
    </row>
    <row r="19" customFormat="false" ht="15.75" hidden="false" customHeight="true" outlineLevel="0" collapsed="false">
      <c r="B19" s="170" t="s">
        <v>217</v>
      </c>
      <c r="C19" s="171" t="n">
        <f aca="false">C17+C18</f>
        <v>10763</v>
      </c>
      <c r="D19" s="172" t="n">
        <f aca="false">D17+D18</f>
        <v>9562</v>
      </c>
      <c r="E19" s="173" t="n">
        <f aca="false">E17+E18</f>
        <v>10470</v>
      </c>
    </row>
    <row r="22" customFormat="false" ht="15.75" hidden="false" customHeight="true" outlineLevel="0" collapsed="false">
      <c r="B22" s="154" t="s">
        <v>218</v>
      </c>
      <c r="C22" s="155" t="s">
        <v>204</v>
      </c>
      <c r="D22" s="156" t="s">
        <v>205</v>
      </c>
      <c r="E22" s="157" t="s">
        <v>206</v>
      </c>
    </row>
    <row r="23" customFormat="false" ht="15.75" hidden="false" customHeight="true" outlineLevel="0" collapsed="false">
      <c r="B23" s="158" t="s">
        <v>219</v>
      </c>
      <c r="C23" s="174" t="n">
        <f aca="false">(C4-4800.9)/4800.9</f>
        <v>1.24437084713283</v>
      </c>
      <c r="D23" s="174" t="n">
        <f aca="false">(D4-C4)/C4</f>
        <v>0.247703016241299</v>
      </c>
      <c r="E23" s="175" t="n">
        <f aca="false">(E4-D4)/D4</f>
        <v>0.0375632252305861</v>
      </c>
    </row>
    <row r="24" customFormat="false" ht="15.75" hidden="false" customHeight="true" outlineLevel="0" collapsed="false">
      <c r="B24" s="162" t="s">
        <v>220</v>
      </c>
      <c r="C24" s="176" t="s">
        <v>221</v>
      </c>
      <c r="D24" s="177" t="n">
        <f aca="false">(D7-C7)/C7</f>
        <v>0.458904109589041</v>
      </c>
      <c r="E24" s="178" t="n">
        <f aca="false">(E7-D7)/D7</f>
        <v>-0.159102764736568</v>
      </c>
    </row>
    <row r="25" customFormat="false" ht="15.75" hidden="false" customHeight="true" outlineLevel="0" collapsed="false">
      <c r="B25" s="162" t="s">
        <v>222</v>
      </c>
      <c r="C25" s="179" t="n">
        <f aca="false">C7/C4</f>
        <v>0.121948955916473</v>
      </c>
      <c r="D25" s="177" t="n">
        <f aca="false">D7/D4</f>
        <v>0.142591490627789</v>
      </c>
      <c r="E25" s="178" t="n">
        <f aca="false">E7/E4</f>
        <v>0.115563839701771</v>
      </c>
    </row>
    <row r="26" customFormat="false" ht="15.75" hidden="false" customHeight="true" outlineLevel="0" collapsed="false">
      <c r="B26" s="162" t="s">
        <v>223</v>
      </c>
      <c r="C26" s="179" t="n">
        <f aca="false">(C4-C5)/C4</f>
        <v>0.133921113689095</v>
      </c>
      <c r="D26" s="177" t="n">
        <f aca="false">(D4-D5)/D4</f>
        <v>0.153302588515323</v>
      </c>
      <c r="E26" s="178" t="n">
        <f aca="false">(E4-E5)/E4</f>
        <v>0.111692594451215</v>
      </c>
    </row>
    <row r="27" customFormat="false" ht="15.75" hidden="false" customHeight="true" outlineLevel="0" collapsed="false">
      <c r="B27" s="162" t="s">
        <v>224</v>
      </c>
      <c r="C27" s="179" t="n">
        <f aca="false">C5/C4</f>
        <v>0.866078886310905</v>
      </c>
      <c r="D27" s="177" t="n">
        <f aca="false">D5/D4</f>
        <v>0.846697411484677</v>
      </c>
      <c r="E27" s="178" t="n">
        <f aca="false">E5/E4</f>
        <v>0.888307405548785</v>
      </c>
    </row>
    <row r="28" customFormat="false" ht="15.75" hidden="false" customHeight="true" outlineLevel="0" collapsed="false">
      <c r="B28" s="162" t="s">
        <v>225</v>
      </c>
      <c r="C28" s="179" t="n">
        <f aca="false">C7/C11</f>
        <v>0.0800926490308424</v>
      </c>
      <c r="D28" s="177" t="n">
        <f aca="false">D7/D11</f>
        <v>0.11160922217047</v>
      </c>
      <c r="E28" s="178" t="n">
        <f aca="false">E7/E11</f>
        <v>0.0920774547323928</v>
      </c>
    </row>
    <row r="29" customFormat="false" ht="15.75" hidden="false" customHeight="true" outlineLevel="0" collapsed="false">
      <c r="B29" s="162" t="s">
        <v>226</v>
      </c>
      <c r="C29" s="179" t="n">
        <f aca="false">C7/C12</f>
        <v>0.232854864433812</v>
      </c>
      <c r="D29" s="177" t="n">
        <f aca="false">D7/D12</f>
        <v>0.25177304964539</v>
      </c>
      <c r="E29" s="178" t="n">
        <f aca="false">E7/E12</f>
        <v>0.229074889867841</v>
      </c>
    </row>
    <row r="30" customFormat="false" ht="15.75" hidden="false" customHeight="true" outlineLevel="0" collapsed="false">
      <c r="B30" s="162" t="s">
        <v>227</v>
      </c>
      <c r="C30" s="179" t="n">
        <f aca="false">C19/C11</f>
        <v>0.656040472997684</v>
      </c>
      <c r="D30" s="177" t="n">
        <f aca="false">D19/D11</f>
        <v>0.556707033069399</v>
      </c>
      <c r="E30" s="178" t="n">
        <f aca="false">E19/E11</f>
        <v>0.598046495687439</v>
      </c>
    </row>
    <row r="31" customFormat="false" ht="15.75" hidden="false" customHeight="true" outlineLevel="0" collapsed="false">
      <c r="B31" s="166" t="s">
        <v>228</v>
      </c>
      <c r="C31" s="180" t="n">
        <f aca="false">C12/C11</f>
        <v>0.343959527002316</v>
      </c>
      <c r="D31" s="181" t="n">
        <f aca="false">D12/D11</f>
        <v>0.443292966930601</v>
      </c>
      <c r="E31" s="182" t="n">
        <f aca="false">E12/E11</f>
        <v>0.401953504312561</v>
      </c>
    </row>
    <row r="33" customFormat="false" ht="15.75" hidden="false" customHeight="true" outlineLevel="0" collapsed="false">
      <c r="B33" s="152" t="s">
        <v>229</v>
      </c>
    </row>
    <row r="35" customFormat="false" ht="15.75" hidden="false" customHeight="true" outlineLevel="0" collapsed="false">
      <c r="B35" s="152" t="s">
        <v>230</v>
      </c>
    </row>
    <row r="36" customFormat="false" ht="15.75" hidden="false" customHeight="true" outlineLevel="0" collapsed="false">
      <c r="B36" s="152" t="s">
        <v>231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3"/>
    <col collapsed="false" customWidth="true" hidden="false" outlineLevel="0" max="5" min="5" style="1" width="30"/>
    <col collapsed="false" customWidth="true" hidden="false" outlineLevel="0" max="16" min="6" style="1" width="11"/>
  </cols>
  <sheetData>
    <row r="1" customFormat="false" ht="15" hidden="false" customHeight="true" outlineLevel="0" collapsed="false">
      <c r="B1" s="80" t="s">
        <v>232</v>
      </c>
    </row>
    <row r="3" customFormat="false" ht="15" hidden="false" customHeight="true" outlineLevel="0" collapsed="false">
      <c r="B3" s="81" t="s">
        <v>233</v>
      </c>
      <c r="C3" s="81"/>
    </row>
    <row r="4" customFormat="false" ht="15" hidden="false" customHeight="true" outlineLevel="0" collapsed="false">
      <c r="B4" s="83" t="s">
        <v>33</v>
      </c>
      <c r="C4" s="183" t="n">
        <f aca="false">'Sources &amp; Checks'!$B$14</f>
        <v>0.12</v>
      </c>
    </row>
    <row r="5" customFormat="false" ht="15" hidden="false" customHeight="true" outlineLevel="0" collapsed="false">
      <c r="B5" s="83" t="s">
        <v>234</v>
      </c>
      <c r="C5" s="184" t="n">
        <f aca="false">'Sources &amp; Checks'!$B$21</f>
        <v>0.0805</v>
      </c>
    </row>
    <row r="6" customFormat="false" ht="15" hidden="false" customHeight="true" outlineLevel="0" collapsed="false">
      <c r="B6" s="83" t="s">
        <v>235</v>
      </c>
      <c r="C6" s="184" t="n">
        <f aca="false">'Sources &amp; Checks'!$B$22</f>
        <v>0.1828</v>
      </c>
    </row>
    <row r="7" customFormat="false" ht="15" hidden="false" customHeight="true" outlineLevel="0" collapsed="false">
      <c r="B7" s="83" t="s">
        <v>236</v>
      </c>
      <c r="C7" s="184" t="n">
        <f aca="false">'Sources &amp; Checks'!$B$23</f>
        <v>-0.0287</v>
      </c>
    </row>
    <row r="8" customFormat="false" ht="15" hidden="false" customHeight="true" outlineLevel="0" collapsed="false">
      <c r="B8" s="83" t="s">
        <v>237</v>
      </c>
      <c r="C8" s="185" t="n">
        <f aca="false">DCF!$N$20</f>
        <v>13948.5</v>
      </c>
    </row>
    <row r="9" customFormat="false" ht="15" hidden="false" customHeight="true" outlineLevel="0" collapsed="false">
      <c r="B9" s="83" t="s">
        <v>238</v>
      </c>
      <c r="C9" s="185" t="n">
        <f aca="false">'Sources &amp; Checks'!$B$6</f>
        <v>2400</v>
      </c>
    </row>
    <row r="10" customFormat="false" ht="15" hidden="false" customHeight="true" outlineLevel="0" collapsed="false">
      <c r="B10" s="83" t="s">
        <v>239</v>
      </c>
      <c r="C10" s="185" t="n">
        <f aca="false">'Sources &amp; Checks'!$B$7+'Sources &amp; Checks'!$B$24</f>
        <v>1611.2</v>
      </c>
    </row>
    <row r="11" customFormat="false" ht="15" hidden="false" customHeight="true" outlineLevel="0" collapsed="false">
      <c r="B11" s="83" t="s">
        <v>240</v>
      </c>
      <c r="C11" s="185" t="n">
        <f aca="false">'Sources &amp; Checks'!$B$9</f>
        <v>1066.8</v>
      </c>
    </row>
    <row r="12" customFormat="false" ht="15" hidden="false" customHeight="true" outlineLevel="0" collapsed="false">
      <c r="B12" s="83" t="s">
        <v>26</v>
      </c>
      <c r="C12" s="186" t="n">
        <f aca="false">DCF!$D$18</f>
        <v>9</v>
      </c>
    </row>
    <row r="14" customFormat="false" ht="15" hidden="false" customHeight="true" outlineLevel="0" collapsed="false">
      <c r="B14" s="187" t="s">
        <v>241</v>
      </c>
    </row>
    <row r="15" customFormat="false" ht="15" hidden="false" customHeight="true" outlineLevel="0" collapsed="false">
      <c r="B15" s="81" t="s">
        <v>13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</row>
    <row r="16" customFormat="false" ht="15" hidden="false" customHeight="true" outlineLevel="0" collapsed="false">
      <c r="B16" s="188" t="s">
        <v>242</v>
      </c>
      <c r="C16" s="188" t="s">
        <v>155</v>
      </c>
      <c r="E16" s="188" t="s">
        <v>243</v>
      </c>
      <c r="F16" s="189" t="str">
        <f aca="false">"FY"&amp;RIGHT(DCF!O$38,2)</f>
        <v>FY26</v>
      </c>
      <c r="G16" s="189" t="str">
        <f aca="false">"FY"&amp;RIGHT(DCF!P$38,2)</f>
        <v>FY27</v>
      </c>
      <c r="H16" s="189" t="str">
        <f aca="false">"FY"&amp;RIGHT(DCF!Q$38,2)</f>
        <v>FY28</v>
      </c>
      <c r="I16" s="189" t="str">
        <f aca="false">"FY"&amp;RIGHT(DCF!R$38,2)</f>
        <v>FY29</v>
      </c>
      <c r="J16" s="189" t="str">
        <f aca="false">"FY"&amp;RIGHT(DCF!S$38,2)</f>
        <v>FY30</v>
      </c>
      <c r="K16" s="189" t="str">
        <f aca="false">"FY"&amp;RIGHT(DCF!T$38,2)</f>
        <v>FY31</v>
      </c>
      <c r="L16" s="189" t="str">
        <f aca="false">"FY"&amp;RIGHT(DCF!U$38,2)</f>
        <v>FY32</v>
      </c>
      <c r="M16" s="189" t="str">
        <f aca="false">"FY"&amp;RIGHT(DCF!V$38,2)</f>
        <v>FY33</v>
      </c>
      <c r="N16" s="189" t="str">
        <f aca="false">"FY"&amp;RIGHT(DCF!W$38,2)</f>
        <v>FY34</v>
      </c>
      <c r="O16" s="189" t="str">
        <f aca="false">"FY"&amp;RIGHT(DCF!X$38,2)</f>
        <v>FY35</v>
      </c>
      <c r="P16" s="189" t="s">
        <v>40</v>
      </c>
    </row>
    <row r="17" customFormat="false" ht="15" hidden="false" customHeight="true" outlineLevel="0" collapsed="false">
      <c r="B17" s="83" t="s">
        <v>244</v>
      </c>
      <c r="C17" s="184" t="n">
        <f aca="false">DCF!$H$11</f>
        <v>0.07</v>
      </c>
      <c r="E17" s="83" t="s">
        <v>74</v>
      </c>
      <c r="F17" s="190" t="n">
        <f aca="false">$C$17</f>
        <v>0.07</v>
      </c>
      <c r="G17" s="190" t="n">
        <f aca="false">F17-($C$17-$C$20)/$C$12</f>
        <v>0.0633333333333333</v>
      </c>
      <c r="H17" s="190" t="n">
        <f aca="false">G17-($C$17-$C$20)/$C$12</f>
        <v>0.0566666666666667</v>
      </c>
      <c r="I17" s="190" t="n">
        <f aca="false">H17-($C$17-$C$20)/$C$12</f>
        <v>0.05</v>
      </c>
      <c r="J17" s="190" t="n">
        <f aca="false">I17-($C$17-$C$20)/$C$12</f>
        <v>0.0433333333333333</v>
      </c>
      <c r="K17" s="190" t="n">
        <f aca="false">J17-($C$17-$C$20)/$C$12</f>
        <v>0.0366666666666667</v>
      </c>
      <c r="L17" s="190" t="n">
        <f aca="false">K17-($C$17-$C$20)/$C$12</f>
        <v>0.03</v>
      </c>
      <c r="M17" s="190" t="n">
        <f aca="false">L17-($C$17-$C$20)/$C$12</f>
        <v>0.0233333333333333</v>
      </c>
      <c r="N17" s="190" t="n">
        <f aca="false">M17-($C$17-$C$20)/$C$12</f>
        <v>0.0166666666666667</v>
      </c>
      <c r="O17" s="190" t="n">
        <f aca="false">N17-($C$17-$C$20)/$C$12</f>
        <v>0.01</v>
      </c>
    </row>
    <row r="18" customFormat="false" ht="15" hidden="false" customHeight="true" outlineLevel="0" collapsed="false">
      <c r="B18" s="83" t="s">
        <v>245</v>
      </c>
      <c r="C18" s="184" t="n">
        <f aca="false">DCF!$H$13</f>
        <v>0.16</v>
      </c>
      <c r="E18" s="83" t="s">
        <v>16</v>
      </c>
      <c r="F18" s="191" t="n">
        <f aca="false">$C$8*(1+F17)</f>
        <v>14924.895</v>
      </c>
      <c r="G18" s="191" t="n">
        <f aca="false">F18*(1+G17)</f>
        <v>15870.13835</v>
      </c>
      <c r="H18" s="191" t="n">
        <f aca="false">G18*(1+H17)</f>
        <v>16769.4461898333</v>
      </c>
      <c r="I18" s="191" t="n">
        <f aca="false">H18*(1+I17)</f>
        <v>17607.918499325</v>
      </c>
      <c r="J18" s="191" t="n">
        <f aca="false">I18*(1+J17)</f>
        <v>18370.9283009624</v>
      </c>
      <c r="K18" s="191" t="n">
        <f aca="false">J18*(1+K17)</f>
        <v>19044.529005331</v>
      </c>
      <c r="L18" s="191" t="n">
        <f aca="false">K18*(1+L17)</f>
        <v>19615.864875491</v>
      </c>
      <c r="M18" s="191" t="n">
        <f aca="false">L18*(1+M17)</f>
        <v>20073.5683892524</v>
      </c>
      <c r="N18" s="191" t="n">
        <f aca="false">M18*(1+N17)</f>
        <v>20408.1278624066</v>
      </c>
      <c r="O18" s="191" t="n">
        <f aca="false">N18*(1+O17)</f>
        <v>20612.2091410307</v>
      </c>
    </row>
    <row r="19" customFormat="false" ht="15" hidden="false" customHeight="true" outlineLevel="0" collapsed="false">
      <c r="B19" s="83" t="s">
        <v>21</v>
      </c>
      <c r="C19" s="192" t="n">
        <f aca="false">DCF!$H$16</f>
        <v>0.092</v>
      </c>
      <c r="E19" s="83" t="s">
        <v>246</v>
      </c>
      <c r="F19" s="191" t="n">
        <f aca="false">F18*$C$18*(1-$C$4)</f>
        <v>2101.425216</v>
      </c>
      <c r="G19" s="191" t="n">
        <f aca="false">G18*$C$18*(1-$C$4)</f>
        <v>2234.51547968</v>
      </c>
      <c r="H19" s="191" t="n">
        <f aca="false">H18*$C$18*(1-$C$4)</f>
        <v>2361.13802352853</v>
      </c>
      <c r="I19" s="191" t="n">
        <f aca="false">I18*$C$18*(1-$C$4)</f>
        <v>2479.19492470496</v>
      </c>
      <c r="J19" s="191" t="n">
        <f aca="false">J18*$C$18*(1-$C$4)</f>
        <v>2586.62670477551</v>
      </c>
      <c r="K19" s="191" t="n">
        <f aca="false">K18*$C$18*(1-$C$4)</f>
        <v>2681.46968395061</v>
      </c>
      <c r="L19" s="191" t="n">
        <f aca="false">L18*$C$18*(1-$C$4)</f>
        <v>2761.91377446913</v>
      </c>
      <c r="M19" s="191" t="n">
        <f aca="false">M18*$C$18*(1-$C$4)</f>
        <v>2826.35842920674</v>
      </c>
      <c r="N19" s="191" t="n">
        <f aca="false">N18*$C$18*(1-$C$4)</f>
        <v>2873.46440302685</v>
      </c>
      <c r="O19" s="191" t="n">
        <f aca="false">O18*$C$18*(1-$C$4)</f>
        <v>2902.19904705712</v>
      </c>
      <c r="P19" s="191" t="n">
        <f aca="false">O19*(1+$C$20)</f>
        <v>2931.22103752769</v>
      </c>
    </row>
    <row r="20" customFormat="false" ht="15" hidden="false" customHeight="true" outlineLevel="0" collapsed="false">
      <c r="B20" s="83" t="s">
        <v>247</v>
      </c>
      <c r="C20" s="184" t="n">
        <f aca="false">DCF!$H$17</f>
        <v>0.01</v>
      </c>
      <c r="E20" s="83" t="s">
        <v>46</v>
      </c>
      <c r="F20" s="190" t="n">
        <f aca="false">$C$17/(($C$6-$C$5+$C$7)/($C$18*(1-$C$4)))</f>
        <v>0.133913043478261</v>
      </c>
      <c r="G20" s="190" t="n">
        <f aca="false">F20-($F20-$C$19)/$C$12</f>
        <v>0.129256038647343</v>
      </c>
      <c r="H20" s="190" t="n">
        <f aca="false">G20-($F20-$C$19)/$C$12</f>
        <v>0.124599033816425</v>
      </c>
      <c r="I20" s="190" t="n">
        <f aca="false">H20-($F20-$C$19)/$C$12</f>
        <v>0.119942028985507</v>
      </c>
      <c r="J20" s="190" t="n">
        <f aca="false">I20-($F20-$C$19)/$C$12</f>
        <v>0.115285024154589</v>
      </c>
      <c r="K20" s="190" t="n">
        <f aca="false">J20-($F20-$C$19)/$C$12</f>
        <v>0.110628019323672</v>
      </c>
      <c r="L20" s="190" t="n">
        <f aca="false">K20-($F20-$C$19)/$C$12</f>
        <v>0.105971014492754</v>
      </c>
      <c r="M20" s="190" t="n">
        <f aca="false">L20-($F20-$C$19)/$C$12</f>
        <v>0.101314009661836</v>
      </c>
      <c r="N20" s="190" t="n">
        <f aca="false">M20-($F20-$C$19)/$C$12</f>
        <v>0.0966570048309179</v>
      </c>
      <c r="O20" s="190" t="n">
        <f aca="false">N20-($F20-$C$19)/$C$12</f>
        <v>0.092</v>
      </c>
      <c r="P20" s="190" t="n">
        <f aca="false">$C$19</f>
        <v>0.092</v>
      </c>
    </row>
    <row r="21" customFormat="false" ht="15" hidden="false" customHeight="true" outlineLevel="0" collapsed="false">
      <c r="E21" s="83" t="s">
        <v>45</v>
      </c>
      <c r="F21" s="193" t="n">
        <f aca="false">F17/F20</f>
        <v>0.522727272727273</v>
      </c>
      <c r="G21" s="193" t="n">
        <f aca="false">G17/G20</f>
        <v>0.489983555090447</v>
      </c>
      <c r="H21" s="193" t="n">
        <f aca="false">H17/H20</f>
        <v>0.454792183622829</v>
      </c>
      <c r="I21" s="193" t="n">
        <f aca="false">I17/I20</f>
        <v>0.41686805219913</v>
      </c>
      <c r="J21" s="193" t="n">
        <f aca="false">J17/J20</f>
        <v>0.375879986590681</v>
      </c>
      <c r="K21" s="193" t="n">
        <f aca="false">K17/K20</f>
        <v>0.331441048034935</v>
      </c>
      <c r="L21" s="193" t="n">
        <f aca="false">L17/L20</f>
        <v>0.283096280087527</v>
      </c>
      <c r="M21" s="193" t="n">
        <f aca="false">M17/M20</f>
        <v>0.230307076101469</v>
      </c>
      <c r="N21" s="193" t="n">
        <f aca="false">N17/N20</f>
        <v>0.172431027588964</v>
      </c>
      <c r="O21" s="193" t="n">
        <f aca="false">O17/O20</f>
        <v>0.108695652173913</v>
      </c>
      <c r="P21" s="193" t="n">
        <f aca="false">$C$20/P20</f>
        <v>0.108695652173913</v>
      </c>
    </row>
    <row r="22" customFormat="false" ht="15" hidden="false" customHeight="true" outlineLevel="0" collapsed="false">
      <c r="E22" s="83" t="s">
        <v>248</v>
      </c>
      <c r="F22" s="191" t="n">
        <f aca="false">F19*F21</f>
        <v>1098.472272</v>
      </c>
      <c r="G22" s="191" t="n">
        <f aca="false">G19*G21</f>
        <v>1094.87583863824</v>
      </c>
      <c r="H22" s="191" t="n">
        <f aca="false">H19*H21</f>
        <v>1073.82711755543</v>
      </c>
      <c r="I22" s="191" t="n">
        <f aca="false">I19*I21</f>
        <v>1033.49715928373</v>
      </c>
      <c r="J22" s="191" t="n">
        <f aca="false">J19*J21</f>
        <v>972.261211106114</v>
      </c>
      <c r="K22" s="191" t="n">
        <f aca="false">K19*K21</f>
        <v>888.749122322495</v>
      </c>
      <c r="L22" s="191" t="n">
        <f aca="false">L19*L21</f>
        <v>781.887515474712</v>
      </c>
      <c r="M22" s="191" t="n">
        <f aca="false">M19*M21</f>
        <v>650.930345845345</v>
      </c>
      <c r="N22" s="191" t="n">
        <f aca="false">N19*N21</f>
        <v>495.474419754231</v>
      </c>
      <c r="O22" s="191" t="n">
        <f aca="false">O19*O21</f>
        <v>315.456418158383</v>
      </c>
    </row>
    <row r="23" customFormat="false" ht="15" hidden="false" customHeight="true" outlineLevel="0" collapsed="false">
      <c r="E23" s="82" t="s">
        <v>47</v>
      </c>
      <c r="F23" s="194" t="n">
        <f aca="false">F19-F22</f>
        <v>1002.952944</v>
      </c>
      <c r="G23" s="194" t="n">
        <f aca="false">G19-G22</f>
        <v>1139.63964104176</v>
      </c>
      <c r="H23" s="194" t="n">
        <f aca="false">H19-H22</f>
        <v>1287.3109059731</v>
      </c>
      <c r="I23" s="194" t="n">
        <f aca="false">I19-I22</f>
        <v>1445.69776542123</v>
      </c>
      <c r="J23" s="194" t="n">
        <f aca="false">J19-J22</f>
        <v>1614.36549366939</v>
      </c>
      <c r="K23" s="194" t="n">
        <f aca="false">K19-K22</f>
        <v>1792.72056162812</v>
      </c>
      <c r="L23" s="194" t="n">
        <f aca="false">L19-L22</f>
        <v>1980.02625899442</v>
      </c>
      <c r="M23" s="194" t="n">
        <f aca="false">M19-M22</f>
        <v>2175.4280833614</v>
      </c>
      <c r="N23" s="194" t="n">
        <f aca="false">N19-N22</f>
        <v>2377.98998327262</v>
      </c>
      <c r="O23" s="194" t="n">
        <f aca="false">O19-O22</f>
        <v>2586.74262889874</v>
      </c>
      <c r="P23" s="194" t="n">
        <f aca="false">P19*(1-P21)</f>
        <v>2612.61005518773</v>
      </c>
    </row>
    <row r="24" customFormat="false" ht="15" hidden="false" customHeight="true" outlineLevel="0" collapsed="false">
      <c r="B24" s="83" t="s">
        <v>249</v>
      </c>
      <c r="C24" s="185" t="n">
        <f aca="false">SUM(F25:O25)</f>
        <v>10677.2345379775</v>
      </c>
      <c r="E24" s="83" t="s">
        <v>250</v>
      </c>
      <c r="F24" s="195" t="n">
        <f aca="false">DCF!O$71</f>
        <v>0.0347222222222222</v>
      </c>
      <c r="G24" s="195" t="n">
        <f aca="false">DCF!P$71</f>
        <v>0.569444444444444</v>
      </c>
      <c r="H24" s="195" t="n">
        <f aca="false">DCF!Q$71</f>
        <v>1.56944444444444</v>
      </c>
      <c r="I24" s="195" t="n">
        <f aca="false">DCF!R$71</f>
        <v>2.56944444444444</v>
      </c>
      <c r="J24" s="195" t="n">
        <f aca="false">DCF!S$71</f>
        <v>3.56944444444444</v>
      </c>
      <c r="K24" s="195" t="n">
        <f aca="false">DCF!T$71</f>
        <v>4.56944444444445</v>
      </c>
      <c r="L24" s="195" t="n">
        <f aca="false">DCF!U$71</f>
        <v>5.56944444444445</v>
      </c>
      <c r="M24" s="195" t="n">
        <f aca="false">DCF!V$71</f>
        <v>6.56944444444445</v>
      </c>
      <c r="N24" s="195" t="n">
        <f aca="false">DCF!W$71</f>
        <v>7.56944444444445</v>
      </c>
      <c r="O24" s="195" t="n">
        <f aca="false">DCF!X$71</f>
        <v>8.56944444444445</v>
      </c>
    </row>
    <row r="25" customFormat="false" ht="15" hidden="false" customHeight="true" outlineLevel="0" collapsed="false">
      <c r="B25" s="83" t="s">
        <v>80</v>
      </c>
      <c r="C25" s="185" t="n">
        <f aca="false">P23/($C$19-$C$20)</f>
        <v>31861.0982339967</v>
      </c>
      <c r="E25" s="83" t="s">
        <v>251</v>
      </c>
      <c r="F25" s="191" t="n">
        <f aca="false">F23*DCF!$O$70/(1+$C$19)^F24</f>
        <v>69.4369906350995</v>
      </c>
      <c r="G25" s="191" t="n">
        <f aca="false">G23/(1+$C$19)^G24</f>
        <v>1083.93160167778</v>
      </c>
      <c r="H25" s="191" t="n">
        <f aca="false">H23/(1+$C$19)^H24</f>
        <v>1121.23111468364</v>
      </c>
      <c r="I25" s="191" t="n">
        <f aca="false">I23/(1+$C$19)^I24</f>
        <v>1153.09891617424</v>
      </c>
      <c r="J25" s="191" t="n">
        <f aca="false">J23/(1+$C$19)^J24</f>
        <v>1179.14790024581</v>
      </c>
      <c r="K25" s="191" t="n">
        <f aca="false">K23/(1+$C$19)^K24</f>
        <v>1199.10268960731</v>
      </c>
      <c r="L25" s="191" t="n">
        <f aca="false">L23/(1+$C$19)^L24</f>
        <v>1212.80810040952</v>
      </c>
      <c r="M25" s="191" t="n">
        <f aca="false">M23/(1+$C$19)^M24</f>
        <v>1220.2343079872</v>
      </c>
      <c r="N25" s="191" t="n">
        <f aca="false">N23/(1+$C$19)^N24</f>
        <v>1221.47865800931</v>
      </c>
      <c r="O25" s="191" t="n">
        <f aca="false">O23/(1+$C$19)^O24</f>
        <v>1216.76425854759</v>
      </c>
    </row>
    <row r="26" customFormat="false" ht="15" hidden="false" customHeight="true" outlineLevel="0" collapsed="false">
      <c r="B26" s="83" t="s">
        <v>252</v>
      </c>
      <c r="C26" s="185" t="n">
        <f aca="false">C25/(1+$C$19)^O24</f>
        <v>14986.9744040618</v>
      </c>
    </row>
    <row r="27" customFormat="false" ht="15" hidden="false" customHeight="true" outlineLevel="0" collapsed="false">
      <c r="B27" s="83" t="s">
        <v>253</v>
      </c>
      <c r="C27" s="185" t="n">
        <f aca="false">C24+C26</f>
        <v>25664.2089420393</v>
      </c>
    </row>
    <row r="28" customFormat="false" ht="15" hidden="false" customHeight="true" outlineLevel="0" collapsed="false">
      <c r="B28" s="83" t="s">
        <v>254</v>
      </c>
      <c r="C28" s="185" t="n">
        <f aca="false">C27+$C$9-$C$10</f>
        <v>26453.0089420393</v>
      </c>
    </row>
    <row r="29" customFormat="false" ht="15" hidden="false" customHeight="true" outlineLevel="0" collapsed="false">
      <c r="B29" s="188" t="s">
        <v>255</v>
      </c>
      <c r="C29" s="196" t="n">
        <f aca="false">C28/$C$11</f>
        <v>24.7965963086233</v>
      </c>
    </row>
    <row r="30" customFormat="false" ht="15" hidden="false" customHeight="true" outlineLevel="0" collapsed="false">
      <c r="B30" s="83" t="s">
        <v>256</v>
      </c>
      <c r="C30" s="183" t="n">
        <f aca="false">1-P23/P19</f>
        <v>0.108695652173913</v>
      </c>
    </row>
    <row r="31" customFormat="false" ht="15" hidden="false" customHeight="true" outlineLevel="0" collapsed="false">
      <c r="B31" s="83" t="s">
        <v>257</v>
      </c>
      <c r="C31" s="183" t="n">
        <f aca="false">C26/C27</f>
        <v>0.58396401143354</v>
      </c>
    </row>
    <row r="34" customFormat="false" ht="15" hidden="false" customHeight="true" outlineLevel="0" collapsed="false">
      <c r="B34" s="81" t="s">
        <v>65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</row>
    <row r="35" customFormat="false" ht="15" hidden="false" customHeight="true" outlineLevel="0" collapsed="false">
      <c r="B35" s="188" t="s">
        <v>242</v>
      </c>
      <c r="C35" s="188" t="s">
        <v>155</v>
      </c>
      <c r="E35" s="188" t="s">
        <v>243</v>
      </c>
      <c r="F35" s="189" t="str">
        <f aca="false">"FY"&amp;RIGHT(DCF!O$38,2)</f>
        <v>FY26</v>
      </c>
      <c r="G35" s="189" t="str">
        <f aca="false">"FY"&amp;RIGHT(DCF!P$38,2)</f>
        <v>FY27</v>
      </c>
      <c r="H35" s="189" t="str">
        <f aca="false">"FY"&amp;RIGHT(DCF!Q$38,2)</f>
        <v>FY28</v>
      </c>
      <c r="I35" s="189" t="str">
        <f aca="false">"FY"&amp;RIGHT(DCF!R$38,2)</f>
        <v>FY29</v>
      </c>
      <c r="J35" s="189" t="str">
        <f aca="false">"FY"&amp;RIGHT(DCF!S$38,2)</f>
        <v>FY30</v>
      </c>
      <c r="K35" s="189" t="str">
        <f aca="false">"FY"&amp;RIGHT(DCF!T$38,2)</f>
        <v>FY31</v>
      </c>
      <c r="L35" s="189" t="str">
        <f aca="false">"FY"&amp;RIGHT(DCF!U$38,2)</f>
        <v>FY32</v>
      </c>
      <c r="M35" s="189" t="str">
        <f aca="false">"FY"&amp;RIGHT(DCF!V$38,2)</f>
        <v>FY33</v>
      </c>
      <c r="N35" s="189" t="str">
        <f aca="false">"FY"&amp;RIGHT(DCF!W$38,2)</f>
        <v>FY34</v>
      </c>
      <c r="O35" s="189" t="str">
        <f aca="false">"FY"&amp;RIGHT(DCF!X$38,2)</f>
        <v>FY35</v>
      </c>
      <c r="P35" s="189" t="s">
        <v>40</v>
      </c>
    </row>
    <row r="36" customFormat="false" ht="15" hidden="false" customHeight="true" outlineLevel="0" collapsed="false">
      <c r="B36" s="83" t="s">
        <v>244</v>
      </c>
      <c r="C36" s="184" t="n">
        <f aca="false">DCF!$L$11</f>
        <v>0.0909</v>
      </c>
      <c r="E36" s="83" t="s">
        <v>74</v>
      </c>
      <c r="F36" s="190" t="n">
        <f aca="false">$C$36</f>
        <v>0.0909</v>
      </c>
      <c r="G36" s="190" t="n">
        <f aca="false">F36-($C$36-$C$39)/$C$12</f>
        <v>0.0824666666666667</v>
      </c>
      <c r="H36" s="190" t="n">
        <f aca="false">G36-($C$36-$C$39)/$C$12</f>
        <v>0.0740333333333333</v>
      </c>
      <c r="I36" s="190" t="n">
        <f aca="false">H36-($C$36-$C$39)/$C$12</f>
        <v>0.0656</v>
      </c>
      <c r="J36" s="190" t="n">
        <f aca="false">I36-($C$36-$C$39)/$C$12</f>
        <v>0.0571666666666667</v>
      </c>
      <c r="K36" s="190" t="n">
        <f aca="false">J36-($C$36-$C$39)/$C$12</f>
        <v>0.0487333333333333</v>
      </c>
      <c r="L36" s="190" t="n">
        <f aca="false">K36-($C$36-$C$39)/$C$12</f>
        <v>0.0403</v>
      </c>
      <c r="M36" s="190" t="n">
        <f aca="false">L36-($C$36-$C$39)/$C$12</f>
        <v>0.0318666666666667</v>
      </c>
      <c r="N36" s="190" t="n">
        <f aca="false">M36-($C$36-$C$39)/$C$12</f>
        <v>0.0234333333333333</v>
      </c>
      <c r="O36" s="190" t="n">
        <f aca="false">N36-($C$36-$C$39)/$C$12</f>
        <v>0.015</v>
      </c>
    </row>
    <row r="37" customFormat="false" ht="15" hidden="false" customHeight="true" outlineLevel="0" collapsed="false">
      <c r="B37" s="83" t="s">
        <v>245</v>
      </c>
      <c r="C37" s="184" t="n">
        <f aca="false">DCF!$L$13</f>
        <v>0.1722</v>
      </c>
      <c r="E37" s="83" t="s">
        <v>16</v>
      </c>
      <c r="F37" s="191" t="n">
        <f aca="false">$C$8*(1+F36)</f>
        <v>15216.41865</v>
      </c>
      <c r="G37" s="191" t="n">
        <f aca="false">F37*(1+G36)</f>
        <v>16471.26597467</v>
      </c>
      <c r="H37" s="191" t="n">
        <f aca="false">G37*(1+H36)</f>
        <v>17690.6886989947</v>
      </c>
      <c r="I37" s="191" t="n">
        <f aca="false">H37*(1+I36)</f>
        <v>18851.1978776488</v>
      </c>
      <c r="J37" s="191" t="n">
        <f aca="false">I37*(1+J36)</f>
        <v>19928.8580229877</v>
      </c>
      <c r="K37" s="191" t="n">
        <f aca="false">J37*(1+K36)</f>
        <v>20900.0577039746</v>
      </c>
      <c r="L37" s="191" t="n">
        <f aca="false">K37*(1+L36)</f>
        <v>21742.3300294448</v>
      </c>
      <c r="M37" s="191" t="n">
        <f aca="false">L37*(1+M36)</f>
        <v>22435.1856130498</v>
      </c>
      <c r="N37" s="191" t="n">
        <f aca="false">M37*(1+N36)</f>
        <v>22960.9167959156</v>
      </c>
      <c r="O37" s="191" t="n">
        <f aca="false">N37*(1+O36)</f>
        <v>23305.3305478543</v>
      </c>
    </row>
    <row r="38" customFormat="false" ht="15" hidden="false" customHeight="true" outlineLevel="0" collapsed="false">
      <c r="B38" s="83" t="s">
        <v>21</v>
      </c>
      <c r="C38" s="192" t="n">
        <f aca="false">DCF!$L$16</f>
        <v>0.0858027889618787</v>
      </c>
      <c r="E38" s="83" t="s">
        <v>246</v>
      </c>
      <c r="F38" s="191" t="n">
        <f aca="false">F37*$C$37*(1-$C$4)</f>
        <v>2305.8352165464</v>
      </c>
      <c r="G38" s="191" t="n">
        <f aca="false">G37*$C$37*(1-$C$4)</f>
        <v>2495.98976073759</v>
      </c>
      <c r="H38" s="191" t="n">
        <f aca="false">H37*$C$37*(1-$C$4)</f>
        <v>2680.77620269087</v>
      </c>
      <c r="I38" s="191" t="n">
        <f aca="false">I37*$C$37*(1-$C$4)</f>
        <v>2856.63512158739</v>
      </c>
      <c r="J38" s="191" t="n">
        <f aca="false">J37*$C$37*(1-$C$4)</f>
        <v>3019.93942937147</v>
      </c>
      <c r="K38" s="191" t="n">
        <f aca="false">K37*$C$37*(1-$C$4)</f>
        <v>3167.1111442295</v>
      </c>
      <c r="L38" s="191" t="n">
        <f aca="false">L37*$C$37*(1-$C$4)</f>
        <v>3294.74572334195</v>
      </c>
      <c r="M38" s="191" t="n">
        <f aca="false">M37*$C$37*(1-$C$4)</f>
        <v>3399.73828705911</v>
      </c>
      <c r="N38" s="191" t="n">
        <f aca="false">N37*$C$37*(1-$C$4)</f>
        <v>3479.40548758587</v>
      </c>
      <c r="O38" s="191" t="n">
        <f aca="false">O37*$C$37*(1-$C$4)</f>
        <v>3531.59656989965</v>
      </c>
      <c r="P38" s="191" t="n">
        <f aca="false">O38*(1+$C$39)</f>
        <v>3584.57051844815</v>
      </c>
    </row>
    <row r="39" customFormat="false" ht="15" hidden="false" customHeight="true" outlineLevel="0" collapsed="false">
      <c r="B39" s="83" t="s">
        <v>247</v>
      </c>
      <c r="C39" s="184" t="n">
        <f aca="false">DCF!$L$17</f>
        <v>0.015</v>
      </c>
      <c r="E39" s="83" t="s">
        <v>46</v>
      </c>
      <c r="F39" s="190" t="n">
        <f aca="false">$C$36/(($C$6-$C$5+$C$7)/($C$37*(1-$C$4)))</f>
        <v>0.187155195652174</v>
      </c>
      <c r="G39" s="190" t="n">
        <f aca="false">F39-($F39-$C$38)/$C$12</f>
        <v>0.17589381713103</v>
      </c>
      <c r="H39" s="190" t="n">
        <f aca="false">G39-($F39-$C$38)/$C$12</f>
        <v>0.164632438609886</v>
      </c>
      <c r="I39" s="190" t="n">
        <f aca="false">H39-($F39-$C$38)/$C$12</f>
        <v>0.153371060088742</v>
      </c>
      <c r="J39" s="190" t="n">
        <f aca="false">I39-($F39-$C$38)/$C$12</f>
        <v>0.142109681567598</v>
      </c>
      <c r="K39" s="190" t="n">
        <f aca="false">J39-($F39-$C$38)/$C$12</f>
        <v>0.130848303046454</v>
      </c>
      <c r="L39" s="190" t="n">
        <f aca="false">K39-($F39-$C$38)/$C$12</f>
        <v>0.11958692452531</v>
      </c>
      <c r="M39" s="190" t="n">
        <f aca="false">L39-($F39-$C$38)/$C$12</f>
        <v>0.108325546004167</v>
      </c>
      <c r="N39" s="190" t="n">
        <f aca="false">M39-($F39-$C$38)/$C$12</f>
        <v>0.0970641674830226</v>
      </c>
      <c r="O39" s="190" t="n">
        <f aca="false">N39-($F39-$C$38)/$C$12</f>
        <v>0.0858027889618787</v>
      </c>
      <c r="P39" s="190" t="n">
        <f aca="false">$C$38</f>
        <v>0.0858027889618787</v>
      </c>
    </row>
    <row r="40" customFormat="false" ht="15" hidden="false" customHeight="true" outlineLevel="0" collapsed="false">
      <c r="E40" s="83" t="s">
        <v>45</v>
      </c>
      <c r="F40" s="193" t="n">
        <f aca="false">F36/F39</f>
        <v>0.485693168619998</v>
      </c>
      <c r="G40" s="193" t="n">
        <f aca="false">G36/G39</f>
        <v>0.468843464834435</v>
      </c>
      <c r="H40" s="193" t="n">
        <f aca="false">H36/H39</f>
        <v>0.449688615186969</v>
      </c>
      <c r="I40" s="193" t="n">
        <f aca="false">I36/I39</f>
        <v>0.427720848783617</v>
      </c>
      <c r="J40" s="193" t="n">
        <f aca="false">J36/J39</f>
        <v>0.402271442987323</v>
      </c>
      <c r="K40" s="193" t="n">
        <f aca="false">K36/K39</f>
        <v>0.372441462355318</v>
      </c>
      <c r="L40" s="193" t="n">
        <f aca="false">L36/L39</f>
        <v>0.33699336411541</v>
      </c>
      <c r="M40" s="193" t="n">
        <f aca="false">M36/M39</f>
        <v>0.294174992346136</v>
      </c>
      <c r="N40" s="193" t="n">
        <f aca="false">N36/N39</f>
        <v>0.241421051052975</v>
      </c>
      <c r="O40" s="193" t="n">
        <f aca="false">O36/O39</f>
        <v>0.174819492250588</v>
      </c>
      <c r="P40" s="193" t="n">
        <f aca="false">$C$39/P39</f>
        <v>0.174819492250588</v>
      </c>
    </row>
    <row r="41" customFormat="false" ht="15" hidden="false" customHeight="true" outlineLevel="0" collapsed="false">
      <c r="E41" s="83" t="s">
        <v>248</v>
      </c>
      <c r="F41" s="191" t="n">
        <f aca="false">F38*F40</f>
        <v>1119.92841264</v>
      </c>
      <c r="G41" s="191" t="n">
        <f aca="false">G38*G40</f>
        <v>1170.22848761549</v>
      </c>
      <c r="H41" s="191" t="n">
        <f aca="false">H38*H40</f>
        <v>1205.51453821424</v>
      </c>
      <c r="I41" s="191" t="n">
        <f aca="false">I38*I40</f>
        <v>1221.84239887045</v>
      </c>
      <c r="J41" s="191" t="n">
        <f aca="false">J38*J40</f>
        <v>1214.83539198757</v>
      </c>
      <c r="K41" s="191" t="n">
        <f aca="false">K38*K40</f>
        <v>1179.56350599866</v>
      </c>
      <c r="L41" s="191" t="n">
        <f aca="false">L38*L40</f>
        <v>1110.30744521386</v>
      </c>
      <c r="M41" s="191" t="n">
        <f aca="false">M38*M40</f>
        <v>1000.11798457448</v>
      </c>
      <c r="N41" s="191" t="n">
        <f aca="false">N38*N40</f>
        <v>840.001729852469</v>
      </c>
      <c r="O41" s="191" t="n">
        <f aca="false">O38*O40</f>
        <v>617.391919183776</v>
      </c>
    </row>
    <row r="42" customFormat="false" ht="15" hidden="false" customHeight="true" outlineLevel="0" collapsed="false">
      <c r="E42" s="82" t="s">
        <v>47</v>
      </c>
      <c r="F42" s="194" t="n">
        <f aca="false">F38-F41</f>
        <v>1185.9068039064</v>
      </c>
      <c r="G42" s="194" t="n">
        <f aca="false">G38-G41</f>
        <v>1325.76127312211</v>
      </c>
      <c r="H42" s="194" t="n">
        <f aca="false">H38-H41</f>
        <v>1475.26166447663</v>
      </c>
      <c r="I42" s="194" t="n">
        <f aca="false">I38-I41</f>
        <v>1634.79272271694</v>
      </c>
      <c r="J42" s="194" t="n">
        <f aca="false">J38-J41</f>
        <v>1805.1040373839</v>
      </c>
      <c r="K42" s="194" t="n">
        <f aca="false">K38-K41</f>
        <v>1987.54763823084</v>
      </c>
      <c r="L42" s="194" t="n">
        <f aca="false">L38-L41</f>
        <v>2184.43827812809</v>
      </c>
      <c r="M42" s="194" t="n">
        <f aca="false">M38-M41</f>
        <v>2399.62030248463</v>
      </c>
      <c r="N42" s="194" t="n">
        <f aca="false">N38-N41</f>
        <v>2639.4037577334</v>
      </c>
      <c r="O42" s="194" t="n">
        <f aca="false">O38-O41</f>
        <v>2914.20465071588</v>
      </c>
      <c r="P42" s="194" t="n">
        <f aca="false">P38*(1-P40)</f>
        <v>2957.91772047662</v>
      </c>
    </row>
    <row r="43" customFormat="false" ht="15" hidden="false" customHeight="true" outlineLevel="0" collapsed="false">
      <c r="B43" s="83" t="s">
        <v>249</v>
      </c>
      <c r="C43" s="185" t="n">
        <f aca="false">SUM(F44:O44)</f>
        <v>12309.8454096608</v>
      </c>
      <c r="E43" s="83" t="s">
        <v>250</v>
      </c>
      <c r="F43" s="195" t="n">
        <f aca="false">DCF!O$71</f>
        <v>0.0347222222222222</v>
      </c>
      <c r="G43" s="195" t="n">
        <f aca="false">DCF!P$71</f>
        <v>0.569444444444444</v>
      </c>
      <c r="H43" s="195" t="n">
        <f aca="false">DCF!Q$71</f>
        <v>1.56944444444444</v>
      </c>
      <c r="I43" s="195" t="n">
        <f aca="false">DCF!R$71</f>
        <v>2.56944444444444</v>
      </c>
      <c r="J43" s="195" t="n">
        <f aca="false">DCF!S$71</f>
        <v>3.56944444444444</v>
      </c>
      <c r="K43" s="195" t="n">
        <f aca="false">DCF!T$71</f>
        <v>4.56944444444445</v>
      </c>
      <c r="L43" s="195" t="n">
        <f aca="false">DCF!U$71</f>
        <v>5.56944444444445</v>
      </c>
      <c r="M43" s="195" t="n">
        <f aca="false">DCF!V$71</f>
        <v>6.56944444444445</v>
      </c>
      <c r="N43" s="195" t="n">
        <f aca="false">DCF!W$71</f>
        <v>7.56944444444445</v>
      </c>
      <c r="O43" s="195" t="n">
        <f aca="false">DCF!X$71</f>
        <v>8.56944444444445</v>
      </c>
    </row>
    <row r="44" customFormat="false" ht="15" hidden="false" customHeight="true" outlineLevel="0" collapsed="false">
      <c r="B44" s="83" t="s">
        <v>80</v>
      </c>
      <c r="C44" s="185" t="n">
        <f aca="false">P42/($C$38-$C$39)</f>
        <v>41776.8531981022</v>
      </c>
      <c r="E44" s="83" t="s">
        <v>251</v>
      </c>
      <c r="F44" s="191" t="n">
        <f aca="false">F42*DCF!$O$70/(1+$C$38)^F43</f>
        <v>82.1195793601576</v>
      </c>
      <c r="G44" s="191" t="n">
        <f aca="false">G42/(1+$C$38)^G43</f>
        <v>1265.04841606139</v>
      </c>
      <c r="H44" s="191" t="n">
        <f aca="false">H42/(1+$C$38)^H43</f>
        <v>1296.4623909656</v>
      </c>
      <c r="I44" s="191" t="n">
        <f aca="false">I42/(1+$C$38)^I43</f>
        <v>1323.13028059206</v>
      </c>
      <c r="J44" s="191" t="n">
        <f aca="false">J42/(1+$C$38)^J43</f>
        <v>1345.52322218258</v>
      </c>
      <c r="K44" s="191" t="n">
        <f aca="false">K42/(1+$C$38)^K43</f>
        <v>1364.44349117996</v>
      </c>
      <c r="L44" s="191" t="n">
        <f aca="false">L42/(1+$C$38)^L43</f>
        <v>1381.10542902973</v>
      </c>
      <c r="M44" s="191" t="n">
        <f aca="false">M42/(1+$C$38)^M43</f>
        <v>1397.2645130318</v>
      </c>
      <c r="N44" s="191" t="n">
        <f aca="false">N42/(1+$C$38)^N43</f>
        <v>1415.43841874013</v>
      </c>
      <c r="O44" s="191" t="n">
        <f aca="false">O42/(1+$C$38)^O43</f>
        <v>1439.30966851738</v>
      </c>
    </row>
    <row r="45" customFormat="false" ht="15" hidden="false" customHeight="true" outlineLevel="0" collapsed="false">
      <c r="B45" s="83" t="s">
        <v>252</v>
      </c>
      <c r="C45" s="185" t="n">
        <f aca="false">C44/(1+$C$38)^O43</f>
        <v>20633.3583036074</v>
      </c>
    </row>
    <row r="46" customFormat="false" ht="15" hidden="false" customHeight="true" outlineLevel="0" collapsed="false">
      <c r="B46" s="83" t="s">
        <v>253</v>
      </c>
      <c r="C46" s="185" t="n">
        <f aca="false">C43+C45</f>
        <v>32943.2037132682</v>
      </c>
    </row>
    <row r="47" customFormat="false" ht="15" hidden="false" customHeight="true" outlineLevel="0" collapsed="false">
      <c r="B47" s="83" t="s">
        <v>254</v>
      </c>
      <c r="C47" s="185" t="n">
        <f aca="false">C46+$C$9-$C$10</f>
        <v>33732.0037132682</v>
      </c>
    </row>
    <row r="48" customFormat="false" ht="15" hidden="false" customHeight="true" outlineLevel="0" collapsed="false">
      <c r="B48" s="188" t="s">
        <v>255</v>
      </c>
      <c r="C48" s="196" t="n">
        <f aca="false">C47/$C$11</f>
        <v>31.6198010060632</v>
      </c>
    </row>
    <row r="49" customFormat="false" ht="15" hidden="false" customHeight="true" outlineLevel="0" collapsed="false">
      <c r="B49" s="83" t="s">
        <v>256</v>
      </c>
      <c r="C49" s="183" t="n">
        <f aca="false">1-P42/P38</f>
        <v>0.174819492250588</v>
      </c>
    </row>
    <row r="50" customFormat="false" ht="15" hidden="false" customHeight="true" outlineLevel="0" collapsed="false">
      <c r="B50" s="83" t="s">
        <v>257</v>
      </c>
      <c r="C50" s="183" t="n">
        <f aca="false">C45/C46</f>
        <v>0.626331260407959</v>
      </c>
    </row>
    <row r="53" customFormat="false" ht="15" hidden="false" customHeight="true" outlineLevel="0" collapsed="false">
      <c r="B53" s="81" t="s">
        <v>15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</row>
    <row r="54" customFormat="false" ht="15" hidden="false" customHeight="true" outlineLevel="0" collapsed="false">
      <c r="B54" s="188" t="s">
        <v>242</v>
      </c>
      <c r="C54" s="188" t="s">
        <v>155</v>
      </c>
      <c r="E54" s="188" t="s">
        <v>243</v>
      </c>
      <c r="F54" s="189" t="str">
        <f aca="false">"FY"&amp;RIGHT(DCF!O$38,2)</f>
        <v>FY26</v>
      </c>
      <c r="G54" s="189" t="str">
        <f aca="false">"FY"&amp;RIGHT(DCF!P$38,2)</f>
        <v>FY27</v>
      </c>
      <c r="H54" s="189" t="str">
        <f aca="false">"FY"&amp;RIGHT(DCF!Q$38,2)</f>
        <v>FY28</v>
      </c>
      <c r="I54" s="189" t="str">
        <f aca="false">"FY"&amp;RIGHT(DCF!R$38,2)</f>
        <v>FY29</v>
      </c>
      <c r="J54" s="189" t="str">
        <f aca="false">"FY"&amp;RIGHT(DCF!S$38,2)</f>
        <v>FY30</v>
      </c>
      <c r="K54" s="189" t="str">
        <f aca="false">"FY"&amp;RIGHT(DCF!T$38,2)</f>
        <v>FY31</v>
      </c>
      <c r="L54" s="189" t="str">
        <f aca="false">"FY"&amp;RIGHT(DCF!U$38,2)</f>
        <v>FY32</v>
      </c>
      <c r="M54" s="189" t="str">
        <f aca="false">"FY"&amp;RIGHT(DCF!V$38,2)</f>
        <v>FY33</v>
      </c>
      <c r="N54" s="189" t="str">
        <f aca="false">"FY"&amp;RIGHT(DCF!W$38,2)</f>
        <v>FY34</v>
      </c>
      <c r="O54" s="189" t="str">
        <f aca="false">"FY"&amp;RIGHT(DCF!X$38,2)</f>
        <v>FY35</v>
      </c>
      <c r="P54" s="189" t="s">
        <v>40</v>
      </c>
    </row>
    <row r="55" customFormat="false" ht="15" hidden="false" customHeight="true" outlineLevel="0" collapsed="false">
      <c r="B55" s="83" t="s">
        <v>244</v>
      </c>
      <c r="C55" s="184" t="n">
        <f aca="false">DCF!$P$11</f>
        <v>0.11</v>
      </c>
      <c r="E55" s="83" t="s">
        <v>74</v>
      </c>
      <c r="F55" s="190" t="n">
        <f aca="false">$C$55</f>
        <v>0.11</v>
      </c>
      <c r="G55" s="190" t="n">
        <f aca="false">F55-($C$55-$C$58)/$C$12</f>
        <v>0.1</v>
      </c>
      <c r="H55" s="190" t="n">
        <f aca="false">G55-($C$55-$C$58)/$C$12</f>
        <v>0.09</v>
      </c>
      <c r="I55" s="190" t="n">
        <f aca="false">H55-($C$55-$C$58)/$C$12</f>
        <v>0.08</v>
      </c>
      <c r="J55" s="190" t="n">
        <f aca="false">I55-($C$55-$C$58)/$C$12</f>
        <v>0.07</v>
      </c>
      <c r="K55" s="190" t="n">
        <f aca="false">J55-($C$55-$C$58)/$C$12</f>
        <v>0.06</v>
      </c>
      <c r="L55" s="190" t="n">
        <f aca="false">K55-($C$55-$C$58)/$C$12</f>
        <v>0.05</v>
      </c>
      <c r="M55" s="190" t="n">
        <f aca="false">L55-($C$55-$C$58)/$C$12</f>
        <v>0.04</v>
      </c>
      <c r="N55" s="190" t="n">
        <f aca="false">M55-($C$55-$C$58)/$C$12</f>
        <v>0.03</v>
      </c>
      <c r="O55" s="190" t="n">
        <f aca="false">N55-($C$55-$C$58)/$C$12</f>
        <v>0.02</v>
      </c>
    </row>
    <row r="56" customFormat="false" ht="15" hidden="false" customHeight="true" outlineLevel="0" collapsed="false">
      <c r="B56" s="83" t="s">
        <v>245</v>
      </c>
      <c r="C56" s="184" t="n">
        <f aca="false">DCF!$P$13</f>
        <v>0.185</v>
      </c>
      <c r="E56" s="83" t="s">
        <v>16</v>
      </c>
      <c r="F56" s="191" t="n">
        <f aca="false">$C$8*(1+F55)</f>
        <v>15482.835</v>
      </c>
      <c r="G56" s="191" t="n">
        <f aca="false">F56*(1+G55)</f>
        <v>17031.1185</v>
      </c>
      <c r="H56" s="191" t="n">
        <f aca="false">G56*(1+H55)</f>
        <v>18563.919165</v>
      </c>
      <c r="I56" s="191" t="n">
        <f aca="false">H56*(1+I55)</f>
        <v>20049.0326982</v>
      </c>
      <c r="J56" s="191" t="n">
        <f aca="false">I56*(1+J55)</f>
        <v>21452.464987074</v>
      </c>
      <c r="K56" s="191" t="n">
        <f aca="false">J56*(1+K55)</f>
        <v>22739.6128862985</v>
      </c>
      <c r="L56" s="191" t="n">
        <f aca="false">K56*(1+L55)</f>
        <v>23876.5935306134</v>
      </c>
      <c r="M56" s="191" t="n">
        <f aca="false">L56*(1+M55)</f>
        <v>24831.6572718379</v>
      </c>
      <c r="N56" s="191" t="n">
        <f aca="false">M56*(1+N55)</f>
        <v>25576.606989993</v>
      </c>
      <c r="O56" s="191" t="n">
        <f aca="false">N56*(1+O55)</f>
        <v>26088.1391297929</v>
      </c>
    </row>
    <row r="57" customFormat="false" ht="15" hidden="false" customHeight="true" outlineLevel="0" collapsed="false">
      <c r="B57" s="83" t="s">
        <v>21</v>
      </c>
      <c r="C57" s="192" t="n">
        <f aca="false">DCF!$P$16</f>
        <v>0.082</v>
      </c>
      <c r="E57" s="83" t="s">
        <v>246</v>
      </c>
      <c r="F57" s="191" t="n">
        <f aca="false">F56*$C$56*(1-$C$4)</f>
        <v>2520.605538</v>
      </c>
      <c r="G57" s="191" t="n">
        <f aca="false">G56*$C$56*(1-$C$4)</f>
        <v>2772.6660918</v>
      </c>
      <c r="H57" s="191" t="n">
        <f aca="false">H56*$C$56*(1-$C$4)</f>
        <v>3022.206040062</v>
      </c>
      <c r="I57" s="191" t="n">
        <f aca="false">I56*$C$56*(1-$C$4)</f>
        <v>3263.98252326696</v>
      </c>
      <c r="J57" s="191" t="n">
        <f aca="false">J56*$C$56*(1-$C$4)</f>
        <v>3492.46129989565</v>
      </c>
      <c r="K57" s="191" t="n">
        <f aca="false">K56*$C$56*(1-$C$4)</f>
        <v>3702.00897788939</v>
      </c>
      <c r="L57" s="191" t="n">
        <f aca="false">L56*$C$56*(1-$C$4)</f>
        <v>3887.10942678386</v>
      </c>
      <c r="M57" s="191" t="n">
        <f aca="false">M56*$C$56*(1-$C$4)</f>
        <v>4042.59380385521</v>
      </c>
      <c r="N57" s="191" t="n">
        <f aca="false">N56*$C$56*(1-$C$4)</f>
        <v>4163.87161797087</v>
      </c>
      <c r="O57" s="191" t="n">
        <f aca="false">O56*$C$56*(1-$C$4)</f>
        <v>4247.14905033029</v>
      </c>
      <c r="P57" s="191" t="n">
        <f aca="false">O57*(1+$C$58)</f>
        <v>4332.09203133689</v>
      </c>
    </row>
    <row r="58" customFormat="false" ht="15" hidden="false" customHeight="true" outlineLevel="0" collapsed="false">
      <c r="B58" s="83" t="s">
        <v>247</v>
      </c>
      <c r="C58" s="184" t="n">
        <f aca="false">DCF!$P$17</f>
        <v>0.02</v>
      </c>
      <c r="E58" s="83" t="s">
        <v>46</v>
      </c>
      <c r="F58" s="190" t="n">
        <f aca="false">$C$55/(($C$6-$C$5+$C$7)/($C$56*(1-$C$4)))</f>
        <v>0.243315217391304</v>
      </c>
      <c r="G58" s="190" t="n">
        <f aca="false">F58-($F58-$C$57)/$C$12</f>
        <v>0.225391304347826</v>
      </c>
      <c r="H58" s="190" t="n">
        <f aca="false">G58-($F58-$C$57)/$C$12</f>
        <v>0.207467391304348</v>
      </c>
      <c r="I58" s="190" t="n">
        <f aca="false">H58-($F58-$C$57)/$C$12</f>
        <v>0.18954347826087</v>
      </c>
      <c r="J58" s="190" t="n">
        <f aca="false">I58-($F58-$C$57)/$C$12</f>
        <v>0.171619565217391</v>
      </c>
      <c r="K58" s="190" t="n">
        <f aca="false">J58-($F58-$C$57)/$C$12</f>
        <v>0.153695652173913</v>
      </c>
      <c r="L58" s="190" t="n">
        <f aca="false">K58-($F58-$C$57)/$C$12</f>
        <v>0.135771739130435</v>
      </c>
      <c r="M58" s="190" t="n">
        <f aca="false">L58-($F58-$C$57)/$C$12</f>
        <v>0.117847826086957</v>
      </c>
      <c r="N58" s="190" t="n">
        <f aca="false">M58-($F58-$C$57)/$C$12</f>
        <v>0.0999239130434783</v>
      </c>
      <c r="O58" s="190" t="n">
        <f aca="false">N58-($F58-$C$57)/$C$12</f>
        <v>0.0820000000000001</v>
      </c>
      <c r="P58" s="190" t="n">
        <f aca="false">$C$57</f>
        <v>0.082</v>
      </c>
    </row>
    <row r="59" customFormat="false" ht="15" hidden="false" customHeight="true" outlineLevel="0" collapsed="false">
      <c r="E59" s="83" t="s">
        <v>45</v>
      </c>
      <c r="F59" s="193" t="n">
        <f aca="false">F55/F58</f>
        <v>0.452088452088452</v>
      </c>
      <c r="G59" s="193" t="n">
        <f aca="false">G55/G58</f>
        <v>0.443672839506173</v>
      </c>
      <c r="H59" s="193" t="n">
        <f aca="false">H55/H58</f>
        <v>0.433803112065804</v>
      </c>
      <c r="I59" s="193" t="n">
        <f aca="false">I55/I58</f>
        <v>0.422066750774171</v>
      </c>
      <c r="J59" s="193" t="n">
        <f aca="false">J55/J58</f>
        <v>0.407878903033758</v>
      </c>
      <c r="K59" s="193" t="n">
        <f aca="false">K55/K58</f>
        <v>0.39038189533239</v>
      </c>
      <c r="L59" s="193" t="n">
        <f aca="false">L55/L58</f>
        <v>0.368265150908654</v>
      </c>
      <c r="M59" s="193" t="n">
        <f aca="false">M55/M58</f>
        <v>0.339420771075447</v>
      </c>
      <c r="N59" s="193" t="n">
        <f aca="false">N55/N58</f>
        <v>0.30022843467856</v>
      </c>
      <c r="O59" s="193" t="n">
        <f aca="false">O55/O58</f>
        <v>0.24390243902439</v>
      </c>
      <c r="P59" s="193" t="n">
        <f aca="false">$C$58/P58</f>
        <v>0.24390243902439</v>
      </c>
    </row>
    <row r="60" customFormat="false" ht="15" hidden="false" customHeight="true" outlineLevel="0" collapsed="false">
      <c r="E60" s="83" t="s">
        <v>248</v>
      </c>
      <c r="F60" s="191" t="n">
        <f aca="false">F57*F59</f>
        <v>1139.536656</v>
      </c>
      <c r="G60" s="191" t="n">
        <f aca="false">G57*G59</f>
        <v>1230.15663795139</v>
      </c>
      <c r="H60" s="191" t="n">
        <f aca="false">H57*H59</f>
        <v>1311.04238548297</v>
      </c>
      <c r="I60" s="191" t="n">
        <f aca="false">I57*I59</f>
        <v>1377.61849817897</v>
      </c>
      <c r="J60" s="191" t="n">
        <f aca="false">J57*J59</f>
        <v>1424.50128388929</v>
      </c>
      <c r="K60" s="191" t="n">
        <f aca="false">K57*K59</f>
        <v>1445.19728132598</v>
      </c>
      <c r="L60" s="191" t="n">
        <f aca="false">L57*L59</f>
        <v>1431.48693965301</v>
      </c>
      <c r="M60" s="191" t="n">
        <f aca="false">M57*M59</f>
        <v>1372.14030604936</v>
      </c>
      <c r="N60" s="191" t="n">
        <f aca="false">N57*N59</f>
        <v>1250.11265806588</v>
      </c>
      <c r="O60" s="191" t="n">
        <f aca="false">O57*O59</f>
        <v>1035.89001227568</v>
      </c>
    </row>
    <row r="61" customFormat="false" ht="15" hidden="false" customHeight="true" outlineLevel="0" collapsed="false">
      <c r="E61" s="82" t="s">
        <v>47</v>
      </c>
      <c r="F61" s="194" t="n">
        <f aca="false">F57-F60</f>
        <v>1381.068882</v>
      </c>
      <c r="G61" s="194" t="n">
        <f aca="false">G57-G60</f>
        <v>1542.50945384861</v>
      </c>
      <c r="H61" s="194" t="n">
        <f aca="false">H57-H60</f>
        <v>1711.16365457904</v>
      </c>
      <c r="I61" s="194" t="n">
        <f aca="false">I57-I60</f>
        <v>1886.36402508799</v>
      </c>
      <c r="J61" s="194" t="n">
        <f aca="false">J57-J60</f>
        <v>2067.96001600636</v>
      </c>
      <c r="K61" s="194" t="n">
        <f aca="false">K57-K60</f>
        <v>2256.8116965634</v>
      </c>
      <c r="L61" s="194" t="n">
        <f aca="false">L57-L60</f>
        <v>2455.62248713085</v>
      </c>
      <c r="M61" s="194" t="n">
        <f aca="false">M57-M60</f>
        <v>2670.45349780585</v>
      </c>
      <c r="N61" s="194" t="n">
        <f aca="false">N57-N60</f>
        <v>2913.75895990499</v>
      </c>
      <c r="O61" s="194" t="n">
        <f aca="false">O57-O60</f>
        <v>3211.25903805461</v>
      </c>
      <c r="P61" s="194" t="n">
        <f aca="false">P57*(1-P59)</f>
        <v>3275.4842188157</v>
      </c>
    </row>
    <row r="62" customFormat="false" ht="15" hidden="false" customHeight="true" outlineLevel="0" collapsed="false">
      <c r="B62" s="83" t="s">
        <v>249</v>
      </c>
      <c r="C62" s="185" t="n">
        <f aca="false">SUM(F63:O63)</f>
        <v>14171.7844838877</v>
      </c>
      <c r="E62" s="83" t="s">
        <v>250</v>
      </c>
      <c r="F62" s="195" t="n">
        <f aca="false">DCF!O$71</f>
        <v>0.0347222222222222</v>
      </c>
      <c r="G62" s="195" t="n">
        <f aca="false">DCF!P$71</f>
        <v>0.569444444444444</v>
      </c>
      <c r="H62" s="195" t="n">
        <f aca="false">DCF!Q$71</f>
        <v>1.56944444444444</v>
      </c>
      <c r="I62" s="195" t="n">
        <f aca="false">DCF!R$71</f>
        <v>2.56944444444444</v>
      </c>
      <c r="J62" s="195" t="n">
        <f aca="false">DCF!S$71</f>
        <v>3.56944444444444</v>
      </c>
      <c r="K62" s="195" t="n">
        <f aca="false">DCF!T$71</f>
        <v>4.56944444444445</v>
      </c>
      <c r="L62" s="195" t="n">
        <f aca="false">DCF!U$71</f>
        <v>5.56944444444445</v>
      </c>
      <c r="M62" s="195" t="n">
        <f aca="false">DCF!V$71</f>
        <v>6.56944444444445</v>
      </c>
      <c r="N62" s="195" t="n">
        <f aca="false">DCF!W$71</f>
        <v>7.56944444444445</v>
      </c>
      <c r="O62" s="195" t="n">
        <f aca="false">DCF!X$71</f>
        <v>8.56944444444445</v>
      </c>
    </row>
    <row r="63" customFormat="false" ht="15" hidden="false" customHeight="true" outlineLevel="0" collapsed="false">
      <c r="B63" s="83" t="s">
        <v>80</v>
      </c>
      <c r="C63" s="185" t="n">
        <f aca="false">P61/($C$57-$C$58)</f>
        <v>52830.3906260597</v>
      </c>
      <c r="E63" s="83" t="s">
        <v>251</v>
      </c>
      <c r="F63" s="191" t="n">
        <f aca="false">F61*DCF!$O$70/(1+$C$57)^F62</f>
        <v>95.6454690449543</v>
      </c>
      <c r="G63" s="191" t="n">
        <f aca="false">G61/(1+$C$57)^G62</f>
        <v>1474.81420159783</v>
      </c>
      <c r="H63" s="191" t="n">
        <f aca="false">H61/(1+$C$57)^H62</f>
        <v>1512.07649673523</v>
      </c>
      <c r="I63" s="191" t="n">
        <f aca="false">I61/(1+$C$57)^I62</f>
        <v>1540.56653746999</v>
      </c>
      <c r="J63" s="191" t="n">
        <f aca="false">J61/(1+$C$57)^J62</f>
        <v>1560.88113465781</v>
      </c>
      <c r="K63" s="191" t="n">
        <f aca="false">K61/(1+$C$57)^K62</f>
        <v>1574.32994963098</v>
      </c>
      <c r="L63" s="191" t="n">
        <f aca="false">L61/(1+$C$57)^L62</f>
        <v>1583.19632973223</v>
      </c>
      <c r="M63" s="191" t="n">
        <f aca="false">M61/(1+$C$57)^M62</f>
        <v>1591.2225751491</v>
      </c>
      <c r="N63" s="191" t="n">
        <f aca="false">N61/(1+$C$57)^N62</f>
        <v>1604.62026661976</v>
      </c>
      <c r="O63" s="191" t="n">
        <f aca="false">O61/(1+$C$57)^O62</f>
        <v>1634.43152324979</v>
      </c>
    </row>
    <row r="64" customFormat="false" ht="15" hidden="false" customHeight="true" outlineLevel="0" collapsed="false">
      <c r="B64" s="83" t="s">
        <v>252</v>
      </c>
      <c r="C64" s="185" t="n">
        <f aca="false">C63/(1+$C$57)^O62</f>
        <v>26889.0347373352</v>
      </c>
    </row>
    <row r="65" customFormat="false" ht="15" hidden="false" customHeight="true" outlineLevel="0" collapsed="false">
      <c r="B65" s="83" t="s">
        <v>253</v>
      </c>
      <c r="C65" s="185" t="n">
        <f aca="false">C62+C64</f>
        <v>41060.8192212229</v>
      </c>
    </row>
    <row r="66" customFormat="false" ht="15" hidden="false" customHeight="true" outlineLevel="0" collapsed="false">
      <c r="B66" s="83" t="s">
        <v>254</v>
      </c>
      <c r="C66" s="185" t="n">
        <f aca="false">C65+$C$9-$C$10</f>
        <v>41849.6192212229</v>
      </c>
    </row>
    <row r="67" customFormat="false" ht="15" hidden="false" customHeight="true" outlineLevel="0" collapsed="false">
      <c r="B67" s="188" t="s">
        <v>255</v>
      </c>
      <c r="C67" s="196" t="n">
        <f aca="false">C66/$C$11</f>
        <v>39.2291143805989</v>
      </c>
    </row>
    <row r="68" customFormat="false" ht="15" hidden="false" customHeight="true" outlineLevel="0" collapsed="false">
      <c r="B68" s="83" t="s">
        <v>256</v>
      </c>
      <c r="C68" s="183" t="n">
        <f aca="false">1-P61/P57</f>
        <v>0.24390243902439</v>
      </c>
    </row>
    <row r="69" customFormat="false" ht="15" hidden="false" customHeight="true" outlineLevel="0" collapsed="false">
      <c r="B69" s="83" t="s">
        <v>257</v>
      </c>
      <c r="C69" s="183" t="n">
        <f aca="false">C64/C65</f>
        <v>0.654858701003151</v>
      </c>
    </row>
    <row r="72" customFormat="false" ht="15" hidden="false" customHeight="true" outlineLevel="0" collapsed="false">
      <c r="B72" s="187" t="s">
        <v>258</v>
      </c>
    </row>
    <row r="73" customFormat="false" ht="15" hidden="false" customHeight="true" outlineLevel="0" collapsed="false">
      <c r="B73" s="81" t="s">
        <v>259</v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</row>
    <row r="74" customFormat="false" ht="15" hidden="false" customHeight="true" outlineLevel="0" collapsed="false">
      <c r="B74" s="188" t="s">
        <v>242</v>
      </c>
      <c r="C74" s="188" t="s">
        <v>155</v>
      </c>
      <c r="E74" s="188" t="s">
        <v>243</v>
      </c>
      <c r="F74" s="189" t="str">
        <f aca="false">"FY"&amp;RIGHT(DCF!O$38,2)</f>
        <v>FY26</v>
      </c>
      <c r="G74" s="189" t="str">
        <f aca="false">"FY"&amp;RIGHT(DCF!P$38,2)</f>
        <v>FY27</v>
      </c>
      <c r="H74" s="189" t="str">
        <f aca="false">"FY"&amp;RIGHT(DCF!Q$38,2)</f>
        <v>FY28</v>
      </c>
      <c r="I74" s="189" t="str">
        <f aca="false">"FY"&amp;RIGHT(DCF!R$38,2)</f>
        <v>FY29</v>
      </c>
      <c r="J74" s="189" t="str">
        <f aca="false">"FY"&amp;RIGHT(DCF!S$38,2)</f>
        <v>FY30</v>
      </c>
      <c r="K74" s="189" t="str">
        <f aca="false">"FY"&amp;RIGHT(DCF!T$38,2)</f>
        <v>FY31</v>
      </c>
      <c r="L74" s="189" t="str">
        <f aca="false">"FY"&amp;RIGHT(DCF!U$38,2)</f>
        <v>FY32</v>
      </c>
      <c r="M74" s="189" t="str">
        <f aca="false">"FY"&amp;RIGHT(DCF!V$38,2)</f>
        <v>FY33</v>
      </c>
      <c r="N74" s="189" t="str">
        <f aca="false">"FY"&amp;RIGHT(DCF!W$38,2)</f>
        <v>FY34</v>
      </c>
      <c r="O74" s="189" t="str">
        <f aca="false">"FY"&amp;RIGHT(DCF!X$38,2)</f>
        <v>FY35</v>
      </c>
      <c r="P74" s="189" t="s">
        <v>40</v>
      </c>
    </row>
    <row r="75" customFormat="false" ht="15" hidden="false" customHeight="true" outlineLevel="0" collapsed="false">
      <c r="B75" s="83" t="s">
        <v>244</v>
      </c>
      <c r="C75" s="184" t="n">
        <f aca="false">DCF!$L$11</f>
        <v>0.0909</v>
      </c>
      <c r="E75" s="83" t="s">
        <v>74</v>
      </c>
      <c r="F75" s="190" t="n">
        <f aca="false">$C$75</f>
        <v>0.0909</v>
      </c>
      <c r="G75" s="190" t="n">
        <f aca="false">F75-($C$75-$C$78)/$C$12</f>
        <v>0.0813555555555556</v>
      </c>
      <c r="H75" s="190" t="n">
        <f aca="false">G75-($C$75-$C$78)/$C$12</f>
        <v>0.0718111111111111</v>
      </c>
      <c r="I75" s="190" t="n">
        <f aca="false">H75-($C$75-$C$78)/$C$12</f>
        <v>0.0622666666666667</v>
      </c>
      <c r="J75" s="190" t="n">
        <f aca="false">I75-($C$75-$C$78)/$C$12</f>
        <v>0.0527222222222222</v>
      </c>
      <c r="K75" s="190" t="n">
        <f aca="false">J75-($C$75-$C$78)/$C$12</f>
        <v>0.0431777777777778</v>
      </c>
      <c r="L75" s="190" t="n">
        <f aca="false">K75-($C$75-$C$78)/$C$12</f>
        <v>0.0336333333333333</v>
      </c>
      <c r="M75" s="190" t="n">
        <f aca="false">L75-($C$75-$C$78)/$C$12</f>
        <v>0.0240888888888889</v>
      </c>
      <c r="N75" s="190" t="n">
        <f aca="false">M75-($C$75-$C$78)/$C$12</f>
        <v>0.0145444444444444</v>
      </c>
      <c r="O75" s="190" t="n">
        <f aca="false">N75-($C$75-$C$78)/$C$12</f>
        <v>0.005</v>
      </c>
    </row>
    <row r="76" customFormat="false" ht="15" hidden="false" customHeight="true" outlineLevel="0" collapsed="false">
      <c r="B76" s="83" t="s">
        <v>245</v>
      </c>
      <c r="C76" s="184" t="n">
        <f aca="false">DCF!$L$13</f>
        <v>0.1722</v>
      </c>
      <c r="E76" s="83" t="s">
        <v>16</v>
      </c>
      <c r="F76" s="191" t="n">
        <f aca="false">$C$8*(1+F75)</f>
        <v>15216.41865</v>
      </c>
      <c r="G76" s="191" t="n">
        <f aca="false">F76*(1+G75)</f>
        <v>16454.3588428367</v>
      </c>
      <c r="H76" s="191" t="n">
        <f aca="false">G76*(1+H75)</f>
        <v>17635.9646339617</v>
      </c>
      <c r="I76" s="191" t="n">
        <f aca="false">H76*(1+I75)</f>
        <v>18734.0973651697</v>
      </c>
      <c r="J76" s="191" t="n">
        <f aca="false">I76*(1+J75)</f>
        <v>19721.8006095889</v>
      </c>
      <c r="K76" s="191" t="n">
        <f aca="false">J76*(1+K75)</f>
        <v>20573.3441336874</v>
      </c>
      <c r="L76" s="191" t="n">
        <f aca="false">K76*(1+L75)</f>
        <v>21265.2942747171</v>
      </c>
      <c r="M76" s="191" t="n">
        <f aca="false">L76*(1+M75)</f>
        <v>21777.5515856903</v>
      </c>
      <c r="N76" s="191" t="n">
        <f aca="false">M76*(1+N75)</f>
        <v>22094.2939748644</v>
      </c>
      <c r="O76" s="191" t="n">
        <f aca="false">N76*(1+O75)</f>
        <v>22204.7654447387</v>
      </c>
    </row>
    <row r="77" customFormat="false" ht="15" hidden="false" customHeight="true" outlineLevel="0" collapsed="false">
      <c r="B77" s="83" t="s">
        <v>21</v>
      </c>
      <c r="C77" s="192" t="n">
        <f aca="false">DCF!$L$16</f>
        <v>0.0858027889618787</v>
      </c>
      <c r="E77" s="83" t="s">
        <v>246</v>
      </c>
      <c r="F77" s="191" t="n">
        <f aca="false">F76*$C$76*(1-$C$4)</f>
        <v>2305.8352165464</v>
      </c>
      <c r="G77" s="191" t="n">
        <f aca="false">G76*$C$76*(1-$C$4)</f>
        <v>2493.4277216081</v>
      </c>
      <c r="H77" s="191" t="n">
        <f aca="false">H76*$C$76*(1-$C$4)</f>
        <v>2672.48353677202</v>
      </c>
      <c r="I77" s="191" t="n">
        <f aca="false">I76*$C$76*(1-$C$4)</f>
        <v>2838.89017832836</v>
      </c>
      <c r="J77" s="191" t="n">
        <f aca="false">J76*$C$76*(1-$C$4)</f>
        <v>2988.56277717467</v>
      </c>
      <c r="K77" s="191" t="n">
        <f aca="false">K76*$C$76*(1-$C$4)</f>
        <v>3117.60227664246</v>
      </c>
      <c r="L77" s="191" t="n">
        <f aca="false">L76*$C$76*(1-$C$4)</f>
        <v>3222.45763321353</v>
      </c>
      <c r="M77" s="191" t="n">
        <f aca="false">M76*$C$76*(1-$C$4)</f>
        <v>3300.08305708916</v>
      </c>
      <c r="N77" s="191" t="n">
        <f aca="false">N76*$C$76*(1-$C$4)</f>
        <v>3348.08093177505</v>
      </c>
      <c r="O77" s="191" t="n">
        <f aca="false">O76*$C$76*(1-$C$4)</f>
        <v>3364.82133643392</v>
      </c>
      <c r="P77" s="191" t="n">
        <f aca="false">O77*(1+$C$78)</f>
        <v>3381.64544311609</v>
      </c>
    </row>
    <row r="78" customFormat="false" ht="15" hidden="false" customHeight="true" outlineLevel="0" collapsed="false">
      <c r="B78" s="83" t="s">
        <v>247</v>
      </c>
      <c r="C78" s="184" t="n">
        <f aca="false">DCF!$D$92</f>
        <v>0.005</v>
      </c>
      <c r="E78" s="83" t="s">
        <v>46</v>
      </c>
      <c r="F78" s="190" t="n">
        <f aca="false">$C$75/(($C$6-$C$5+$C$7)/($C$76*(1-$C$4)))</f>
        <v>0.187155195652174</v>
      </c>
      <c r="G78" s="190" t="n">
        <f aca="false">F78-($F78-$C$77)/$C$12</f>
        <v>0.17589381713103</v>
      </c>
      <c r="H78" s="190" t="n">
        <f aca="false">G78-($F78-$C$77)/$C$12</f>
        <v>0.164632438609886</v>
      </c>
      <c r="I78" s="190" t="n">
        <f aca="false">H78-($F78-$C$77)/$C$12</f>
        <v>0.153371060088742</v>
      </c>
      <c r="J78" s="190" t="n">
        <f aca="false">I78-($F78-$C$77)/$C$12</f>
        <v>0.142109681567598</v>
      </c>
      <c r="K78" s="190" t="n">
        <f aca="false">J78-($F78-$C$77)/$C$12</f>
        <v>0.130848303046454</v>
      </c>
      <c r="L78" s="190" t="n">
        <f aca="false">K78-($F78-$C$77)/$C$12</f>
        <v>0.11958692452531</v>
      </c>
      <c r="M78" s="190" t="n">
        <f aca="false">L78-($F78-$C$77)/$C$12</f>
        <v>0.108325546004167</v>
      </c>
      <c r="N78" s="190" t="n">
        <f aca="false">M78-($F78-$C$77)/$C$12</f>
        <v>0.0970641674830226</v>
      </c>
      <c r="O78" s="190" t="n">
        <f aca="false">N78-($F78-$C$77)/$C$12</f>
        <v>0.0858027889618787</v>
      </c>
      <c r="P78" s="190" t="n">
        <f aca="false">$C$77</f>
        <v>0.0858027889618787</v>
      </c>
    </row>
    <row r="79" customFormat="false" ht="15" hidden="false" customHeight="true" outlineLevel="0" collapsed="false">
      <c r="E79" s="83" t="s">
        <v>45</v>
      </c>
      <c r="F79" s="193" t="n">
        <f aca="false">F75/F78</f>
        <v>0.485693168619998</v>
      </c>
      <c r="G79" s="193" t="n">
        <f aca="false">G75/G78</f>
        <v>0.462526522435696</v>
      </c>
      <c r="H79" s="193" t="n">
        <f aca="false">H75/H78</f>
        <v>0.436190532786039</v>
      </c>
      <c r="I79" s="193" t="n">
        <f aca="false">I75/I78</f>
        <v>0.40598706581697</v>
      </c>
      <c r="J79" s="193" t="n">
        <f aca="false">J75/J78</f>
        <v>0.370996695233206</v>
      </c>
      <c r="K79" s="193" t="n">
        <f aca="false">K75/K78</f>
        <v>0.329983475310709</v>
      </c>
      <c r="L79" s="193" t="n">
        <f aca="false">L75/L78</f>
        <v>0.281245909340322</v>
      </c>
      <c r="M79" s="193" t="n">
        <f aca="false">M75/M78</f>
        <v>0.22237495934673</v>
      </c>
      <c r="N79" s="193" t="n">
        <f aca="false">N75/N78</f>
        <v>0.149843601625578</v>
      </c>
      <c r="O79" s="193" t="n">
        <f aca="false">O75/O78</f>
        <v>0.0582731640835294</v>
      </c>
      <c r="P79" s="193" t="n">
        <f aca="false">$C$78/P78</f>
        <v>0.0582731640835294</v>
      </c>
    </row>
    <row r="80" customFormat="false" ht="15" hidden="false" customHeight="true" outlineLevel="0" collapsed="false">
      <c r="E80" s="83" t="s">
        <v>248</v>
      </c>
      <c r="F80" s="191" t="n">
        <f aca="false">F77*F79</f>
        <v>1119.92841264</v>
      </c>
      <c r="G80" s="191" t="n">
        <f aca="false">G77*G79</f>
        <v>1153.27645302015</v>
      </c>
      <c r="H80" s="191" t="n">
        <f aca="false">H77*H79</f>
        <v>1165.71201776651</v>
      </c>
      <c r="I80" s="191" t="n">
        <f aca="false">I77*I79</f>
        <v>1152.55269367615</v>
      </c>
      <c r="J80" s="191" t="n">
        <f aca="false">J77*J79</f>
        <v>1108.74691382878</v>
      </c>
      <c r="K80" s="191" t="n">
        <f aca="false">K77*K79</f>
        <v>1028.75723388305</v>
      </c>
      <c r="L80" s="191" t="n">
        <f aca="false">L77*L79</f>
        <v>906.3030273638</v>
      </c>
      <c r="M80" s="191" t="n">
        <f aca="false">M77*M79</f>
        <v>733.855835661036</v>
      </c>
      <c r="N80" s="191" t="n">
        <f aca="false">N77*N79</f>
        <v>501.688505351096</v>
      </c>
      <c r="O80" s="191" t="n">
        <f aca="false">O77*O79</f>
        <v>196.078785849775</v>
      </c>
    </row>
    <row r="81" customFormat="false" ht="15" hidden="false" customHeight="true" outlineLevel="0" collapsed="false">
      <c r="E81" s="82" t="s">
        <v>47</v>
      </c>
      <c r="F81" s="194" t="n">
        <f aca="false">F77-F80</f>
        <v>1185.9068039064</v>
      </c>
      <c r="G81" s="194" t="n">
        <f aca="false">G77-G80</f>
        <v>1340.15126858794</v>
      </c>
      <c r="H81" s="194" t="n">
        <f aca="false">H77-H80</f>
        <v>1506.77151900551</v>
      </c>
      <c r="I81" s="194" t="n">
        <f aca="false">I77-I80</f>
        <v>1686.33748465221</v>
      </c>
      <c r="J81" s="194" t="n">
        <f aca="false">J77-J80</f>
        <v>1879.8158633459</v>
      </c>
      <c r="K81" s="194" t="n">
        <f aca="false">K77-K80</f>
        <v>2088.8450427594</v>
      </c>
      <c r="L81" s="194" t="n">
        <f aca="false">L77-L80</f>
        <v>2316.15460584973</v>
      </c>
      <c r="M81" s="194" t="n">
        <f aca="false">M77-M80</f>
        <v>2566.22722142813</v>
      </c>
      <c r="N81" s="194" t="n">
        <f aca="false">N77-N80</f>
        <v>2846.39242642395</v>
      </c>
      <c r="O81" s="194" t="n">
        <f aca="false">O77-O80</f>
        <v>3168.74255058415</v>
      </c>
      <c r="P81" s="194" t="n">
        <f aca="false">P77*(1-P79)</f>
        <v>3184.58626333707</v>
      </c>
    </row>
    <row r="82" customFormat="false" ht="15" hidden="false" customHeight="true" outlineLevel="0" collapsed="false">
      <c r="B82" s="83" t="s">
        <v>249</v>
      </c>
      <c r="C82" s="185" t="n">
        <f aca="false">SUM(F83:O83)</f>
        <v>12935.2230595844</v>
      </c>
      <c r="E82" s="83" t="s">
        <v>250</v>
      </c>
      <c r="F82" s="195" t="n">
        <f aca="false">DCF!O$71</f>
        <v>0.0347222222222222</v>
      </c>
      <c r="G82" s="195" t="n">
        <f aca="false">DCF!P$71</f>
        <v>0.569444444444444</v>
      </c>
      <c r="H82" s="195" t="n">
        <f aca="false">DCF!Q$71</f>
        <v>1.56944444444444</v>
      </c>
      <c r="I82" s="195" t="n">
        <f aca="false">DCF!R$71</f>
        <v>2.56944444444444</v>
      </c>
      <c r="J82" s="195" t="n">
        <f aca="false">DCF!S$71</f>
        <v>3.56944444444444</v>
      </c>
      <c r="K82" s="195" t="n">
        <f aca="false">DCF!T$71</f>
        <v>4.56944444444445</v>
      </c>
      <c r="L82" s="195" t="n">
        <f aca="false">DCF!U$71</f>
        <v>5.56944444444445</v>
      </c>
      <c r="M82" s="195" t="n">
        <f aca="false">DCF!V$71</f>
        <v>6.56944444444445</v>
      </c>
      <c r="N82" s="195" t="n">
        <f aca="false">DCF!W$71</f>
        <v>7.56944444444445</v>
      </c>
      <c r="O82" s="195" t="n">
        <f aca="false">DCF!X$71</f>
        <v>8.56944444444445</v>
      </c>
    </row>
    <row r="83" customFormat="false" ht="15" hidden="false" customHeight="true" outlineLevel="0" collapsed="false">
      <c r="B83" s="83" t="s">
        <v>80</v>
      </c>
      <c r="C83" s="185" t="n">
        <f aca="false">P81/($C$77-$C$78)</f>
        <v>39411.8359558047</v>
      </c>
      <c r="E83" s="83" t="s">
        <v>251</v>
      </c>
      <c r="F83" s="191" t="n">
        <f aca="false">F81*DCF!$O$70/(1+$C$77)^F82</f>
        <v>82.1195793601576</v>
      </c>
      <c r="G83" s="191" t="n">
        <f aca="false">G81/(1+$C$77)^G82</f>
        <v>1278.77942581424</v>
      </c>
      <c r="H83" s="191" t="n">
        <f aca="false">H81/(1+$C$77)^H82</f>
        <v>1324.15330324589</v>
      </c>
      <c r="I83" s="191" t="n">
        <f aca="false">I81/(1+$C$77)^I82</f>
        <v>1364.84837388594</v>
      </c>
      <c r="J83" s="191" t="n">
        <f aca="false">J81/(1+$C$77)^J82</f>
        <v>1401.21336231944</v>
      </c>
      <c r="K83" s="191" t="n">
        <f aca="false">K81/(1+$C$77)^K82</f>
        <v>1433.98375357359</v>
      </c>
      <c r="L83" s="191" t="n">
        <f aca="false">L81/(1+$C$77)^L82</f>
        <v>1464.38273520481</v>
      </c>
      <c r="M83" s="191" t="n">
        <f aca="false">M81/(1+$C$77)^M82</f>
        <v>1494.27733427867</v>
      </c>
      <c r="N83" s="191" t="n">
        <f aca="false">N81/(1+$C$77)^N82</f>
        <v>1526.4406528811</v>
      </c>
      <c r="O83" s="191" t="n">
        <f aca="false">O81/(1+$C$77)^O82</f>
        <v>1565.02453902056</v>
      </c>
    </row>
    <row r="84" customFormat="false" ht="15" hidden="false" customHeight="true" outlineLevel="0" collapsed="false">
      <c r="B84" s="83" t="s">
        <v>252</v>
      </c>
      <c r="C84" s="185" t="n">
        <f aca="false">C83/(1+$C$77)^O82</f>
        <v>19465.2892792811</v>
      </c>
    </row>
    <row r="85" customFormat="false" ht="15" hidden="false" customHeight="true" outlineLevel="0" collapsed="false">
      <c r="B85" s="83" t="s">
        <v>253</v>
      </c>
      <c r="C85" s="185" t="n">
        <f aca="false">C82+C84</f>
        <v>32400.5123388655</v>
      </c>
    </row>
    <row r="86" customFormat="false" ht="15" hidden="false" customHeight="true" outlineLevel="0" collapsed="false">
      <c r="B86" s="83" t="s">
        <v>254</v>
      </c>
      <c r="C86" s="185" t="n">
        <f aca="false">C85+$C$9-$C$10</f>
        <v>33189.3123388655</v>
      </c>
    </row>
    <row r="87" customFormat="false" ht="15" hidden="false" customHeight="true" outlineLevel="0" collapsed="false">
      <c r="B87" s="188" t="s">
        <v>255</v>
      </c>
      <c r="C87" s="196" t="n">
        <f aca="false">C86/$C$11</f>
        <v>31.1110914312575</v>
      </c>
    </row>
    <row r="88" customFormat="false" ht="15" hidden="false" customHeight="true" outlineLevel="0" collapsed="false">
      <c r="B88" s="83" t="s">
        <v>256</v>
      </c>
      <c r="C88" s="183" t="n">
        <f aca="false">1-P81/P77</f>
        <v>0.0582731640835295</v>
      </c>
    </row>
    <row r="89" customFormat="false" ht="15" hidden="false" customHeight="true" outlineLevel="0" collapsed="false">
      <c r="B89" s="83" t="s">
        <v>257</v>
      </c>
      <c r="C89" s="183" t="n">
        <f aca="false">C84/C85</f>
        <v>0.600771033362081</v>
      </c>
    </row>
    <row r="92" customFormat="false" ht="15" hidden="false" customHeight="true" outlineLevel="0" collapsed="false">
      <c r="B92" s="81" t="s">
        <v>260</v>
      </c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</row>
    <row r="93" customFormat="false" ht="15" hidden="false" customHeight="true" outlineLevel="0" collapsed="false">
      <c r="B93" s="188" t="s">
        <v>242</v>
      </c>
      <c r="C93" s="188" t="s">
        <v>155</v>
      </c>
      <c r="E93" s="188" t="s">
        <v>243</v>
      </c>
      <c r="F93" s="189" t="str">
        <f aca="false">"FY"&amp;RIGHT(DCF!O$38,2)</f>
        <v>FY26</v>
      </c>
      <c r="G93" s="189" t="str">
        <f aca="false">"FY"&amp;RIGHT(DCF!P$38,2)</f>
        <v>FY27</v>
      </c>
      <c r="H93" s="189" t="str">
        <f aca="false">"FY"&amp;RIGHT(DCF!Q$38,2)</f>
        <v>FY28</v>
      </c>
      <c r="I93" s="189" t="str">
        <f aca="false">"FY"&amp;RIGHT(DCF!R$38,2)</f>
        <v>FY29</v>
      </c>
      <c r="J93" s="189" t="str">
        <f aca="false">"FY"&amp;RIGHT(DCF!S$38,2)</f>
        <v>FY30</v>
      </c>
      <c r="K93" s="189" t="str">
        <f aca="false">"FY"&amp;RIGHT(DCF!T$38,2)</f>
        <v>FY31</v>
      </c>
      <c r="L93" s="189" t="str">
        <f aca="false">"FY"&amp;RIGHT(DCF!U$38,2)</f>
        <v>FY32</v>
      </c>
      <c r="M93" s="189" t="str">
        <f aca="false">"FY"&amp;RIGHT(DCF!V$38,2)</f>
        <v>FY33</v>
      </c>
      <c r="N93" s="189" t="str">
        <f aca="false">"FY"&amp;RIGHT(DCF!W$38,2)</f>
        <v>FY34</v>
      </c>
      <c r="O93" s="189" t="str">
        <f aca="false">"FY"&amp;RIGHT(DCF!X$38,2)</f>
        <v>FY35</v>
      </c>
      <c r="P93" s="189" t="s">
        <v>40</v>
      </c>
    </row>
    <row r="94" customFormat="false" ht="15" hidden="false" customHeight="true" outlineLevel="0" collapsed="false">
      <c r="B94" s="83" t="s">
        <v>244</v>
      </c>
      <c r="C94" s="184" t="n">
        <f aca="false">DCF!$L$11</f>
        <v>0.0909</v>
      </c>
      <c r="E94" s="83" t="s">
        <v>74</v>
      </c>
      <c r="F94" s="190" t="n">
        <f aca="false">$C$94</f>
        <v>0.0909</v>
      </c>
      <c r="G94" s="190" t="n">
        <f aca="false">F94-($C$94-$C$97)/$C$12</f>
        <v>0.0819111111111111</v>
      </c>
      <c r="H94" s="190" t="n">
        <f aca="false">G94-($C$94-$C$97)/$C$12</f>
        <v>0.0729222222222222</v>
      </c>
      <c r="I94" s="190" t="n">
        <f aca="false">H94-($C$94-$C$97)/$C$12</f>
        <v>0.0639333333333333</v>
      </c>
      <c r="J94" s="190" t="n">
        <f aca="false">I94-($C$94-$C$97)/$C$12</f>
        <v>0.0549444444444444</v>
      </c>
      <c r="K94" s="190" t="n">
        <f aca="false">J94-($C$94-$C$97)/$C$12</f>
        <v>0.0459555555555555</v>
      </c>
      <c r="L94" s="190" t="n">
        <f aca="false">K94-($C$94-$C$97)/$C$12</f>
        <v>0.0369666666666667</v>
      </c>
      <c r="M94" s="190" t="n">
        <f aca="false">L94-($C$94-$C$97)/$C$12</f>
        <v>0.0279777777777778</v>
      </c>
      <c r="N94" s="190" t="n">
        <f aca="false">M94-($C$94-$C$97)/$C$12</f>
        <v>0.0189888888888889</v>
      </c>
      <c r="O94" s="190" t="n">
        <f aca="false">N94-($C$94-$C$97)/$C$12</f>
        <v>0.00999999999999999</v>
      </c>
    </row>
    <row r="95" customFormat="false" ht="15" hidden="false" customHeight="true" outlineLevel="0" collapsed="false">
      <c r="B95" s="83" t="s">
        <v>245</v>
      </c>
      <c r="C95" s="184" t="n">
        <f aca="false">DCF!$L$13</f>
        <v>0.1722</v>
      </c>
      <c r="E95" s="83" t="s">
        <v>16</v>
      </c>
      <c r="F95" s="191" t="n">
        <f aca="false">$C$8*(1+F94)</f>
        <v>15216.41865</v>
      </c>
      <c r="G95" s="191" t="n">
        <f aca="false">F95*(1+G94)</f>
        <v>16462.8124087533</v>
      </c>
      <c r="H95" s="191" t="n">
        <f aca="false">G95*(1+H94)</f>
        <v>17663.3172736272</v>
      </c>
      <c r="I95" s="191" t="n">
        <f aca="false">H95*(1+I94)</f>
        <v>18792.5920246544</v>
      </c>
      <c r="J95" s="191" t="n">
        <f aca="false">I95*(1+J94)</f>
        <v>19825.1405531202</v>
      </c>
      <c r="K95" s="191" t="n">
        <f aca="false">J95*(1+K94)</f>
        <v>20736.2159012058</v>
      </c>
      <c r="L95" s="191" t="n">
        <f aca="false">K95*(1+L94)</f>
        <v>21502.7646823537</v>
      </c>
      <c r="M95" s="191" t="n">
        <f aca="false">L95*(1+M94)</f>
        <v>22104.3642542444</v>
      </c>
      <c r="N95" s="191" t="n">
        <f aca="false">M95*(1+N94)</f>
        <v>22524.1015710278</v>
      </c>
      <c r="O95" s="191" t="n">
        <f aca="false">N95*(1+O94)</f>
        <v>22749.3425867381</v>
      </c>
    </row>
    <row r="96" customFormat="false" ht="15" hidden="false" customHeight="true" outlineLevel="0" collapsed="false">
      <c r="B96" s="83" t="s">
        <v>21</v>
      </c>
      <c r="C96" s="192" t="n">
        <f aca="false">DCF!$L$16</f>
        <v>0.0858027889618787</v>
      </c>
      <c r="E96" s="83" t="s">
        <v>246</v>
      </c>
      <c r="F96" s="191" t="n">
        <f aca="false">F95*$C$95*(1-$C$4)</f>
        <v>2305.8352165464</v>
      </c>
      <c r="G96" s="191" t="n">
        <f aca="false">G95*$C$95*(1-$C$4)</f>
        <v>2494.70874117285</v>
      </c>
      <c r="H96" s="191" t="n">
        <f aca="false">H95*$C$95*(1-$C$4)</f>
        <v>2676.62844637637</v>
      </c>
      <c r="I96" s="191" t="n">
        <f aca="false">I95*$C$95*(1-$C$4)</f>
        <v>2847.75422504803</v>
      </c>
      <c r="J96" s="191" t="n">
        <f aca="false">J95*$C$95*(1-$C$4)</f>
        <v>3004.22249885762</v>
      </c>
      <c r="K96" s="191" t="n">
        <f aca="false">K95*$C$95*(1-$C$4)</f>
        <v>3142.28321280512</v>
      </c>
      <c r="L96" s="191" t="n">
        <f aca="false">L95*$C$95*(1-$C$4)</f>
        <v>3258.44294890515</v>
      </c>
      <c r="M96" s="191" t="n">
        <f aca="false">M95*$C$95*(1-$C$4)</f>
        <v>3349.60694163118</v>
      </c>
      <c r="N96" s="191" t="n">
        <f aca="false">N95*$C$95*(1-$C$4)</f>
        <v>3413.21225566727</v>
      </c>
      <c r="O96" s="191" t="n">
        <f aca="false">O95*$C$95*(1-$C$4)</f>
        <v>3447.34437822394</v>
      </c>
      <c r="P96" s="191" t="n">
        <f aca="false">O96*(1+$C$97)</f>
        <v>3481.81782200618</v>
      </c>
    </row>
    <row r="97" customFormat="false" ht="15" hidden="false" customHeight="true" outlineLevel="0" collapsed="false">
      <c r="B97" s="83" t="s">
        <v>247</v>
      </c>
      <c r="C97" s="184" t="n">
        <f aca="false">DCF!$F$92</f>
        <v>0.01</v>
      </c>
      <c r="E97" s="83" t="s">
        <v>46</v>
      </c>
      <c r="F97" s="190" t="n">
        <f aca="false">$C$94/(($C$6-$C$5+$C$7)/($C$95*(1-$C$4)))</f>
        <v>0.187155195652174</v>
      </c>
      <c r="G97" s="190" t="n">
        <f aca="false">F97-($F97-$C$96)/$C$12</f>
        <v>0.17589381713103</v>
      </c>
      <c r="H97" s="190" t="n">
        <f aca="false">G97-($F97-$C$96)/$C$12</f>
        <v>0.164632438609886</v>
      </c>
      <c r="I97" s="190" t="n">
        <f aca="false">H97-($F97-$C$96)/$C$12</f>
        <v>0.153371060088742</v>
      </c>
      <c r="J97" s="190" t="n">
        <f aca="false">I97-($F97-$C$96)/$C$12</f>
        <v>0.142109681567598</v>
      </c>
      <c r="K97" s="190" t="n">
        <f aca="false">J97-($F97-$C$96)/$C$12</f>
        <v>0.130848303046454</v>
      </c>
      <c r="L97" s="190" t="n">
        <f aca="false">K97-($F97-$C$96)/$C$12</f>
        <v>0.11958692452531</v>
      </c>
      <c r="M97" s="190" t="n">
        <f aca="false">L97-($F97-$C$96)/$C$12</f>
        <v>0.108325546004167</v>
      </c>
      <c r="N97" s="190" t="n">
        <f aca="false">M97-($F97-$C$96)/$C$12</f>
        <v>0.0970641674830226</v>
      </c>
      <c r="O97" s="190" t="n">
        <f aca="false">N97-($F97-$C$96)/$C$12</f>
        <v>0.0858027889618787</v>
      </c>
      <c r="P97" s="190" t="n">
        <f aca="false">$C$96</f>
        <v>0.0858027889618787</v>
      </c>
    </row>
    <row r="98" customFormat="false" ht="15" hidden="false" customHeight="true" outlineLevel="0" collapsed="false">
      <c r="E98" s="83" t="s">
        <v>45</v>
      </c>
      <c r="F98" s="193" t="n">
        <f aca="false">F94/F97</f>
        <v>0.485693168619998</v>
      </c>
      <c r="G98" s="193" t="n">
        <f aca="false">G94/G97</f>
        <v>0.465684993635066</v>
      </c>
      <c r="H98" s="193" t="n">
        <f aca="false">H94/H97</f>
        <v>0.442939573986504</v>
      </c>
      <c r="I98" s="193" t="n">
        <f aca="false">I94/I97</f>
        <v>0.416853957300294</v>
      </c>
      <c r="J98" s="193" t="n">
        <f aca="false">J94/J97</f>
        <v>0.386634069110264</v>
      </c>
      <c r="K98" s="193" t="n">
        <f aca="false">K94/K97</f>
        <v>0.351212468833013</v>
      </c>
      <c r="L98" s="193" t="n">
        <f aca="false">L94/L97</f>
        <v>0.309119636727866</v>
      </c>
      <c r="M98" s="193" t="n">
        <f aca="false">M94/M97</f>
        <v>0.258274975846433</v>
      </c>
      <c r="N98" s="193" t="n">
        <f aca="false">N94/N97</f>
        <v>0.195632326339277</v>
      </c>
      <c r="O98" s="193" t="n">
        <f aca="false">O94/O97</f>
        <v>0.116546328167059</v>
      </c>
      <c r="P98" s="193" t="n">
        <f aca="false">$C$97/P97</f>
        <v>0.116546328167059</v>
      </c>
    </row>
    <row r="99" customFormat="false" ht="15" hidden="false" customHeight="true" outlineLevel="0" collapsed="false">
      <c r="E99" s="83" t="s">
        <v>248</v>
      </c>
      <c r="F99" s="191" t="n">
        <f aca="false">F96*F98</f>
        <v>1119.92841264</v>
      </c>
      <c r="G99" s="191" t="n">
        <f aca="false">G96*G98</f>
        <v>1161.74842425442</v>
      </c>
      <c r="H99" s="191" t="n">
        <f aca="false">H96*H98</f>
        <v>1185.58466375811</v>
      </c>
      <c r="I99" s="191" t="n">
        <f aca="false">I96*I98</f>
        <v>1187.0976181299</v>
      </c>
      <c r="J99" s="191" t="n">
        <f aca="false">J96*J98</f>
        <v>1161.53476924593</v>
      </c>
      <c r="K99" s="191" t="n">
        <f aca="false">K96*K98</f>
        <v>1103.60904494182</v>
      </c>
      <c r="L99" s="191" t="n">
        <f aca="false">L96*L98</f>
        <v>1007.24870066404</v>
      </c>
      <c r="M99" s="191" t="n">
        <f aca="false">M96*M98</f>
        <v>865.119651944838</v>
      </c>
      <c r="N99" s="191" t="n">
        <f aca="false">N96*N98</f>
        <v>667.734653865918</v>
      </c>
      <c r="O99" s="191" t="n">
        <f aca="false">O96*O98</f>
        <v>401.775329209353</v>
      </c>
    </row>
    <row r="100" customFormat="false" ht="15" hidden="false" customHeight="true" outlineLevel="0" collapsed="false">
      <c r="E100" s="82" t="s">
        <v>47</v>
      </c>
      <c r="F100" s="194" t="n">
        <f aca="false">F96-F99</f>
        <v>1185.9068039064</v>
      </c>
      <c r="G100" s="194" t="n">
        <f aca="false">G96-G99</f>
        <v>1332.96031691843</v>
      </c>
      <c r="H100" s="194" t="n">
        <f aca="false">H96-H99</f>
        <v>1491.04378261826</v>
      </c>
      <c r="I100" s="194" t="n">
        <f aca="false">I96-I99</f>
        <v>1660.65660691813</v>
      </c>
      <c r="J100" s="194" t="n">
        <f aca="false">J96-J99</f>
        <v>1842.68772961169</v>
      </c>
      <c r="K100" s="194" t="n">
        <f aca="false">K96-K99</f>
        <v>2038.6741678633</v>
      </c>
      <c r="L100" s="194" t="n">
        <f aca="false">L96-L99</f>
        <v>2251.19424824111</v>
      </c>
      <c r="M100" s="194" t="n">
        <f aca="false">M96-M99</f>
        <v>2484.48728968635</v>
      </c>
      <c r="N100" s="194" t="n">
        <f aca="false">N96-N99</f>
        <v>2745.47760180135</v>
      </c>
      <c r="O100" s="194" t="n">
        <f aca="false">O96-O99</f>
        <v>3045.56904901459</v>
      </c>
      <c r="P100" s="194" t="n">
        <f aca="false">P96*(1-P98)</f>
        <v>3076.02473950473</v>
      </c>
    </row>
    <row r="101" customFormat="false" ht="15" hidden="false" customHeight="true" outlineLevel="0" collapsed="false">
      <c r="B101" s="83" t="s">
        <v>249</v>
      </c>
      <c r="C101" s="185" t="n">
        <f aca="false">SUM(F102:O102)</f>
        <v>12628.0179564231</v>
      </c>
      <c r="E101" s="83" t="s">
        <v>250</v>
      </c>
      <c r="F101" s="195" t="n">
        <f aca="false">DCF!O$71</f>
        <v>0.0347222222222222</v>
      </c>
      <c r="G101" s="195" t="n">
        <f aca="false">DCF!P$71</f>
        <v>0.569444444444444</v>
      </c>
      <c r="H101" s="195" t="n">
        <f aca="false">DCF!Q$71</f>
        <v>1.56944444444444</v>
      </c>
      <c r="I101" s="195" t="n">
        <f aca="false">DCF!R$71</f>
        <v>2.56944444444444</v>
      </c>
      <c r="J101" s="195" t="n">
        <f aca="false">DCF!S$71</f>
        <v>3.56944444444444</v>
      </c>
      <c r="K101" s="195" t="n">
        <f aca="false">DCF!T$71</f>
        <v>4.56944444444445</v>
      </c>
      <c r="L101" s="195" t="n">
        <f aca="false">DCF!U$71</f>
        <v>5.56944444444445</v>
      </c>
      <c r="M101" s="195" t="n">
        <f aca="false">DCF!V$71</f>
        <v>6.56944444444445</v>
      </c>
      <c r="N101" s="195" t="n">
        <f aca="false">DCF!W$71</f>
        <v>7.56944444444445</v>
      </c>
      <c r="O101" s="195" t="n">
        <f aca="false">DCF!X$71</f>
        <v>8.56944444444445</v>
      </c>
    </row>
    <row r="102" customFormat="false" ht="15" hidden="false" customHeight="true" outlineLevel="0" collapsed="false">
      <c r="B102" s="83" t="s">
        <v>80</v>
      </c>
      <c r="C102" s="185" t="n">
        <f aca="false">P100/($C$96-$C$97)</f>
        <v>40579.3082501446</v>
      </c>
      <c r="E102" s="83" t="s">
        <v>251</v>
      </c>
      <c r="F102" s="191" t="n">
        <f aca="false">F100*DCF!$O$70/(1+$C$96)^F101</f>
        <v>82.1195793601576</v>
      </c>
      <c r="G102" s="191" t="n">
        <f aca="false">G100/(1+$C$96)^G101</f>
        <v>1271.9177817129</v>
      </c>
      <c r="H102" s="191" t="n">
        <f aca="false">H100/(1+$C$96)^H101</f>
        <v>1310.33174249359</v>
      </c>
      <c r="I102" s="191" t="n">
        <f aca="false">I100/(1+$C$96)^I101</f>
        <v>1344.06338598505</v>
      </c>
      <c r="J102" s="191" t="n">
        <f aca="false">J100/(1+$C$96)^J101</f>
        <v>1373.53807873409</v>
      </c>
      <c r="K102" s="191" t="n">
        <f aca="false">K100/(1+$C$96)^K101</f>
        <v>1399.54164895077</v>
      </c>
      <c r="L102" s="191" t="n">
        <f aca="false">L100/(1+$C$96)^L101</f>
        <v>1423.3117177889</v>
      </c>
      <c r="M102" s="191" t="n">
        <f aca="false">M100/(1+$C$96)^M101</f>
        <v>1446.68134344538</v>
      </c>
      <c r="N102" s="191" t="n">
        <f aca="false">N100/(1+$C$96)^N101</f>
        <v>1472.32285473342</v>
      </c>
      <c r="O102" s="191" t="n">
        <f aca="false">O100/(1+$C$96)^O101</f>
        <v>1504.18982321889</v>
      </c>
    </row>
    <row r="103" customFormat="false" ht="15" hidden="false" customHeight="true" outlineLevel="0" collapsed="false">
      <c r="B103" s="83" t="s">
        <v>252</v>
      </c>
      <c r="C103" s="185" t="n">
        <f aca="false">C102/(1+$C$96)^O101</f>
        <v>20041.8974322317</v>
      </c>
    </row>
    <row r="104" customFormat="false" ht="15" hidden="false" customHeight="true" outlineLevel="0" collapsed="false">
      <c r="B104" s="83" t="s">
        <v>253</v>
      </c>
      <c r="C104" s="185" t="n">
        <f aca="false">C101+C103</f>
        <v>32669.9153886549</v>
      </c>
    </row>
    <row r="105" customFormat="false" ht="15" hidden="false" customHeight="true" outlineLevel="0" collapsed="false">
      <c r="B105" s="83" t="s">
        <v>254</v>
      </c>
      <c r="C105" s="185" t="n">
        <f aca="false">C104+$C$9-$C$10</f>
        <v>33458.7153886549</v>
      </c>
    </row>
    <row r="106" customFormat="false" ht="15" hidden="false" customHeight="true" outlineLevel="0" collapsed="false">
      <c r="B106" s="188" t="s">
        <v>255</v>
      </c>
      <c r="C106" s="196" t="n">
        <f aca="false">C105/$C$11</f>
        <v>31.363625223711</v>
      </c>
    </row>
    <row r="107" customFormat="false" ht="15" hidden="false" customHeight="true" outlineLevel="0" collapsed="false">
      <c r="B107" s="83" t="s">
        <v>256</v>
      </c>
      <c r="C107" s="183" t="n">
        <f aca="false">1-P100/P96</f>
        <v>0.116546328167059</v>
      </c>
    </row>
    <row r="108" customFormat="false" ht="15" hidden="false" customHeight="true" outlineLevel="0" collapsed="false">
      <c r="B108" s="83" t="s">
        <v>257</v>
      </c>
      <c r="C108" s="183" t="n">
        <f aca="false">C103/C104</f>
        <v>0.613466462762606</v>
      </c>
    </row>
    <row r="111" customFormat="false" ht="15" hidden="false" customHeight="true" outlineLevel="0" collapsed="false">
      <c r="B111" s="81" t="s">
        <v>261</v>
      </c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</row>
    <row r="112" customFormat="false" ht="15" hidden="false" customHeight="true" outlineLevel="0" collapsed="false">
      <c r="B112" s="188" t="s">
        <v>242</v>
      </c>
      <c r="C112" s="188" t="s">
        <v>155</v>
      </c>
      <c r="E112" s="188" t="s">
        <v>243</v>
      </c>
      <c r="F112" s="189" t="str">
        <f aca="false">"FY"&amp;RIGHT(DCF!O$38,2)</f>
        <v>FY26</v>
      </c>
      <c r="G112" s="189" t="str">
        <f aca="false">"FY"&amp;RIGHT(DCF!P$38,2)</f>
        <v>FY27</v>
      </c>
      <c r="H112" s="189" t="str">
        <f aca="false">"FY"&amp;RIGHT(DCF!Q$38,2)</f>
        <v>FY28</v>
      </c>
      <c r="I112" s="189" t="str">
        <f aca="false">"FY"&amp;RIGHT(DCF!R$38,2)</f>
        <v>FY29</v>
      </c>
      <c r="J112" s="189" t="str">
        <f aca="false">"FY"&amp;RIGHT(DCF!S$38,2)</f>
        <v>FY30</v>
      </c>
      <c r="K112" s="189" t="str">
        <f aca="false">"FY"&amp;RIGHT(DCF!T$38,2)</f>
        <v>FY31</v>
      </c>
      <c r="L112" s="189" t="str">
        <f aca="false">"FY"&amp;RIGHT(DCF!U$38,2)</f>
        <v>FY32</v>
      </c>
      <c r="M112" s="189" t="str">
        <f aca="false">"FY"&amp;RIGHT(DCF!V$38,2)</f>
        <v>FY33</v>
      </c>
      <c r="N112" s="189" t="str">
        <f aca="false">"FY"&amp;RIGHT(DCF!W$38,2)</f>
        <v>FY34</v>
      </c>
      <c r="O112" s="189" t="str">
        <f aca="false">"FY"&amp;RIGHT(DCF!X$38,2)</f>
        <v>FY35</v>
      </c>
      <c r="P112" s="189" t="s">
        <v>40</v>
      </c>
    </row>
    <row r="113" customFormat="false" ht="15" hidden="false" customHeight="true" outlineLevel="0" collapsed="false">
      <c r="B113" s="83" t="s">
        <v>244</v>
      </c>
      <c r="C113" s="184" t="n">
        <f aca="false">DCF!$L$11</f>
        <v>0.0909</v>
      </c>
      <c r="E113" s="83" t="s">
        <v>74</v>
      </c>
      <c r="F113" s="190" t="n">
        <f aca="false">$C$113</f>
        <v>0.0909</v>
      </c>
      <c r="G113" s="190" t="n">
        <f aca="false">F113-($C$113-$C$116)/$C$12</f>
        <v>0.0824666666666667</v>
      </c>
      <c r="H113" s="190" t="n">
        <f aca="false">G113-($C$113-$C$116)/$C$12</f>
        <v>0.0740333333333333</v>
      </c>
      <c r="I113" s="190" t="n">
        <f aca="false">H113-($C$113-$C$116)/$C$12</f>
        <v>0.0656</v>
      </c>
      <c r="J113" s="190" t="n">
        <f aca="false">I113-($C$113-$C$116)/$C$12</f>
        <v>0.0571666666666667</v>
      </c>
      <c r="K113" s="190" t="n">
        <f aca="false">J113-($C$113-$C$116)/$C$12</f>
        <v>0.0487333333333333</v>
      </c>
      <c r="L113" s="190" t="n">
        <f aca="false">K113-($C$113-$C$116)/$C$12</f>
        <v>0.0403</v>
      </c>
      <c r="M113" s="190" t="n">
        <f aca="false">L113-($C$113-$C$116)/$C$12</f>
        <v>0.0318666666666667</v>
      </c>
      <c r="N113" s="190" t="n">
        <f aca="false">M113-($C$113-$C$116)/$C$12</f>
        <v>0.0234333333333333</v>
      </c>
      <c r="O113" s="190" t="n">
        <f aca="false">N113-($C$113-$C$116)/$C$12</f>
        <v>0.015</v>
      </c>
    </row>
    <row r="114" customFormat="false" ht="15" hidden="false" customHeight="true" outlineLevel="0" collapsed="false">
      <c r="B114" s="83" t="s">
        <v>245</v>
      </c>
      <c r="C114" s="184" t="n">
        <f aca="false">DCF!$L$13</f>
        <v>0.1722</v>
      </c>
      <c r="E114" s="83" t="s">
        <v>16</v>
      </c>
      <c r="F114" s="191" t="n">
        <f aca="false">$C$8*(1+F113)</f>
        <v>15216.41865</v>
      </c>
      <c r="G114" s="191" t="n">
        <f aca="false">F114*(1+G113)</f>
        <v>16471.26597467</v>
      </c>
      <c r="H114" s="191" t="n">
        <f aca="false">G114*(1+H113)</f>
        <v>17690.6886989947</v>
      </c>
      <c r="I114" s="191" t="n">
        <f aca="false">H114*(1+I113)</f>
        <v>18851.1978776488</v>
      </c>
      <c r="J114" s="191" t="n">
        <f aca="false">I114*(1+J113)</f>
        <v>19928.8580229877</v>
      </c>
      <c r="K114" s="191" t="n">
        <f aca="false">J114*(1+K113)</f>
        <v>20900.0577039746</v>
      </c>
      <c r="L114" s="191" t="n">
        <f aca="false">K114*(1+L113)</f>
        <v>21742.3300294448</v>
      </c>
      <c r="M114" s="191" t="n">
        <f aca="false">L114*(1+M113)</f>
        <v>22435.1856130498</v>
      </c>
      <c r="N114" s="191" t="n">
        <f aca="false">M114*(1+N113)</f>
        <v>22960.9167959156</v>
      </c>
      <c r="O114" s="191" t="n">
        <f aca="false">N114*(1+O113)</f>
        <v>23305.3305478543</v>
      </c>
    </row>
    <row r="115" customFormat="false" ht="15" hidden="false" customHeight="true" outlineLevel="0" collapsed="false">
      <c r="B115" s="83" t="s">
        <v>21</v>
      </c>
      <c r="C115" s="192" t="n">
        <f aca="false">DCF!$L$16</f>
        <v>0.0858027889618787</v>
      </c>
      <c r="E115" s="83" t="s">
        <v>246</v>
      </c>
      <c r="F115" s="191" t="n">
        <f aca="false">F114*$C$114*(1-$C$4)</f>
        <v>2305.8352165464</v>
      </c>
      <c r="G115" s="191" t="n">
        <f aca="false">G114*$C$114*(1-$C$4)</f>
        <v>2495.98976073759</v>
      </c>
      <c r="H115" s="191" t="n">
        <f aca="false">H114*$C$114*(1-$C$4)</f>
        <v>2680.77620269087</v>
      </c>
      <c r="I115" s="191" t="n">
        <f aca="false">I114*$C$114*(1-$C$4)</f>
        <v>2856.63512158739</v>
      </c>
      <c r="J115" s="191" t="n">
        <f aca="false">J114*$C$114*(1-$C$4)</f>
        <v>3019.93942937147</v>
      </c>
      <c r="K115" s="191" t="n">
        <f aca="false">K114*$C$114*(1-$C$4)</f>
        <v>3167.1111442295</v>
      </c>
      <c r="L115" s="191" t="n">
        <f aca="false">L114*$C$114*(1-$C$4)</f>
        <v>3294.74572334195</v>
      </c>
      <c r="M115" s="191" t="n">
        <f aca="false">M114*$C$114*(1-$C$4)</f>
        <v>3399.73828705911</v>
      </c>
      <c r="N115" s="191" t="n">
        <f aca="false">N114*$C$114*(1-$C$4)</f>
        <v>3479.40548758587</v>
      </c>
      <c r="O115" s="191" t="n">
        <f aca="false">O114*$C$114*(1-$C$4)</f>
        <v>3531.59656989965</v>
      </c>
      <c r="P115" s="191" t="n">
        <f aca="false">O115*(1+$C$116)</f>
        <v>3584.57051844815</v>
      </c>
    </row>
    <row r="116" customFormat="false" ht="15" hidden="false" customHeight="true" outlineLevel="0" collapsed="false">
      <c r="B116" s="83" t="s">
        <v>247</v>
      </c>
      <c r="C116" s="184" t="n">
        <f aca="false">DCF!$H$92</f>
        <v>0.015</v>
      </c>
      <c r="E116" s="83" t="s">
        <v>46</v>
      </c>
      <c r="F116" s="190" t="n">
        <f aca="false">$C$113/(($C$6-$C$5+$C$7)/($C$114*(1-$C$4)))</f>
        <v>0.187155195652174</v>
      </c>
      <c r="G116" s="190" t="n">
        <f aca="false">F116-($F116-$C$115)/$C$12</f>
        <v>0.17589381713103</v>
      </c>
      <c r="H116" s="190" t="n">
        <f aca="false">G116-($F116-$C$115)/$C$12</f>
        <v>0.164632438609886</v>
      </c>
      <c r="I116" s="190" t="n">
        <f aca="false">H116-($F116-$C$115)/$C$12</f>
        <v>0.153371060088742</v>
      </c>
      <c r="J116" s="190" t="n">
        <f aca="false">I116-($F116-$C$115)/$C$12</f>
        <v>0.142109681567598</v>
      </c>
      <c r="K116" s="190" t="n">
        <f aca="false">J116-($F116-$C$115)/$C$12</f>
        <v>0.130848303046454</v>
      </c>
      <c r="L116" s="190" t="n">
        <f aca="false">K116-($F116-$C$115)/$C$12</f>
        <v>0.11958692452531</v>
      </c>
      <c r="M116" s="190" t="n">
        <f aca="false">L116-($F116-$C$115)/$C$12</f>
        <v>0.108325546004167</v>
      </c>
      <c r="N116" s="190" t="n">
        <f aca="false">M116-($F116-$C$115)/$C$12</f>
        <v>0.0970641674830226</v>
      </c>
      <c r="O116" s="190" t="n">
        <f aca="false">N116-($F116-$C$115)/$C$12</f>
        <v>0.0858027889618787</v>
      </c>
      <c r="P116" s="190" t="n">
        <f aca="false">$C$115</f>
        <v>0.0858027889618787</v>
      </c>
    </row>
    <row r="117" customFormat="false" ht="15" hidden="false" customHeight="true" outlineLevel="0" collapsed="false">
      <c r="E117" s="83" t="s">
        <v>45</v>
      </c>
      <c r="F117" s="193" t="n">
        <f aca="false">F113/F116</f>
        <v>0.485693168619998</v>
      </c>
      <c r="G117" s="193" t="n">
        <f aca="false">G113/G116</f>
        <v>0.468843464834435</v>
      </c>
      <c r="H117" s="193" t="n">
        <f aca="false">H113/H116</f>
        <v>0.449688615186969</v>
      </c>
      <c r="I117" s="193" t="n">
        <f aca="false">I113/I116</f>
        <v>0.427720848783617</v>
      </c>
      <c r="J117" s="193" t="n">
        <f aca="false">J113/J116</f>
        <v>0.402271442987323</v>
      </c>
      <c r="K117" s="193" t="n">
        <f aca="false">K113/K116</f>
        <v>0.372441462355318</v>
      </c>
      <c r="L117" s="193" t="n">
        <f aca="false">L113/L116</f>
        <v>0.33699336411541</v>
      </c>
      <c r="M117" s="193" t="n">
        <f aca="false">M113/M116</f>
        <v>0.294174992346136</v>
      </c>
      <c r="N117" s="193" t="n">
        <f aca="false">N113/N116</f>
        <v>0.241421051052975</v>
      </c>
      <c r="O117" s="193" t="n">
        <f aca="false">O113/O116</f>
        <v>0.174819492250588</v>
      </c>
      <c r="P117" s="193" t="n">
        <f aca="false">$C$116/P116</f>
        <v>0.174819492250588</v>
      </c>
    </row>
    <row r="118" customFormat="false" ht="15" hidden="false" customHeight="true" outlineLevel="0" collapsed="false">
      <c r="E118" s="83" t="s">
        <v>248</v>
      </c>
      <c r="F118" s="191" t="n">
        <f aca="false">F115*F117</f>
        <v>1119.92841264</v>
      </c>
      <c r="G118" s="191" t="n">
        <f aca="false">G115*G117</f>
        <v>1170.22848761549</v>
      </c>
      <c r="H118" s="191" t="n">
        <f aca="false">H115*H117</f>
        <v>1205.51453821424</v>
      </c>
      <c r="I118" s="191" t="n">
        <f aca="false">I115*I117</f>
        <v>1221.84239887045</v>
      </c>
      <c r="J118" s="191" t="n">
        <f aca="false">J115*J117</f>
        <v>1214.83539198757</v>
      </c>
      <c r="K118" s="191" t="n">
        <f aca="false">K115*K117</f>
        <v>1179.56350599866</v>
      </c>
      <c r="L118" s="191" t="n">
        <f aca="false">L115*L117</f>
        <v>1110.30744521386</v>
      </c>
      <c r="M118" s="191" t="n">
        <f aca="false">M115*M117</f>
        <v>1000.11798457448</v>
      </c>
      <c r="N118" s="191" t="n">
        <f aca="false">N115*N117</f>
        <v>840.001729852469</v>
      </c>
      <c r="O118" s="191" t="n">
        <f aca="false">O115*O117</f>
        <v>617.391919183776</v>
      </c>
    </row>
    <row r="119" customFormat="false" ht="15" hidden="false" customHeight="true" outlineLevel="0" collapsed="false">
      <c r="E119" s="82" t="s">
        <v>47</v>
      </c>
      <c r="F119" s="194" t="n">
        <f aca="false">F115-F118</f>
        <v>1185.9068039064</v>
      </c>
      <c r="G119" s="194" t="n">
        <f aca="false">G115-G118</f>
        <v>1325.76127312211</v>
      </c>
      <c r="H119" s="194" t="n">
        <f aca="false">H115-H118</f>
        <v>1475.26166447663</v>
      </c>
      <c r="I119" s="194" t="n">
        <f aca="false">I115-I118</f>
        <v>1634.79272271694</v>
      </c>
      <c r="J119" s="194" t="n">
        <f aca="false">J115-J118</f>
        <v>1805.1040373839</v>
      </c>
      <c r="K119" s="194" t="n">
        <f aca="false">K115-K118</f>
        <v>1987.54763823084</v>
      </c>
      <c r="L119" s="194" t="n">
        <f aca="false">L115-L118</f>
        <v>2184.43827812809</v>
      </c>
      <c r="M119" s="194" t="n">
        <f aca="false">M115-M118</f>
        <v>2399.62030248463</v>
      </c>
      <c r="N119" s="194" t="n">
        <f aca="false">N115-N118</f>
        <v>2639.4037577334</v>
      </c>
      <c r="O119" s="194" t="n">
        <f aca="false">O115-O118</f>
        <v>2914.20465071588</v>
      </c>
      <c r="P119" s="194" t="n">
        <f aca="false">P115*(1-P117)</f>
        <v>2957.91772047662</v>
      </c>
    </row>
    <row r="120" customFormat="false" ht="15" hidden="false" customHeight="true" outlineLevel="0" collapsed="false">
      <c r="B120" s="83" t="s">
        <v>249</v>
      </c>
      <c r="C120" s="185" t="n">
        <f aca="false">SUM(F121:O121)</f>
        <v>12309.8454096608</v>
      </c>
      <c r="E120" s="83" t="s">
        <v>250</v>
      </c>
      <c r="F120" s="195" t="n">
        <f aca="false">DCF!O$71</f>
        <v>0.0347222222222222</v>
      </c>
      <c r="G120" s="195" t="n">
        <f aca="false">DCF!P$71</f>
        <v>0.569444444444444</v>
      </c>
      <c r="H120" s="195" t="n">
        <f aca="false">DCF!Q$71</f>
        <v>1.56944444444444</v>
      </c>
      <c r="I120" s="195" t="n">
        <f aca="false">DCF!R$71</f>
        <v>2.56944444444444</v>
      </c>
      <c r="J120" s="195" t="n">
        <f aca="false">DCF!S$71</f>
        <v>3.56944444444444</v>
      </c>
      <c r="K120" s="195" t="n">
        <f aca="false">DCF!T$71</f>
        <v>4.56944444444445</v>
      </c>
      <c r="L120" s="195" t="n">
        <f aca="false">DCF!U$71</f>
        <v>5.56944444444445</v>
      </c>
      <c r="M120" s="195" t="n">
        <f aca="false">DCF!V$71</f>
        <v>6.56944444444445</v>
      </c>
      <c r="N120" s="195" t="n">
        <f aca="false">DCF!W$71</f>
        <v>7.56944444444445</v>
      </c>
      <c r="O120" s="195" t="n">
        <f aca="false">DCF!X$71</f>
        <v>8.56944444444445</v>
      </c>
    </row>
    <row r="121" customFormat="false" ht="15" hidden="false" customHeight="true" outlineLevel="0" collapsed="false">
      <c r="B121" s="83" t="s">
        <v>80</v>
      </c>
      <c r="C121" s="185" t="n">
        <f aca="false">P119/($C$115-$C$116)</f>
        <v>41776.8531981022</v>
      </c>
      <c r="E121" s="83" t="s">
        <v>251</v>
      </c>
      <c r="F121" s="191" t="n">
        <f aca="false">F119*DCF!$O$70/(1+$C$115)^F120</f>
        <v>82.1195793601576</v>
      </c>
      <c r="G121" s="191" t="n">
        <f aca="false">G119/(1+$C$115)^G120</f>
        <v>1265.04841606139</v>
      </c>
      <c r="H121" s="191" t="n">
        <f aca="false">H119/(1+$C$115)^H120</f>
        <v>1296.4623909656</v>
      </c>
      <c r="I121" s="191" t="n">
        <f aca="false">I119/(1+$C$115)^I120</f>
        <v>1323.13028059206</v>
      </c>
      <c r="J121" s="191" t="n">
        <f aca="false">J119/(1+$C$115)^J120</f>
        <v>1345.52322218258</v>
      </c>
      <c r="K121" s="191" t="n">
        <f aca="false">K119/(1+$C$115)^K120</f>
        <v>1364.44349117996</v>
      </c>
      <c r="L121" s="191" t="n">
        <f aca="false">L119/(1+$C$115)^L120</f>
        <v>1381.10542902973</v>
      </c>
      <c r="M121" s="191" t="n">
        <f aca="false">M119/(1+$C$115)^M120</f>
        <v>1397.2645130318</v>
      </c>
      <c r="N121" s="191" t="n">
        <f aca="false">N119/(1+$C$115)^N120</f>
        <v>1415.43841874013</v>
      </c>
      <c r="O121" s="191" t="n">
        <f aca="false">O119/(1+$C$115)^O120</f>
        <v>1439.30966851738</v>
      </c>
    </row>
    <row r="122" customFormat="false" ht="15" hidden="false" customHeight="true" outlineLevel="0" collapsed="false">
      <c r="B122" s="83" t="s">
        <v>252</v>
      </c>
      <c r="C122" s="185" t="n">
        <f aca="false">C121/(1+$C$115)^O120</f>
        <v>20633.3583036074</v>
      </c>
    </row>
    <row r="123" customFormat="false" ht="15" hidden="false" customHeight="true" outlineLevel="0" collapsed="false">
      <c r="B123" s="83" t="s">
        <v>253</v>
      </c>
      <c r="C123" s="185" t="n">
        <f aca="false">C120+C122</f>
        <v>32943.2037132682</v>
      </c>
    </row>
    <row r="124" customFormat="false" ht="15" hidden="false" customHeight="true" outlineLevel="0" collapsed="false">
      <c r="B124" s="83" t="s">
        <v>254</v>
      </c>
      <c r="C124" s="185" t="n">
        <f aca="false">C123+$C$9-$C$10</f>
        <v>33732.0037132682</v>
      </c>
    </row>
    <row r="125" customFormat="false" ht="15" hidden="false" customHeight="true" outlineLevel="0" collapsed="false">
      <c r="B125" s="188" t="s">
        <v>255</v>
      </c>
      <c r="C125" s="196" t="n">
        <f aca="false">C124/$C$11</f>
        <v>31.6198010060632</v>
      </c>
    </row>
    <row r="126" customFormat="false" ht="15" hidden="false" customHeight="true" outlineLevel="0" collapsed="false">
      <c r="B126" s="83" t="s">
        <v>256</v>
      </c>
      <c r="C126" s="183" t="n">
        <f aca="false">1-P119/P115</f>
        <v>0.174819492250588</v>
      </c>
    </row>
    <row r="127" customFormat="false" ht="15" hidden="false" customHeight="true" outlineLevel="0" collapsed="false">
      <c r="B127" s="83" t="s">
        <v>257</v>
      </c>
      <c r="C127" s="183" t="n">
        <f aca="false">C122/C123</f>
        <v>0.626331260407959</v>
      </c>
    </row>
    <row r="130" customFormat="false" ht="15" hidden="false" customHeight="true" outlineLevel="0" collapsed="false">
      <c r="B130" s="81" t="s">
        <v>262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</row>
    <row r="131" customFormat="false" ht="15" hidden="false" customHeight="true" outlineLevel="0" collapsed="false">
      <c r="B131" s="188" t="s">
        <v>242</v>
      </c>
      <c r="C131" s="188" t="s">
        <v>155</v>
      </c>
      <c r="E131" s="188" t="s">
        <v>243</v>
      </c>
      <c r="F131" s="189" t="str">
        <f aca="false">"FY"&amp;RIGHT(DCF!O$38,2)</f>
        <v>FY26</v>
      </c>
      <c r="G131" s="189" t="str">
        <f aca="false">"FY"&amp;RIGHT(DCF!P$38,2)</f>
        <v>FY27</v>
      </c>
      <c r="H131" s="189" t="str">
        <f aca="false">"FY"&amp;RIGHT(DCF!Q$38,2)</f>
        <v>FY28</v>
      </c>
      <c r="I131" s="189" t="str">
        <f aca="false">"FY"&amp;RIGHT(DCF!R$38,2)</f>
        <v>FY29</v>
      </c>
      <c r="J131" s="189" t="str">
        <f aca="false">"FY"&amp;RIGHT(DCF!S$38,2)</f>
        <v>FY30</v>
      </c>
      <c r="K131" s="189" t="str">
        <f aca="false">"FY"&amp;RIGHT(DCF!T$38,2)</f>
        <v>FY31</v>
      </c>
      <c r="L131" s="189" t="str">
        <f aca="false">"FY"&amp;RIGHT(DCF!U$38,2)</f>
        <v>FY32</v>
      </c>
      <c r="M131" s="189" t="str">
        <f aca="false">"FY"&amp;RIGHT(DCF!V$38,2)</f>
        <v>FY33</v>
      </c>
      <c r="N131" s="189" t="str">
        <f aca="false">"FY"&amp;RIGHT(DCF!W$38,2)</f>
        <v>FY34</v>
      </c>
      <c r="O131" s="189" t="str">
        <f aca="false">"FY"&amp;RIGHT(DCF!X$38,2)</f>
        <v>FY35</v>
      </c>
      <c r="P131" s="189" t="s">
        <v>40</v>
      </c>
    </row>
    <row r="132" customFormat="false" ht="15" hidden="false" customHeight="true" outlineLevel="0" collapsed="false">
      <c r="B132" s="83" t="s">
        <v>244</v>
      </c>
      <c r="C132" s="184" t="n">
        <f aca="false">DCF!$L$11</f>
        <v>0.0909</v>
      </c>
      <c r="E132" s="83" t="s">
        <v>74</v>
      </c>
      <c r="F132" s="190" t="n">
        <f aca="false">$C$132</f>
        <v>0.0909</v>
      </c>
      <c r="G132" s="190" t="n">
        <f aca="false">F132-($C$132-$C$135)/$C$12</f>
        <v>0.0830222222222222</v>
      </c>
      <c r="H132" s="190" t="n">
        <f aca="false">G132-($C$132-$C$135)/$C$12</f>
        <v>0.0751444444444444</v>
      </c>
      <c r="I132" s="190" t="n">
        <f aca="false">H132-($C$132-$C$135)/$C$12</f>
        <v>0.0672666666666667</v>
      </c>
      <c r="J132" s="190" t="n">
        <f aca="false">I132-($C$132-$C$135)/$C$12</f>
        <v>0.0593888888888889</v>
      </c>
      <c r="K132" s="190" t="n">
        <f aca="false">J132-($C$132-$C$135)/$C$12</f>
        <v>0.0515111111111111</v>
      </c>
      <c r="L132" s="190" t="n">
        <f aca="false">K132-($C$132-$C$135)/$C$12</f>
        <v>0.0436333333333333</v>
      </c>
      <c r="M132" s="190" t="n">
        <f aca="false">L132-($C$132-$C$135)/$C$12</f>
        <v>0.0357555555555556</v>
      </c>
      <c r="N132" s="190" t="n">
        <f aca="false">M132-($C$132-$C$135)/$C$12</f>
        <v>0.0278777777777778</v>
      </c>
      <c r="O132" s="190" t="n">
        <f aca="false">N132-($C$132-$C$135)/$C$12</f>
        <v>0.02</v>
      </c>
    </row>
    <row r="133" customFormat="false" ht="15" hidden="false" customHeight="true" outlineLevel="0" collapsed="false">
      <c r="B133" s="83" t="s">
        <v>245</v>
      </c>
      <c r="C133" s="184" t="n">
        <f aca="false">DCF!$L$13</f>
        <v>0.1722</v>
      </c>
      <c r="E133" s="83" t="s">
        <v>16</v>
      </c>
      <c r="F133" s="191" t="n">
        <f aca="false">$C$8*(1+F132)</f>
        <v>15216.41865</v>
      </c>
      <c r="G133" s="191" t="n">
        <f aca="false">F133*(1+G132)</f>
        <v>16479.7195405867</v>
      </c>
      <c r="H133" s="191" t="n">
        <f aca="false">G133*(1+H132)</f>
        <v>17718.0789100643</v>
      </c>
      <c r="I133" s="191" t="n">
        <f aca="false">H133*(1+I132)</f>
        <v>18909.9150180813</v>
      </c>
      <c r="J133" s="191" t="n">
        <f aca="false">I133*(1+J132)</f>
        <v>20032.9538599885</v>
      </c>
      <c r="K133" s="191" t="n">
        <f aca="false">J133*(1+K132)</f>
        <v>21064.8735721541</v>
      </c>
      <c r="L133" s="191" t="n">
        <f aca="false">K133*(1+L132)</f>
        <v>21984.0042223524</v>
      </c>
      <c r="M133" s="191" t="n">
        <f aca="false">L133*(1+M132)</f>
        <v>22770.0545066583</v>
      </c>
      <c r="N133" s="191" t="n">
        <f aca="false">M133*(1+N132)</f>
        <v>23404.8330261828</v>
      </c>
      <c r="O133" s="191" t="n">
        <f aca="false">N133*(1+O132)</f>
        <v>23872.9296867065</v>
      </c>
    </row>
    <row r="134" customFormat="false" ht="15" hidden="false" customHeight="true" outlineLevel="0" collapsed="false">
      <c r="B134" s="83" t="s">
        <v>21</v>
      </c>
      <c r="C134" s="192" t="n">
        <f aca="false">DCF!$L$16</f>
        <v>0.0858027889618787</v>
      </c>
      <c r="E134" s="83" t="s">
        <v>246</v>
      </c>
      <c r="F134" s="191" t="n">
        <f aca="false">F133*$C$133*(1-$C$4)</f>
        <v>2305.8352165464</v>
      </c>
      <c r="G134" s="191" t="n">
        <f aca="false">G133*$C$133*(1-$C$4)</f>
        <v>2497.27078030234</v>
      </c>
      <c r="H134" s="191" t="n">
        <f aca="false">H133*$C$133*(1-$C$4)</f>
        <v>2684.9268057155</v>
      </c>
      <c r="I134" s="191" t="n">
        <f aca="false">I133*$C$133*(1-$C$4)</f>
        <v>2865.53288217997</v>
      </c>
      <c r="J134" s="191" t="n">
        <f aca="false">J133*$C$133*(1-$C$4)</f>
        <v>3035.71369612721</v>
      </c>
      <c r="K134" s="191" t="n">
        <f aca="false">K133*$C$133*(1-$C$4)</f>
        <v>3192.08668162994</v>
      </c>
      <c r="L134" s="191" t="n">
        <f aca="false">L133*$C$133*(1-$C$4)</f>
        <v>3331.3680638384</v>
      </c>
      <c r="M134" s="191" t="n">
        <f aca="false">M133*$C$133*(1-$C$4)</f>
        <v>3450.48297972097</v>
      </c>
      <c r="N134" s="191" t="n">
        <f aca="false">N133*$C$133*(1-$C$4)</f>
        <v>3546.67477745564</v>
      </c>
      <c r="O134" s="191" t="n">
        <f aca="false">O133*$C$133*(1-$C$4)</f>
        <v>3617.60827300475</v>
      </c>
      <c r="P134" s="191" t="n">
        <f aca="false">O134*(1+$C$135)</f>
        <v>3689.96043846485</v>
      </c>
    </row>
    <row r="135" customFormat="false" ht="15" hidden="false" customHeight="true" outlineLevel="0" collapsed="false">
      <c r="B135" s="83" t="s">
        <v>247</v>
      </c>
      <c r="C135" s="184" t="n">
        <f aca="false">DCF!$J$92</f>
        <v>0.02</v>
      </c>
      <c r="E135" s="83" t="s">
        <v>46</v>
      </c>
      <c r="F135" s="190" t="n">
        <f aca="false">$C$132/(($C$6-$C$5+$C$7)/($C$133*(1-$C$4)))</f>
        <v>0.187155195652174</v>
      </c>
      <c r="G135" s="190" t="n">
        <f aca="false">F135-($F135-$C$134)/$C$12</f>
        <v>0.17589381713103</v>
      </c>
      <c r="H135" s="190" t="n">
        <f aca="false">G135-($F135-$C$134)/$C$12</f>
        <v>0.164632438609886</v>
      </c>
      <c r="I135" s="190" t="n">
        <f aca="false">H135-($F135-$C$134)/$C$12</f>
        <v>0.153371060088742</v>
      </c>
      <c r="J135" s="190" t="n">
        <f aca="false">I135-($F135-$C$134)/$C$12</f>
        <v>0.142109681567598</v>
      </c>
      <c r="K135" s="190" t="n">
        <f aca="false">J135-($F135-$C$134)/$C$12</f>
        <v>0.130848303046454</v>
      </c>
      <c r="L135" s="190" t="n">
        <f aca="false">K135-($F135-$C$134)/$C$12</f>
        <v>0.11958692452531</v>
      </c>
      <c r="M135" s="190" t="n">
        <f aca="false">L135-($F135-$C$134)/$C$12</f>
        <v>0.108325546004167</v>
      </c>
      <c r="N135" s="190" t="n">
        <f aca="false">M135-($F135-$C$134)/$C$12</f>
        <v>0.0970641674830226</v>
      </c>
      <c r="O135" s="190" t="n">
        <f aca="false">N135-($F135-$C$134)/$C$12</f>
        <v>0.0858027889618787</v>
      </c>
      <c r="P135" s="190" t="n">
        <f aca="false">$C$134</f>
        <v>0.0858027889618787</v>
      </c>
    </row>
    <row r="136" customFormat="false" ht="15" hidden="false" customHeight="true" outlineLevel="0" collapsed="false">
      <c r="E136" s="83" t="s">
        <v>45</v>
      </c>
      <c r="F136" s="193" t="n">
        <f aca="false">F132/F135</f>
        <v>0.485693168619998</v>
      </c>
      <c r="G136" s="193" t="n">
        <f aca="false">G132/G135</f>
        <v>0.472001936033805</v>
      </c>
      <c r="H136" s="193" t="n">
        <f aca="false">H132/H135</f>
        <v>0.456437656387434</v>
      </c>
      <c r="I136" s="193" t="n">
        <f aca="false">I132/I135</f>
        <v>0.438587740266941</v>
      </c>
      <c r="J136" s="193" t="n">
        <f aca="false">J132/J135</f>
        <v>0.417908816864381</v>
      </c>
      <c r="K136" s="193" t="n">
        <f aca="false">K132/K135</f>
        <v>0.393670455877624</v>
      </c>
      <c r="L136" s="193" t="n">
        <f aca="false">L132/L135</f>
        <v>0.364867091502954</v>
      </c>
      <c r="M136" s="193" t="n">
        <f aca="false">M132/M135</f>
        <v>0.330075008845839</v>
      </c>
      <c r="N136" s="193" t="n">
        <f aca="false">N132/N135</f>
        <v>0.287209775766674</v>
      </c>
      <c r="O136" s="193" t="n">
        <f aca="false">O132/O135</f>
        <v>0.233092656334118</v>
      </c>
      <c r="P136" s="193" t="n">
        <f aca="false">$C$135/P135</f>
        <v>0.233092656334118</v>
      </c>
    </row>
    <row r="137" customFormat="false" ht="15" hidden="false" customHeight="true" outlineLevel="0" collapsed="false">
      <c r="E137" s="83" t="s">
        <v>248</v>
      </c>
      <c r="F137" s="191" t="n">
        <f aca="false">F134*F136</f>
        <v>1119.92841264</v>
      </c>
      <c r="G137" s="191" t="n">
        <f aca="false">G134*G136</f>
        <v>1178.71664310336</v>
      </c>
      <c r="H137" s="191" t="n">
        <f aca="false">H134*H136</f>
        <v>1225.50169877258</v>
      </c>
      <c r="I137" s="191" t="n">
        <f aca="false">I134*I136</f>
        <v>1256.78759145593</v>
      </c>
      <c r="J137" s="191" t="n">
        <f aca="false">J134*J136</f>
        <v>1268.65151908752</v>
      </c>
      <c r="K137" s="191" t="n">
        <f aca="false">K134*K136</f>
        <v>1256.63021915815</v>
      </c>
      <c r="L137" s="191" t="n">
        <f aca="false">L134*L136</f>
        <v>1215.50657617854</v>
      </c>
      <c r="M137" s="191" t="n">
        <f aca="false">M134*M136</f>
        <v>1138.91820005382</v>
      </c>
      <c r="N137" s="191" t="n">
        <f aca="false">N134*N136</f>
        <v>1018.63966755035</v>
      </c>
      <c r="O137" s="191" t="n">
        <f aca="false">O134*O136</f>
        <v>843.237921930958</v>
      </c>
    </row>
    <row r="138" customFormat="false" ht="15" hidden="false" customHeight="true" outlineLevel="0" collapsed="false">
      <c r="E138" s="82" t="s">
        <v>47</v>
      </c>
      <c r="F138" s="194" t="n">
        <f aca="false">F134-F137</f>
        <v>1185.9068039064</v>
      </c>
      <c r="G138" s="194" t="n">
        <f aca="false">G134-G137</f>
        <v>1318.55413719899</v>
      </c>
      <c r="H138" s="194" t="n">
        <f aca="false">H134-H137</f>
        <v>1459.42510694292</v>
      </c>
      <c r="I138" s="194" t="n">
        <f aca="false">I134-I137</f>
        <v>1608.74529072404</v>
      </c>
      <c r="J138" s="194" t="n">
        <f aca="false">J134-J137</f>
        <v>1767.06217703969</v>
      </c>
      <c r="K138" s="194" t="n">
        <f aca="false">K134-K137</f>
        <v>1935.45646247179</v>
      </c>
      <c r="L138" s="194" t="n">
        <f aca="false">L134-L137</f>
        <v>2115.86148765985</v>
      </c>
      <c r="M138" s="194" t="n">
        <f aca="false">M134-M137</f>
        <v>2311.56477966716</v>
      </c>
      <c r="N138" s="194" t="n">
        <f aca="false">N134-N137</f>
        <v>2528.03510990529</v>
      </c>
      <c r="O138" s="194" t="n">
        <f aca="false">O134-O137</f>
        <v>2774.37035107379</v>
      </c>
      <c r="P138" s="194" t="n">
        <f aca="false">P134*(1-P136)</f>
        <v>2829.85775809527</v>
      </c>
    </row>
    <row r="139" customFormat="false" ht="15" hidden="false" customHeight="true" outlineLevel="0" collapsed="false">
      <c r="B139" s="83" t="s">
        <v>249</v>
      </c>
      <c r="C139" s="185" t="n">
        <f aca="false">SUM(F140:O140)</f>
        <v>11980.4344599675</v>
      </c>
      <c r="E139" s="83" t="s">
        <v>250</v>
      </c>
      <c r="F139" s="195" t="n">
        <f aca="false">DCF!O$71</f>
        <v>0.0347222222222222</v>
      </c>
      <c r="G139" s="195" t="n">
        <f aca="false">DCF!P$71</f>
        <v>0.569444444444444</v>
      </c>
      <c r="H139" s="195" t="n">
        <f aca="false">DCF!Q$71</f>
        <v>1.56944444444444</v>
      </c>
      <c r="I139" s="195" t="n">
        <f aca="false">DCF!R$71</f>
        <v>2.56944444444444</v>
      </c>
      <c r="J139" s="195" t="n">
        <f aca="false">DCF!S$71</f>
        <v>3.56944444444444</v>
      </c>
      <c r="K139" s="195" t="n">
        <f aca="false">DCF!T$71</f>
        <v>4.56944444444445</v>
      </c>
      <c r="L139" s="195" t="n">
        <f aca="false">DCF!U$71</f>
        <v>5.56944444444445</v>
      </c>
      <c r="M139" s="195" t="n">
        <f aca="false">DCF!V$71</f>
        <v>6.56944444444445</v>
      </c>
      <c r="N139" s="195" t="n">
        <f aca="false">DCF!W$71</f>
        <v>7.56944444444445</v>
      </c>
      <c r="O139" s="195" t="n">
        <f aca="false">DCF!X$71</f>
        <v>8.56944444444445</v>
      </c>
    </row>
    <row r="140" customFormat="false" ht="15" hidden="false" customHeight="true" outlineLevel="0" collapsed="false">
      <c r="B140" s="83" t="s">
        <v>80</v>
      </c>
      <c r="C140" s="185" t="n">
        <f aca="false">P138/($C$134-$C$135)</f>
        <v>43005.1340184788</v>
      </c>
      <c r="E140" s="83" t="s">
        <v>251</v>
      </c>
      <c r="F140" s="191" t="n">
        <f aca="false">F138*DCF!$O$70/(1+$C$134)^F139</f>
        <v>82.1195793601576</v>
      </c>
      <c r="G140" s="191" t="n">
        <f aca="false">G138/(1+$C$134)^G139</f>
        <v>1258.1713288597</v>
      </c>
      <c r="H140" s="191" t="n">
        <f aca="false">H138/(1+$C$134)^H139</f>
        <v>1282.5451980098</v>
      </c>
      <c r="I140" s="191" t="n">
        <f aca="false">I138/(1+$C$134)^I139</f>
        <v>1302.04861958234</v>
      </c>
      <c r="J140" s="191" t="n">
        <f aca="false">J138/(1+$C$134)^J139</f>
        <v>1317.16684745398</v>
      </c>
      <c r="K140" s="191" t="n">
        <f aca="false">K138/(1+$C$134)^K139</f>
        <v>1328.68310770779</v>
      </c>
      <c r="L140" s="191" t="n">
        <f aca="false">L138/(1+$C$134)^L139</f>
        <v>1337.7479313291</v>
      </c>
      <c r="M140" s="191" t="n">
        <f aca="false">M138/(1+$C$134)^M139</f>
        <v>1345.99104402425</v>
      </c>
      <c r="N140" s="191" t="n">
        <f aca="false">N138/(1+$C$134)^N139</f>
        <v>1355.7145275707</v>
      </c>
      <c r="O140" s="191" t="n">
        <f aca="false">O138/(1+$C$134)^O139</f>
        <v>1370.24627606972</v>
      </c>
    </row>
    <row r="141" customFormat="false" ht="15" hidden="false" customHeight="true" outlineLevel="0" collapsed="false">
      <c r="B141" s="83" t="s">
        <v>252</v>
      </c>
      <c r="C141" s="185" t="n">
        <f aca="false">C140/(1+$C$134)^O139</f>
        <v>21239.9994535309</v>
      </c>
    </row>
    <row r="142" customFormat="false" ht="15" hidden="false" customHeight="true" outlineLevel="0" collapsed="false">
      <c r="B142" s="83" t="s">
        <v>253</v>
      </c>
      <c r="C142" s="185" t="n">
        <f aca="false">C139+C141</f>
        <v>33220.4339134984</v>
      </c>
    </row>
    <row r="143" customFormat="false" ht="15" hidden="false" customHeight="true" outlineLevel="0" collapsed="false">
      <c r="B143" s="83" t="s">
        <v>254</v>
      </c>
      <c r="C143" s="185" t="n">
        <f aca="false">C142+$C$9-$C$10</f>
        <v>34009.2339134984</v>
      </c>
    </row>
    <row r="144" customFormat="false" ht="15" hidden="false" customHeight="true" outlineLevel="0" collapsed="false">
      <c r="B144" s="188" t="s">
        <v>255</v>
      </c>
      <c r="C144" s="196" t="n">
        <f aca="false">C143/$C$11</f>
        <v>31.8796718349254</v>
      </c>
    </row>
    <row r="145" customFormat="false" ht="15" hidden="false" customHeight="true" outlineLevel="0" collapsed="false">
      <c r="B145" s="83" t="s">
        <v>256</v>
      </c>
      <c r="C145" s="183" t="n">
        <f aca="false">1-P138/P134</f>
        <v>0.233092656334118</v>
      </c>
    </row>
    <row r="146" customFormat="false" ht="15" hidden="false" customHeight="true" outlineLevel="0" collapsed="false">
      <c r="B146" s="83" t="s">
        <v>257</v>
      </c>
      <c r="C146" s="183" t="n">
        <f aca="false">C141/C142</f>
        <v>0.639365503437944</v>
      </c>
    </row>
    <row r="149" customFormat="false" ht="15" hidden="false" customHeight="true" outlineLevel="0" collapsed="false">
      <c r="B149" s="81" t="s">
        <v>263</v>
      </c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</row>
    <row r="150" customFormat="false" ht="15" hidden="false" customHeight="true" outlineLevel="0" collapsed="false">
      <c r="B150" s="188" t="s">
        <v>242</v>
      </c>
      <c r="C150" s="188" t="s">
        <v>155</v>
      </c>
      <c r="E150" s="188" t="s">
        <v>243</v>
      </c>
      <c r="F150" s="189" t="str">
        <f aca="false">"FY"&amp;RIGHT(DCF!O$38,2)</f>
        <v>FY26</v>
      </c>
      <c r="G150" s="189" t="str">
        <f aca="false">"FY"&amp;RIGHT(DCF!P$38,2)</f>
        <v>FY27</v>
      </c>
      <c r="H150" s="189" t="str">
        <f aca="false">"FY"&amp;RIGHT(DCF!Q$38,2)</f>
        <v>FY28</v>
      </c>
      <c r="I150" s="189" t="str">
        <f aca="false">"FY"&amp;RIGHT(DCF!R$38,2)</f>
        <v>FY29</v>
      </c>
      <c r="J150" s="189" t="str">
        <f aca="false">"FY"&amp;RIGHT(DCF!S$38,2)</f>
        <v>FY30</v>
      </c>
      <c r="K150" s="189" t="str">
        <f aca="false">"FY"&amp;RIGHT(DCF!T$38,2)</f>
        <v>FY31</v>
      </c>
      <c r="L150" s="189" t="str">
        <f aca="false">"FY"&amp;RIGHT(DCF!U$38,2)</f>
        <v>FY32</v>
      </c>
      <c r="M150" s="189" t="str">
        <f aca="false">"FY"&amp;RIGHT(DCF!V$38,2)</f>
        <v>FY33</v>
      </c>
      <c r="N150" s="189" t="str">
        <f aca="false">"FY"&amp;RIGHT(DCF!W$38,2)</f>
        <v>FY34</v>
      </c>
      <c r="O150" s="189" t="str">
        <f aca="false">"FY"&amp;RIGHT(DCF!X$38,2)</f>
        <v>FY35</v>
      </c>
      <c r="P150" s="189" t="s">
        <v>40</v>
      </c>
    </row>
    <row r="151" customFormat="false" ht="15" hidden="false" customHeight="true" outlineLevel="0" collapsed="false">
      <c r="B151" s="83" t="s">
        <v>244</v>
      </c>
      <c r="C151" s="184" t="n">
        <f aca="false">DCF!$L$11</f>
        <v>0.0909</v>
      </c>
      <c r="E151" s="83" t="s">
        <v>74</v>
      </c>
      <c r="F151" s="190" t="n">
        <f aca="false">$C$151</f>
        <v>0.0909</v>
      </c>
      <c r="G151" s="190" t="n">
        <f aca="false">F151-($C$151-$C$154)/$C$12</f>
        <v>0.0835777777777778</v>
      </c>
      <c r="H151" s="190" t="n">
        <f aca="false">G151-($C$151-$C$154)/$C$12</f>
        <v>0.0762555555555556</v>
      </c>
      <c r="I151" s="190" t="n">
        <f aca="false">H151-($C$151-$C$154)/$C$12</f>
        <v>0.0689333333333334</v>
      </c>
      <c r="J151" s="190" t="n">
        <f aca="false">I151-($C$151-$C$154)/$C$12</f>
        <v>0.0616111111111111</v>
      </c>
      <c r="K151" s="190" t="n">
        <f aca="false">J151-($C$151-$C$154)/$C$12</f>
        <v>0.0542888888888889</v>
      </c>
      <c r="L151" s="190" t="n">
        <f aca="false">K151-($C$151-$C$154)/$C$12</f>
        <v>0.0469666666666667</v>
      </c>
      <c r="M151" s="190" t="n">
        <f aca="false">L151-($C$151-$C$154)/$C$12</f>
        <v>0.0396444444444445</v>
      </c>
      <c r="N151" s="190" t="n">
        <f aca="false">M151-($C$151-$C$154)/$C$12</f>
        <v>0.0323222222222222</v>
      </c>
      <c r="O151" s="190" t="n">
        <f aca="false">N151-($C$151-$C$154)/$C$12</f>
        <v>0.025</v>
      </c>
    </row>
    <row r="152" customFormat="false" ht="15" hidden="false" customHeight="true" outlineLevel="0" collapsed="false">
      <c r="B152" s="83" t="s">
        <v>245</v>
      </c>
      <c r="C152" s="184" t="n">
        <f aca="false">DCF!$L$13</f>
        <v>0.1722</v>
      </c>
      <c r="E152" s="83" t="s">
        <v>16</v>
      </c>
      <c r="F152" s="191" t="n">
        <f aca="false">$C$8*(1+F151)</f>
        <v>15216.41865</v>
      </c>
      <c r="G152" s="191" t="n">
        <f aca="false">F152*(1+G151)</f>
        <v>16488.1731065033</v>
      </c>
      <c r="H152" s="191" t="n">
        <f aca="false">G152*(1+H151)</f>
        <v>17745.4879068359</v>
      </c>
      <c r="I152" s="191" t="n">
        <f aca="false">H152*(1+I151)</f>
        <v>18968.7435398805</v>
      </c>
      <c r="J152" s="191" t="n">
        <f aca="false">I152*(1+J151)</f>
        <v>20137.4289057542</v>
      </c>
      <c r="K152" s="191" t="n">
        <f aca="false">J152*(1+K151)</f>
        <v>21230.6675461266</v>
      </c>
      <c r="L152" s="191" t="n">
        <f aca="false">K152*(1+L151)</f>
        <v>22227.8012318763</v>
      </c>
      <c r="M152" s="191" t="n">
        <f aca="false">L152*(1+M151)</f>
        <v>23109.0100629356</v>
      </c>
      <c r="N152" s="191" t="n">
        <f aca="false">M152*(1+N151)</f>
        <v>23855.9446215254</v>
      </c>
      <c r="O152" s="191" t="n">
        <f aca="false">N152*(1+O151)</f>
        <v>24452.3432370635</v>
      </c>
    </row>
    <row r="153" customFormat="false" ht="15" hidden="false" customHeight="true" outlineLevel="0" collapsed="false">
      <c r="B153" s="83" t="s">
        <v>21</v>
      </c>
      <c r="C153" s="192" t="n">
        <f aca="false">DCF!$L$16</f>
        <v>0.0858027889618787</v>
      </c>
      <c r="E153" s="83" t="s">
        <v>246</v>
      </c>
      <c r="F153" s="191" t="n">
        <f aca="false">F152*$C$152*(1-$C$4)</f>
        <v>2305.8352165464</v>
      </c>
      <c r="G153" s="191" t="n">
        <f aca="false">G152*$C$152*(1-$C$4)</f>
        <v>2498.55179986709</v>
      </c>
      <c r="H153" s="191" t="n">
        <f aca="false">H152*$C$152*(1-$C$4)</f>
        <v>2689.08025545029</v>
      </c>
      <c r="I153" s="191" t="n">
        <f aca="false">I152*$C$152*(1-$C$4)</f>
        <v>2874.44752105933</v>
      </c>
      <c r="J153" s="191" t="n">
        <f aca="false">J152*$C$152*(1-$C$4)</f>
        <v>3051.54542666237</v>
      </c>
      <c r="K153" s="191" t="n">
        <f aca="false">K152*$C$152*(1-$C$4)</f>
        <v>3217.21043726984</v>
      </c>
      <c r="L153" s="191" t="n">
        <f aca="false">L152*$C$152*(1-$C$4)</f>
        <v>3368.31208747361</v>
      </c>
      <c r="M153" s="191" t="n">
        <f aca="false">M152*$C$152*(1-$C$4)</f>
        <v>3501.84694889701</v>
      </c>
      <c r="N153" s="191" t="n">
        <f aca="false">N152*$C$152*(1-$C$4)</f>
        <v>3615.03442416747</v>
      </c>
      <c r="O153" s="191" t="n">
        <f aca="false">O152*$C$152*(1-$C$4)</f>
        <v>3705.41028477166</v>
      </c>
      <c r="P153" s="191" t="n">
        <f aca="false">O153*(1+$C$154)</f>
        <v>3798.04554189095</v>
      </c>
    </row>
    <row r="154" customFormat="false" ht="15" hidden="false" customHeight="true" outlineLevel="0" collapsed="false">
      <c r="B154" s="83" t="s">
        <v>247</v>
      </c>
      <c r="C154" s="184" t="n">
        <f aca="false">DCF!$L$92</f>
        <v>0.025</v>
      </c>
      <c r="E154" s="83" t="s">
        <v>46</v>
      </c>
      <c r="F154" s="190" t="n">
        <f aca="false">$C$151/(($C$6-$C$5+$C$7)/($C$152*(1-$C$4)))</f>
        <v>0.187155195652174</v>
      </c>
      <c r="G154" s="190" t="n">
        <f aca="false">F154-($F154-$C$153)/$C$12</f>
        <v>0.17589381713103</v>
      </c>
      <c r="H154" s="190" t="n">
        <f aca="false">G154-($F154-$C$153)/$C$12</f>
        <v>0.164632438609886</v>
      </c>
      <c r="I154" s="190" t="n">
        <f aca="false">H154-($F154-$C$153)/$C$12</f>
        <v>0.153371060088742</v>
      </c>
      <c r="J154" s="190" t="n">
        <f aca="false">I154-($F154-$C$153)/$C$12</f>
        <v>0.142109681567598</v>
      </c>
      <c r="K154" s="190" t="n">
        <f aca="false">J154-($F154-$C$153)/$C$12</f>
        <v>0.130848303046454</v>
      </c>
      <c r="L154" s="190" t="n">
        <f aca="false">K154-($F154-$C$153)/$C$12</f>
        <v>0.11958692452531</v>
      </c>
      <c r="M154" s="190" t="n">
        <f aca="false">L154-($F154-$C$153)/$C$12</f>
        <v>0.108325546004167</v>
      </c>
      <c r="N154" s="190" t="n">
        <f aca="false">M154-($F154-$C$153)/$C$12</f>
        <v>0.0970641674830226</v>
      </c>
      <c r="O154" s="190" t="n">
        <f aca="false">N154-($F154-$C$153)/$C$12</f>
        <v>0.0858027889618787</v>
      </c>
      <c r="P154" s="190" t="n">
        <f aca="false">$C$153</f>
        <v>0.0858027889618787</v>
      </c>
    </row>
    <row r="155" customFormat="false" ht="15" hidden="false" customHeight="true" outlineLevel="0" collapsed="false">
      <c r="E155" s="83" t="s">
        <v>45</v>
      </c>
      <c r="F155" s="193" t="n">
        <f aca="false">F151/F154</f>
        <v>0.485693168619998</v>
      </c>
      <c r="G155" s="193" t="n">
        <f aca="false">G151/G154</f>
        <v>0.475160407233175</v>
      </c>
      <c r="H155" s="193" t="n">
        <f aca="false">H151/H154</f>
        <v>0.463186697587898</v>
      </c>
      <c r="I155" s="193" t="n">
        <f aca="false">I151/I154</f>
        <v>0.449454631750265</v>
      </c>
      <c r="J155" s="193" t="n">
        <f aca="false">J151/J154</f>
        <v>0.433546190741439</v>
      </c>
      <c r="K155" s="193" t="n">
        <f aca="false">K151/K154</f>
        <v>0.414899449399929</v>
      </c>
      <c r="L155" s="193" t="n">
        <f aca="false">L151/L154</f>
        <v>0.392740818890499</v>
      </c>
      <c r="M155" s="193" t="n">
        <f aca="false">M151/M154</f>
        <v>0.365975025345542</v>
      </c>
      <c r="N155" s="193" t="n">
        <f aca="false">N151/N154</f>
        <v>0.332998500480372</v>
      </c>
      <c r="O155" s="193" t="n">
        <f aca="false">O151/O154</f>
        <v>0.291365820417647</v>
      </c>
      <c r="P155" s="193" t="n">
        <f aca="false">$C$154/P154</f>
        <v>0.291365820417647</v>
      </c>
    </row>
    <row r="156" customFormat="false" ht="15" hidden="false" customHeight="true" outlineLevel="0" collapsed="false">
      <c r="E156" s="83" t="s">
        <v>248</v>
      </c>
      <c r="F156" s="191" t="n">
        <f aca="false">F153*F155</f>
        <v>1119.92841264</v>
      </c>
      <c r="G156" s="191" t="n">
        <f aca="false">G153*G155</f>
        <v>1187.21289071803</v>
      </c>
      <c r="H156" s="191" t="n">
        <f aca="false">H153*H155</f>
        <v>1245.54620307084</v>
      </c>
      <c r="I156" s="191" t="n">
        <f aca="false">I153*I155</f>
        <v>1291.93375206318</v>
      </c>
      <c r="J156" s="191" t="n">
        <f aca="false">J153*J155</f>
        <v>1322.98589560393</v>
      </c>
      <c r="K156" s="191" t="n">
        <f aca="false">K153*K155</f>
        <v>1334.81883902696</v>
      </c>
      <c r="L156" s="191" t="n">
        <f aca="false">L153*L155</f>
        <v>1322.87364751315</v>
      </c>
      <c r="M156" s="191" t="n">
        <f aca="false">M153*M155</f>
        <v>1281.58852587879</v>
      </c>
      <c r="N156" s="191" t="n">
        <f aca="false">N153*N155</f>
        <v>1203.80104243269</v>
      </c>
      <c r="O156" s="191" t="n">
        <f aca="false">O153*O155</f>
        <v>1079.62990760648</v>
      </c>
    </row>
    <row r="157" customFormat="false" ht="15" hidden="false" customHeight="true" outlineLevel="0" collapsed="false">
      <c r="E157" s="82" t="s">
        <v>47</v>
      </c>
      <c r="F157" s="194" t="n">
        <f aca="false">F153-F156</f>
        <v>1185.9068039064</v>
      </c>
      <c r="G157" s="194" t="n">
        <f aca="false">G153-G156</f>
        <v>1311.33890914906</v>
      </c>
      <c r="H157" s="194" t="n">
        <f aca="false">H153-H156</f>
        <v>1443.53405237945</v>
      </c>
      <c r="I157" s="194" t="n">
        <f aca="false">I153-I156</f>
        <v>1582.51376899615</v>
      </c>
      <c r="J157" s="194" t="n">
        <f aca="false">J153-J156</f>
        <v>1728.55953105844</v>
      </c>
      <c r="K157" s="194" t="n">
        <f aca="false">K153-K156</f>
        <v>1882.39159824288</v>
      </c>
      <c r="L157" s="194" t="n">
        <f aca="false">L153-L156</f>
        <v>2045.43843996046</v>
      </c>
      <c r="M157" s="194" t="n">
        <f aca="false">M153-M156</f>
        <v>2220.25842301822</v>
      </c>
      <c r="N157" s="194" t="n">
        <f aca="false">N153-N156</f>
        <v>2411.23338173478</v>
      </c>
      <c r="O157" s="194" t="n">
        <f aca="false">O153-O156</f>
        <v>2625.78037716518</v>
      </c>
      <c r="P157" s="194" t="n">
        <f aca="false">P153*(1-P155)</f>
        <v>2691.42488659431</v>
      </c>
    </row>
    <row r="158" customFormat="false" ht="15" hidden="false" customHeight="true" outlineLevel="0" collapsed="false">
      <c r="B158" s="83" t="s">
        <v>249</v>
      </c>
      <c r="C158" s="185" t="n">
        <f aca="false">SUM(F159:O159)</f>
        <v>11639.5088061378</v>
      </c>
      <c r="E158" s="83" t="s">
        <v>250</v>
      </c>
      <c r="F158" s="195" t="n">
        <f aca="false">DCF!O$71</f>
        <v>0.0347222222222222</v>
      </c>
      <c r="G158" s="195" t="n">
        <f aca="false">DCF!P$71</f>
        <v>0.569444444444444</v>
      </c>
      <c r="H158" s="195" t="n">
        <f aca="false">DCF!Q$71</f>
        <v>1.56944444444444</v>
      </c>
      <c r="I158" s="195" t="n">
        <f aca="false">DCF!R$71</f>
        <v>2.56944444444444</v>
      </c>
      <c r="J158" s="195" t="n">
        <f aca="false">DCF!S$71</f>
        <v>3.56944444444444</v>
      </c>
      <c r="K158" s="195" t="n">
        <f aca="false">DCF!T$71</f>
        <v>4.56944444444445</v>
      </c>
      <c r="L158" s="195" t="n">
        <f aca="false">DCF!U$71</f>
        <v>5.56944444444445</v>
      </c>
      <c r="M158" s="195" t="n">
        <f aca="false">DCF!V$71</f>
        <v>6.56944444444445</v>
      </c>
      <c r="N158" s="195" t="n">
        <f aca="false">DCF!W$71</f>
        <v>7.56944444444445</v>
      </c>
      <c r="O158" s="195" t="n">
        <f aca="false">DCF!X$71</f>
        <v>8.56944444444445</v>
      </c>
    </row>
    <row r="159" customFormat="false" ht="15" hidden="false" customHeight="true" outlineLevel="0" collapsed="false">
      <c r="B159" s="83" t="s">
        <v>80</v>
      </c>
      <c r="C159" s="185" t="n">
        <f aca="false">P157/($C$153-$C$154)</f>
        <v>44264.8262118657</v>
      </c>
      <c r="E159" s="83" t="s">
        <v>251</v>
      </c>
      <c r="F159" s="191" t="n">
        <f aca="false">F157*DCF!$O$70/(1+$C$153)^F158</f>
        <v>82.1195793601576</v>
      </c>
      <c r="G159" s="191" t="n">
        <f aca="false">G157/(1+$C$153)^G158</f>
        <v>1251.28652010783</v>
      </c>
      <c r="H159" s="191" t="n">
        <f aca="false">H157/(1+$C$153)^H158</f>
        <v>1268.58011297409</v>
      </c>
      <c r="I159" s="191" t="n">
        <f aca="false">I157/(1+$C$153)^I158</f>
        <v>1280.81796433052</v>
      </c>
      <c r="J159" s="191" t="n">
        <f aca="false">J157/(1+$C$153)^J158</f>
        <v>1288.46700345035</v>
      </c>
      <c r="K159" s="191" t="n">
        <f aca="false">K157/(1+$C$153)^K158</f>
        <v>1292.25429100182</v>
      </c>
      <c r="L159" s="191" t="n">
        <f aca="false">L157/(1+$C$153)^L158</f>
        <v>1293.22314228823</v>
      </c>
      <c r="M159" s="191" t="n">
        <f aca="false">M157/(1+$C$153)^M158</f>
        <v>1292.82466106455</v>
      </c>
      <c r="N159" s="191" t="n">
        <f aca="false">N157/(1+$C$153)^N158</f>
        <v>1293.07702736128</v>
      </c>
      <c r="O159" s="191" t="n">
        <f aca="false">O157/(1+$C$153)^O158</f>
        <v>1296.85850419896</v>
      </c>
    </row>
    <row r="160" customFormat="false" ht="15" hidden="false" customHeight="true" outlineLevel="0" collapsed="false">
      <c r="B160" s="83" t="s">
        <v>252</v>
      </c>
      <c r="C160" s="185" t="n">
        <f aca="false">C159/(1+$C$153)^O158</f>
        <v>21862.1545080334</v>
      </c>
    </row>
    <row r="161" customFormat="false" ht="15" hidden="false" customHeight="true" outlineLevel="0" collapsed="false">
      <c r="B161" s="83" t="s">
        <v>253</v>
      </c>
      <c r="C161" s="185" t="n">
        <f aca="false">C158+C160</f>
        <v>33501.6633141712</v>
      </c>
    </row>
    <row r="162" customFormat="false" ht="15" hidden="false" customHeight="true" outlineLevel="0" collapsed="false">
      <c r="B162" s="83" t="s">
        <v>254</v>
      </c>
      <c r="C162" s="185" t="n">
        <f aca="false">C161+$C$9-$C$10</f>
        <v>34290.4633141712</v>
      </c>
    </row>
    <row r="163" customFormat="false" ht="15" hidden="false" customHeight="true" outlineLevel="0" collapsed="false">
      <c r="B163" s="188" t="s">
        <v>255</v>
      </c>
      <c r="C163" s="196" t="n">
        <f aca="false">C162/$C$11</f>
        <v>32.1432914456048</v>
      </c>
    </row>
    <row r="164" customFormat="false" ht="15" hidden="false" customHeight="true" outlineLevel="0" collapsed="false">
      <c r="B164" s="83" t="s">
        <v>256</v>
      </c>
      <c r="C164" s="183" t="n">
        <f aca="false">1-P157/P153</f>
        <v>0.291365820417647</v>
      </c>
    </row>
    <row r="165" customFormat="false" ht="15" hidden="false" customHeight="true" outlineLevel="0" collapsed="false">
      <c r="B165" s="83" t="s">
        <v>257</v>
      </c>
      <c r="C165" s="183" t="n">
        <f aca="false">C160/C161</f>
        <v>0.652569226280347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LibreOffice/26.2.6.3$MacOSX_X86_64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2026-03-08T16:56:37Z</dcterms:created>
  <dc:creator>Viktorie Kodickova</dc:creator>
  <dc:description/>
  <dc:language>en-US</dc:language>
  <cp:lastModifiedBy>Viktorie Kodickova</cp:lastModifiedBy>
  <dcterms:modified xsi:type="dcterms:W3CDTF">2026-10-18T20:17:27Z</dcterms:modified>
  <cp:revision>1</cp:revision>
  <dc:subject/>
  <dc:title>Ryanair DCF 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