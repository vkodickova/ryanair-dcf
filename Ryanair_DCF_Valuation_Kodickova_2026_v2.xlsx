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mments4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CF" sheetId="1" state="visible" r:id="rId3"/>
    <sheet name="Changes" sheetId="2" state="visible" r:id="rId4"/>
    <sheet name="Valuation" sheetId="3" state="visible" r:id="rId5"/>
    <sheet name="WACC" sheetId="4" state="visible" r:id="rId6"/>
    <sheet name="Sources &amp; Checks" sheetId="5" state="visible" r:id="rId7"/>
    <sheet name="Ratios" sheetId="6" state="visible" r:id="rId8"/>
    <sheet name="Calc" sheetId="7" state="visible" r:id="rId9"/>
  </sheets>
  <definedNames>
    <definedName function="false" hidden="false" localSheetId="0" name="_xlnm.Print_Area" vbProcedure="false">DCF!$A$1:$Y$101</definedName>
    <definedName function="false" hidden="false" localSheetId="5" name="_xlnm.Print_Area" vbProcedure="false">Ratios!$A$1:$E$36</definedName>
    <definedName function="false" hidden="false" localSheetId="4" name="_xlnm.Print_Area" vbProcedure="false">'Sources &amp; Checks'!$A$1:$D$25</definedName>
    <definedName function="false" hidden="false" localSheetId="2" name="_xlnm.Print_Area" vbProcedure="false">Valuation!$A$1:$Z$30</definedName>
    <definedName function="false" hidden="false" localSheetId="3" name="_xlnm.Print_Area" vbProcedure="false">WACC!$A$1:$J$22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6" authorId="0">
      <text>
        <r>
          <rPr>
            <sz val="10"/>
            <rFont val="Arial"/>
            <family val="2"/>
          </rPr>
          <t xml:space="preserve">Valuation date aligned to current market price date.</t>
        </r>
      </text>
    </comment>
    <comment ref="I6" authorId="0">
      <text>
        <r>
          <rPr>
            <sz val="10"/>
            <rFont val="Arial"/>
            <family val="2"/>
          </rPr>
          <t xml:space="preserve">Linked to verified source sheet (market price on 06/03/2026).</t>
        </r>
      </text>
    </comment>
    <comment ref="L16" authorId="0">
      <text>
        <r>
          <rPr>
            <sz val="10"/>
            <rFont val="Arial"/>
            <family val="2"/>
          </rPr>
          <t xml:space="preserve">Base case WACC linked to WACC!F22. Conservative / Optimistic cases use 9.2% / 8.2%.</t>
        </r>
      </text>
    </comment>
    <comment ref="L17" authorId="0">
      <text>
        <r>
          <rPr>
            <sz val="10"/>
            <rFont val="Arial"/>
            <family val="2"/>
          </rPr>
          <t xml:space="preserve">Base terminal growth rate = 1.5% for a mature airline; sensitivity range 1.0% to 2.0%.</t>
        </r>
      </text>
    </comment>
    <comment ref="O41" authorId="0">
      <text>
        <r>
          <rPr>
            <sz val="10"/>
            <rFont val="Arial"/>
            <family val="2"/>
          </rPr>
          <t xml:space="preserve">Forward assumptions for Ryanair extend FY26-FY35. FY26-FY27 traffic/guidance anchored to Ryanair Q3 FY26 results/presentation (208m FY26 traffic; 216m FY27 traffic; plan to 300m by FY34). Longer-dated FY31-FY35 growth/margin/CapEx/NWC are valuation assumptions, tapered toward maturity and terminal growth.</t>
        </r>
      </text>
    </comment>
    <comment ref="O42" authorId="0">
      <text>
        <r>
          <rPr>
            <sz val="10"/>
            <rFont val="Arial"/>
            <family val="2"/>
          </rPr>
          <t xml:space="preserve">Base revenue growth path FY26-FY30: 9.0%, 4.5%, 6.0%, 4.5%, 4.0%. Anchored to FY26 guidance and management traffic targets (208m, 216m, 230m, 240m, 250m).</t>
        </r>
      </text>
    </comment>
    <comment ref="O47" authorId="0">
      <text>
        <r>
          <rPr>
            <sz val="10"/>
            <rFont val="Arial"/>
            <family val="2"/>
          </rPr>
          <t xml:space="preserve">Forward assumptions for Ryanair extend FY26-FY35. FY26-FY27 traffic/guidance anchored to Ryanair Q3 FY26 results/presentation (208m FY26 traffic; 216m FY27 traffic; plan to 300m by FY34). Longer-dated FY31-FY35 growth/margin/CapEx/NWC are valuation assumptions, tapered toward maturity and terminal growth.</t>
        </r>
      </text>
    </comment>
    <comment ref="O48" authorId="0">
      <text>
        <r>
          <rPr>
            <sz val="10"/>
            <rFont val="Arial"/>
            <family val="2"/>
          </rPr>
          <t xml:space="preserve">Base EBIT margin path FY26-FY30: 14.3%, 14.5%, 14.7%, 14.8%, 14.8%. Conservative relative to FY24 peak margin and reflects fuel / ATC / Boeing risk.</t>
        </r>
      </text>
    </comment>
    <comment ref="O57" authorId="0">
      <text>
        <r>
          <rPr>
            <sz val="10"/>
            <rFont val="Arial"/>
            <family val="2"/>
          </rPr>
          <t xml:space="preserve">Forward assumptions for Ryanair extend FY26-FY35. FY26-FY27 traffic/guidance anchored to Ryanair Q3 FY26 results/presentation (208m FY26 traffic; 216m FY27 traffic; plan to 300m by FY34). Longer-dated FY31-FY35 growth/margin/CapEx/NWC are valuation assumptions, tapered toward maturity and terminal growth.</t>
        </r>
      </text>
    </comment>
    <comment ref="O60" authorId="0">
      <text>
        <r>
          <rPr>
            <sz val="10"/>
            <rFont val="Arial"/>
            <family val="2"/>
          </rPr>
          <t xml:space="preserve">Forward assumptions for Ryanair extend FY26-FY35. FY26-FY27 traffic/guidance anchored to Ryanair Q3 FY26 results/presentation (208m FY26 traffic; 216m FY27 traffic; plan to 300m by FY34). Longer-dated FY31-FY35 growth/margin/CapEx/NWC are valuation assumptions, tapered toward maturity and terminal growth.</t>
        </r>
      </text>
    </comment>
    <comment ref="O63" authorId="0">
      <text>
        <r>
          <rPr>
            <sz val="10"/>
            <rFont val="Arial"/>
            <family val="2"/>
          </rPr>
          <t xml:space="preserve">Forward assumptions for Ryanair extend FY26-FY35. FY26-FY27 traffic/guidance anchored to Ryanair Q3 FY26 results/presentation (208m FY26 traffic; 216m FY27 traffic; plan to 300m by FY34). Longer-dated FY31-FY35 growth/margin/CapEx/NWC are valuation assumptions, tapered toward maturity and terminal growth.</t>
        </r>
      </text>
    </comment>
    <comment ref="S76" authorId="0">
      <text>
        <r>
          <rPr>
            <sz val="10"/>
            <rFont val="Arial"/>
            <family val="2"/>
          </rPr>
          <t xml:space="preserve">Linked to verified source sheet (gross cash at 31 Dec 2025).</t>
        </r>
      </text>
    </comment>
    <comment ref="S77" authorId="0">
      <text>
        <r>
          <rPr>
            <sz val="10"/>
            <rFont val="Arial"/>
            <family val="2"/>
          </rPr>
          <t xml:space="preserve">Linked to verified source sheet (gross debt at 31 Dec 2025).</t>
        </r>
      </text>
    </comment>
    <comment ref="S78" authorId="0">
      <text>
        <r>
          <rPr>
            <sz val="10"/>
            <rFont val="Arial"/>
            <family val="2"/>
          </rPr>
          <t xml:space="preserve">Equity value = enterprise value + cash - debt.</t>
        </r>
      </text>
    </comment>
    <comment ref="S80" authorId="0">
      <text>
        <r>
          <rPr>
            <sz val="10"/>
            <rFont val="Arial"/>
            <family val="2"/>
          </rPr>
          <t xml:space="preserve">Linked to verified source sheet (diluted shares).</t>
        </r>
      </text>
    </comment>
    <comment ref="T41" authorId="0">
      <text>
        <r>
          <rPr>
            <sz val="10"/>
            <rFont val="Arial"/>
            <family val="2"/>
          </rPr>
          <t xml:space="preserve">Forward assumptions for Ryanair extend FY26-FY35. FY26-FY27 traffic/guidance anchored to Ryanair Q3 FY26 results/presentation (208m FY26 traffic; 216m FY27 traffic; plan to 300m by FY34). Longer-dated FY31-FY35 growth/margin/CapEx/NWC are valuation assumptions, tapered toward maturity and terminal growth.</t>
        </r>
      </text>
    </comment>
    <comment ref="T47" authorId="0">
      <text>
        <r>
          <rPr>
            <sz val="10"/>
            <rFont val="Arial"/>
            <family val="2"/>
          </rPr>
          <t xml:space="preserve">Forward assumptions for Ryanair extend FY26-FY35. FY26-FY27 traffic/guidance anchored to Ryanair Q3 FY26 results/presentation (208m FY26 traffic; 216m FY27 traffic; plan to 300m by FY34). Longer-dated FY31-FY35 growth/margin/CapEx/NWC are valuation assumptions, tapered toward maturity and terminal growth.</t>
        </r>
      </text>
    </comment>
    <comment ref="T57" authorId="0">
      <text>
        <r>
          <rPr>
            <sz val="10"/>
            <rFont val="Arial"/>
            <family val="2"/>
          </rPr>
          <t xml:space="preserve">Forward assumptions for Ryanair extend FY26-FY35. FY26-FY27 traffic/guidance anchored to Ryanair Q3 FY26 results/presentation (208m FY26 traffic; 216m FY27 traffic; plan to 300m by FY34). Longer-dated FY31-FY35 growth/margin/CapEx/NWC are valuation assumptions, tapered toward maturity and terminal growth.</t>
        </r>
      </text>
    </comment>
    <comment ref="T60" authorId="0">
      <text>
        <r>
          <rPr>
            <sz val="10"/>
            <rFont val="Arial"/>
            <family val="2"/>
          </rPr>
          <t xml:space="preserve">Forward assumptions for Ryanair extend FY26-FY35. FY26-FY27 traffic/guidance anchored to Ryanair Q3 FY26 results/presentation (208m FY26 traffic; 216m FY27 traffic; plan to 300m by FY34). Longer-dated FY31-FY35 growth/margin/CapEx/NWC are valuation assumptions, tapered toward maturity and terminal growth.</t>
        </r>
      </text>
    </comment>
    <comment ref="T63" authorId="0">
      <text>
        <r>
          <rPr>
            <sz val="10"/>
            <rFont val="Arial"/>
            <family val="2"/>
          </rPr>
          <t xml:space="preserve">Forward assumptions for Ryanair extend FY26-FY35. FY26-FY27 traffic/guidance anchored to Ryanair Q3 FY26 results/presentation (208m FY26 traffic; 216m FY27 traffic; plan to 300m by FY34). Longer-dated FY31-FY35 growth/margin/CapEx/NWC are valuation assumptions, tapered toward maturity and terminal growth.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8" authorId="0">
      <text>
        <r>
          <rPr>
            <sz val="10"/>
            <rFont val="Arial"/>
            <family val="2"/>
          </rPr>
          <t xml:space="preserve">Linked to verified current share price.</t>
        </r>
      </text>
    </comment>
    <comment ref="J8" authorId="0">
      <text>
        <r>
          <rPr>
            <sz val="10"/>
            <rFont val="Arial"/>
            <family val="2"/>
          </rPr>
          <t xml:space="preserve">Market cap calculated using basic shares outstanding (not diluted).</t>
        </r>
      </text>
    </comment>
    <comment ref="L8" authorId="0">
      <text>
        <r>
          <rPr>
            <sz val="10"/>
            <rFont val="Arial"/>
            <family val="2"/>
          </rPr>
          <t xml:space="preserve">Enterprise value calculated as market cap - cash + debt using verified latest balance sheet inputs.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8" authorId="0">
      <text>
        <r>
          <rPr>
            <sz val="10"/>
            <rFont val="Arial"/>
            <family val="2"/>
          </rPr>
          <t xml:space="preserve">Market cap now linked to verified share price and basic shares outstanding.</t>
        </r>
      </text>
    </comment>
    <comment ref="F11" authorId="0">
      <text>
        <r>
          <rPr>
            <sz val="10"/>
            <rFont val="Arial"/>
            <family val="2"/>
          </rPr>
          <t xml:space="preserve">Source: https://www.ecb.europa.eu/stats/html/index.en.html (10-year AAA government bond yield 2.89% on 05-Mar-2026).</t>
        </r>
      </text>
    </comment>
    <comment ref="F12" authorId="0">
      <text>
        <r>
          <rPr>
            <sz val="10"/>
            <rFont val="Arial"/>
            <family val="2"/>
          </rPr>
          <t xml:space="preserve">Source: https://finance.yahoo.com/quote/RYA.IR/ (Beta (5Y Monthly) = 1.01, accessed Mar-2026).</t>
        </r>
      </text>
    </comment>
    <comment ref="F13" authorId="0">
      <text>
        <r>
          <rPr>
            <sz val="10"/>
            <rFont val="Arial"/>
            <family val="2"/>
          </rPr>
          <t xml:space="preserve">Source: https://www.kroll.com/en/reports/cost-of-capital/recommended-eurozone-equity-risk-premium-corresponding-risk-free-rates (Kroll notes a Eurozone ERP range of 5.5% to 6.0%; model uses 6.0% as a prudent upper-end assumption).</t>
        </r>
      </text>
    </comment>
    <comment ref="F15" authorId="0">
      <text>
        <r>
          <rPr>
            <sz val="10"/>
            <rFont val="Arial"/>
            <family val="2"/>
          </rPr>
          <t xml:space="preserve">Source: https://investor.ryanair.com/wp-content/uploads/2026/01/Q3-FY26-Ryanair-Results.pdf (gross debt c. €1.5bn at 31-Dec-2025).</t>
        </r>
      </text>
    </comment>
    <comment ref="F17" authorId="0">
      <text>
        <r>
          <rPr>
            <sz val="10"/>
            <rFont val="Arial"/>
            <family val="2"/>
          </rPr>
          <t xml:space="preserve">Analyst assumption: 3.0% pre-tax cost of debt. Ryanair is close to debt-free after the final bond maturity due May-2026; debt weighting in WACC is small.</t>
        </r>
      </text>
    </comment>
    <comment ref="F18" authorId="0">
      <text>
        <r>
          <rPr>
            <sz val="10"/>
            <rFont val="Arial"/>
            <family val="2"/>
          </rPr>
          <t xml:space="preserve">Source: https://investor.ryanair.com/wp-content/uploads/2025/05/Ryanair-2025-Annual-Report.pdf (FY25 effective tax rate ~10%).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Source: https://live.euronext.com/en/product/equities/IE00BYTBXV33-XMSM
Cross-check: https://www.marketscreener.com/quote/stock/RYANAIR-HOLDINGS-PLC-1412410/quotes/</t>
        </r>
      </text>
    </comment>
    <comment ref="B6" authorId="0">
      <text>
        <r>
          <rPr>
            <sz val="10"/>
            <rFont val="Arial"/>
            <family val="2"/>
          </rPr>
          <t xml:space="preserve">Source: https://investor.ryanair.com/wp-content/uploads/2026/01/Q3-FY26-Ryanair-Results.pdf</t>
        </r>
      </text>
    </comment>
    <comment ref="B7" authorId="0">
      <text>
        <r>
          <rPr>
            <sz val="10"/>
            <rFont val="Arial"/>
            <family val="2"/>
          </rPr>
          <t xml:space="preserve">Source: https://investor.ryanair.com/wp-content/uploads/2026/01/Q3-FY26-Ryanair-Results.pdf</t>
        </r>
      </text>
    </comment>
    <comment ref="B8" authorId="0">
      <text>
        <r>
          <rPr>
            <sz val="10"/>
            <rFont val="Arial"/>
            <family val="2"/>
          </rPr>
          <t xml:space="preserve">Source: https://investor.ryanair.com/wp-content/uploads/2026/01/Q3-FY26-Ryanair-Results.pdf</t>
        </r>
      </text>
    </comment>
    <comment ref="B9" authorId="0">
      <text>
        <r>
          <rPr>
            <sz val="10"/>
            <rFont val="Arial"/>
            <family val="2"/>
          </rPr>
          <t xml:space="preserve">Source: https://investor.ryanair.com/wp-content/uploads/2026/01/Q3-FY26-Ryanair-Results.pdf</t>
        </r>
      </text>
    </comment>
    <comment ref="B10" authorId="0">
      <text>
        <r>
          <rPr>
            <sz val="10"/>
            <rFont val="Arial"/>
            <family val="2"/>
          </rPr>
          <t xml:space="preserve">Source: https://www.investing.com/rates-bonds/germany-10-year-bond-yield-forecasts</t>
        </r>
      </text>
    </comment>
  </commentList>
</comments>
</file>

<file path=xl/sharedStrings.xml><?xml version="1.0" encoding="utf-8"?>
<sst xmlns="http://schemas.openxmlformats.org/spreadsheetml/2006/main" count="797" uniqueCount="302">
  <si>
    <t xml:space="preserve">DCF Model - Ryanair</t>
  </si>
  <si>
    <t xml:space="preserve">Ticker</t>
  </si>
  <si>
    <t xml:space="preserve">RYA.IR</t>
  </si>
  <si>
    <t xml:space="preserve">Implied Price Per Share</t>
  </si>
  <si>
    <t xml:space="preserve">Low-end</t>
  </si>
  <si>
    <t xml:space="preserve">Date</t>
  </si>
  <si>
    <t xml:space="preserve">Current Share Price</t>
  </si>
  <si>
    <t xml:space="preserve">High-end</t>
  </si>
  <si>
    <t xml:space="preserve">Year end</t>
  </si>
  <si>
    <t xml:space="preserve">Implied Upside/Downside</t>
  </si>
  <si>
    <t xml:space="preserve">X</t>
  </si>
  <si>
    <t xml:space="preserve">Assumption</t>
  </si>
  <si>
    <t xml:space="preserve">Switches</t>
  </si>
  <si>
    <t xml:space="preserve">Conservative</t>
  </si>
  <si>
    <t xml:space="preserve">Street/Base</t>
  </si>
  <si>
    <t xml:space="preserve">Optimistic</t>
  </si>
  <si>
    <t xml:space="preserve">Revenue</t>
  </si>
  <si>
    <t xml:space="preserve">Revenue Growth (Norm.)</t>
  </si>
  <si>
    <t xml:space="preserve">EBIT</t>
  </si>
  <si>
    <t xml:space="preserve">Norm. Years: FY17-19, FY24-25</t>
  </si>
  <si>
    <t xml:space="preserve">FY26 rate, fades to TGR by FY35</t>
  </si>
  <si>
    <t xml:space="preserve">WACC</t>
  </si>
  <si>
    <t xml:space="preserve">EBIT Margin (Norm.)</t>
  </si>
  <si>
    <t xml:space="preserve">TGR</t>
  </si>
  <si>
    <t xml:space="preserve">D&amp;A 8.0% | CapEx 18.3% | WC -2.9%</t>
  </si>
  <si>
    <t xml:space="preserve">Normalized avg</t>
  </si>
  <si>
    <t xml:space="preserve">Growth fade steps (FY27 to FY35)</t>
  </si>
  <si>
    <t xml:space="preserve">Income Statement </t>
  </si>
  <si>
    <t xml:space="preserve">% growth</t>
  </si>
  <si>
    <t xml:space="preserve"> </t>
  </si>
  <si>
    <t xml:space="preserve">EBITDA</t>
  </si>
  <si>
    <t xml:space="preserve">% of Sales</t>
  </si>
  <si>
    <t xml:space="preserve">Taxes</t>
  </si>
  <si>
    <t xml:space="preserve">Tax rate</t>
  </si>
  <si>
    <t xml:space="preserve">Cash Flow Items</t>
  </si>
  <si>
    <t xml:space="preserve">D&amp;A</t>
  </si>
  <si>
    <t xml:space="preserve">CapEx</t>
  </si>
  <si>
    <t xml:space="preserve">Change in NW</t>
  </si>
  <si>
    <t xml:space="preserve">% of Change in Sales</t>
  </si>
  <si>
    <t xml:space="preserve">DCF</t>
  </si>
  <si>
    <t xml:space="preserve">TV year</t>
  </si>
  <si>
    <t xml:space="preserve">Conservative Case</t>
  </si>
  <si>
    <t xml:space="preserve">Street Case</t>
  </si>
  <si>
    <t xml:space="preserve">Optimistic Case</t>
  </si>
  <si>
    <t xml:space="preserve">EBIAT</t>
  </si>
  <si>
    <t xml:space="preserve">Reinvestment rate (% of NOPAT)</t>
  </si>
  <si>
    <t xml:space="preserve">Unlevered FCF</t>
  </si>
  <si>
    <t xml:space="preserve">Present Value of FCF</t>
  </si>
  <si>
    <t xml:space="preserve">Period</t>
  </si>
  <si>
    <t xml:space="preserve">Discount Period</t>
  </si>
  <si>
    <t xml:space="preserve">Terminal Value</t>
  </si>
  <si>
    <t xml:space="preserve">Present Value of Terminal Value</t>
  </si>
  <si>
    <t xml:space="preserve">Enterprise Value</t>
  </si>
  <si>
    <t xml:space="preserve">(+) Cash</t>
  </si>
  <si>
    <t xml:space="preserve">(-) Debt</t>
  </si>
  <si>
    <t xml:space="preserve">Equity Value</t>
  </si>
  <si>
    <t xml:space="preserve">Diluted Shares</t>
  </si>
  <si>
    <t xml:space="preserve">Implied Stock Price</t>
  </si>
  <si>
    <t xml:space="preserve">Scenario Analysis — Implied Share Price (€)</t>
  </si>
  <si>
    <t xml:space="preserve">Scenario</t>
  </si>
  <si>
    <t xml:space="preserve">Rev Growth</t>
  </si>
  <si>
    <t xml:space="preserve">EBIT Margin</t>
  </si>
  <si>
    <t xml:space="preserve">Implied Price</t>
  </si>
  <si>
    <t xml:space="preserve">Upside / Downside</t>
  </si>
  <si>
    <t xml:space="preserve">Base / Street</t>
  </si>
  <si>
    <t xml:space="preserve">Current Market Price (€26.19)</t>
  </si>
  <si>
    <t xml:space="preserve">Sensitivity Analysis - Implied Price (€)  |  Base-case drivers (Street: 9.1% growth fading to the TGR of each column, 17.2% EBIT margin)</t>
  </si>
  <si>
    <t xml:space="preserve">WACC \ TGR →</t>
  </si>
  <si>
    <t xml:space="preserve">Changes in v2</t>
  </si>
  <si>
    <t xml:space="preserve">Green cells = new or changed in v2</t>
  </si>
  <si>
    <t xml:space="preserve">1. Changes made</t>
  </si>
  <si>
    <t xml:space="preserve">Change</t>
  </si>
  <si>
    <t xml:space="preserve">Cells</t>
  </si>
  <si>
    <t xml:space="preserve">Explanation</t>
  </si>
  <si>
    <t xml:space="preserve">1. Blume adjusted beta</t>
  </si>
  <si>
    <t xml:space="preserve">WACC!F14, F10</t>
  </si>
  <si>
    <t xml:space="preserve">Adjusted beta = 1/3 x 1 + 2/3 x raw beta, used in the cost of equity</t>
  </si>
  <si>
    <t xml:space="preserve">2. Terminal FCF tied to growth</t>
  </si>
  <si>
    <t xml:space="preserve">DCF!Y54:Y66, X73</t>
  </si>
  <si>
    <t xml:space="preserve">Terminal FCF = NOPAT FY35 x (1+g) x (1 - g/WACC), TV = FCF / (WACC - g)</t>
  </si>
  <si>
    <t xml:space="preserve">3. Growth fades to terminal rate</t>
  </si>
  <si>
    <t xml:space="preserve">DCF!P41:X43, D18</t>
  </si>
  <si>
    <t xml:space="preserve">From FY27 growth falls by (start growth - TGR) / 9 a year, FY35 growth = TGR</t>
  </si>
  <si>
    <t xml:space="preserve">2. Before and after (base case)</t>
  </si>
  <si>
    <t xml:space="preserve">Before</t>
  </si>
  <si>
    <t xml:space="preserve">After</t>
  </si>
  <si>
    <t xml:space="preserve">Beta used in cost of equity</t>
  </si>
  <si>
    <t xml:space="preserve">Cost of equity</t>
  </si>
  <si>
    <t xml:space="preserve">Revenue growth FY26</t>
  </si>
  <si>
    <t xml:space="preserve">Revenue growth FY35</t>
  </si>
  <si>
    <t xml:space="preserve">NOPAT FY35</t>
  </si>
  <si>
    <t xml:space="preserve">Unlevered FCF FY35</t>
  </si>
  <si>
    <t xml:space="preserve">Terminal-year FCF</t>
  </si>
  <si>
    <t xml:space="preserve">Terminal reinvestment (% of NOPAT)</t>
  </si>
  <si>
    <t xml:space="preserve">Terminal value</t>
  </si>
  <si>
    <t xml:space="preserve">PV of terminal value</t>
  </si>
  <si>
    <t xml:space="preserve">Sum of PV of FCF FY26 to FY35</t>
  </si>
  <si>
    <t xml:space="preserve">Enterprise value</t>
  </si>
  <si>
    <t xml:space="preserve">Equity value</t>
  </si>
  <si>
    <t xml:space="preserve">Implied price per share (EUR)</t>
  </si>
  <si>
    <t xml:space="preserve">Upside against current price</t>
  </si>
  <si>
    <t xml:space="preserve">Conservative scenario price (EUR)</t>
  </si>
  <si>
    <t xml:space="preserve">Optimistic scenario price (EUR)</t>
  </si>
  <si>
    <t xml:space="preserve">3. Checkpoint reconciliation (EUR per share)</t>
  </si>
  <si>
    <t xml:space="preserve">Step</t>
  </si>
  <si>
    <t xml:space="preserve">Model</t>
  </si>
  <si>
    <t xml:space="preserve">Reference</t>
  </si>
  <si>
    <t xml:space="preserve">Difference</t>
  </si>
  <si>
    <t xml:space="preserve">Status</t>
  </si>
  <si>
    <t xml:space="preserve">Original model</t>
  </si>
  <si>
    <t xml:space="preserve">Change 1 only</t>
  </si>
  <si>
    <t xml:space="preserve">Change 2 only, growth flat</t>
  </si>
  <si>
    <t xml:space="preserve">Changes 1 and 2, growth flat</t>
  </si>
  <si>
    <t xml:space="preserve">All three changes</t>
  </si>
  <si>
    <t xml:space="preserve">Tolerance</t>
  </si>
  <si>
    <t xml:space="preserve">4. Known weak points</t>
  </si>
  <si>
    <t xml:space="preserve">Tax at 10% against Pillar Two. 15% would give about 28 per share on the original model and about 29 on v2.</t>
  </si>
  <si>
    <t xml:space="preserve">FY26 FCF is not prorated for the stub period.</t>
  </si>
  <si>
    <t xml:space="preserve">The "Total Debt 10,470" label in the Ratios balance sheet table is actually total liabilities.</t>
  </si>
  <si>
    <t xml:space="preserve">Leases are not added to debt separately.</t>
  </si>
  <si>
    <t xml:space="preserve">Comps</t>
  </si>
  <si>
    <t xml:space="preserve">Financial Data</t>
  </si>
  <si>
    <t xml:space="preserve">Multiples</t>
  </si>
  <si>
    <t xml:space="preserve">Multiples (EBIT basis)</t>
  </si>
  <si>
    <t xml:space="preserve">Price</t>
  </si>
  <si>
    <t xml:space="preserve">Market Cap</t>
  </si>
  <si>
    <t xml:space="preserve">EV</t>
  </si>
  <si>
    <t xml:space="preserve">Growth 24</t>
  </si>
  <si>
    <t xml:space="preserve">Growth 25</t>
  </si>
  <si>
    <t xml:space="preserve">EBIT Margin 24</t>
  </si>
  <si>
    <t xml:space="preserve">EBIT Margin 25</t>
  </si>
  <si>
    <t xml:space="preserve">EV/EBITDA 24</t>
  </si>
  <si>
    <t xml:space="preserve">EV/EBITDA 25</t>
  </si>
  <si>
    <t xml:space="preserve">EV/Sales 24</t>
  </si>
  <si>
    <t xml:space="preserve">EV/Sales 25</t>
  </si>
  <si>
    <t xml:space="preserve">EV/EBIT 24</t>
  </si>
  <si>
    <t xml:space="preserve">EV/EBIT 25</t>
  </si>
  <si>
    <t xml:space="preserve">Name</t>
  </si>
  <si>
    <t xml:space="preserve">(Local CCY)</t>
  </si>
  <si>
    <t xml:space="preserve">(Local CCY M)</t>
  </si>
  <si>
    <t xml:space="preserve">(%)</t>
  </si>
  <si>
    <t xml:space="preserve">(x)</t>
  </si>
  <si>
    <t xml:space="preserve">EUR / GBP</t>
  </si>
  <si>
    <t xml:space="preserve">EUR M / GBP M</t>
  </si>
  <si>
    <t xml:space="preserve">Ryanair Holdings plc</t>
  </si>
  <si>
    <t xml:space="preserve">EZJ.L</t>
  </si>
  <si>
    <t xml:space="preserve">easyJet plc</t>
  </si>
  <si>
    <t xml:space="preserve">WIZZ.L</t>
  </si>
  <si>
    <t xml:space="preserve">Wizz Air Holdings plc</t>
  </si>
  <si>
    <t xml:space="preserve">IAG.MC</t>
  </si>
  <si>
    <t xml:space="preserve">International Airlines Group</t>
  </si>
  <si>
    <t xml:space="preserve">LHA.DE</t>
  </si>
  <si>
    <t xml:space="preserve">Deutsche Lufthansa AG</t>
  </si>
  <si>
    <t xml:space="preserve">AF.PA</t>
  </si>
  <si>
    <t xml:space="preserve">Air France-KLM</t>
  </si>
  <si>
    <t xml:space="preserve">PEER AVG (EX-RYA)</t>
  </si>
  <si>
    <t xml:space="preserve">PEER MEDIAN (EX-RYA)</t>
  </si>
  <si>
    <t xml:space="preserve">Implied Valuation from Peer Medians (Ryanair)</t>
  </si>
  <si>
    <t xml:space="preserve">Metric</t>
  </si>
  <si>
    <t xml:space="preserve">Peer Median Multiple (FY25)</t>
  </si>
  <si>
    <t xml:space="preserve">Ryanair Metric (FY25, EUR M)</t>
  </si>
  <si>
    <t xml:space="preserve">Implied EV (EUR M)</t>
  </si>
  <si>
    <t xml:space="preserve">Implied Equity (EUR M)</t>
  </si>
  <si>
    <t xml:space="preserve">Implied Price (€)</t>
  </si>
  <si>
    <t xml:space="preserve">vs. Mkt €26.19</t>
  </si>
  <si>
    <t xml:space="preserve">EV/EBITDA (FY25)</t>
  </si>
  <si>
    <t xml:space="preserve">EV/Sales (FY25)</t>
  </si>
  <si>
    <t xml:space="preserve">EV/EBIT (FY25)</t>
  </si>
  <si>
    <t xml:space="preserve">Note: Peer medians exclude Ryanair (EX-RYA). Implied EV = Multiple × Ryanair metric. Net Debt Bridge: (+) Cash €2,400M, (−) Debt €1,500M. Shares: 1,066.8M diluted. Large discount vs DCF reflects Ryanair's structurally superior margins vs legacy carriers — direct comps multiples understate intrinsic value.</t>
  </si>
  <si>
    <t xml:space="preserve">WACC = % of equity x cost of equity + % of debt x cost of debt x (1- Tax Rate)</t>
  </si>
  <si>
    <t xml:space="preserve">Cost of equity = Risk Free rate + Adjusted Beta x Market Risk Premium</t>
  </si>
  <si>
    <t xml:space="preserve">% of Equity</t>
  </si>
  <si>
    <t xml:space="preserve">Cost of Equity</t>
  </si>
  <si>
    <t xml:space="preserve">Risk Free Rate</t>
  </si>
  <si>
    <t xml:space="preserve">Beta (raw)</t>
  </si>
  <si>
    <t xml:space="preserve">Market Risk Premium</t>
  </si>
  <si>
    <t xml:space="preserve">Adjusted Beta (Blume: 1/3 x 1.0 + 2/3 x raw beta)</t>
  </si>
  <si>
    <t xml:space="preserve">Debt</t>
  </si>
  <si>
    <t xml:space="preserve">% of Debt</t>
  </si>
  <si>
    <t xml:space="preserve">Cost of Debt</t>
  </si>
  <si>
    <t xml:space="preserve">Tax Rate</t>
  </si>
  <si>
    <t xml:space="preserve">Total</t>
  </si>
  <si>
    <t xml:space="preserve">Verified Inputs &amp; Sources</t>
  </si>
  <si>
    <t xml:space="preserve">Value</t>
  </si>
  <si>
    <t xml:space="preserve">Units</t>
  </si>
  <si>
    <t xml:space="preserve">Source / Note</t>
  </si>
  <si>
    <t xml:space="preserve">Valuation date</t>
  </si>
  <si>
    <t xml:space="preserve">date</t>
  </si>
  <si>
    <t xml:space="preserve">Aligned to market price date used in the model.</t>
  </si>
  <si>
    <t xml:space="preserve">Current share price</t>
  </si>
  <si>
    <t xml:space="preserve">EUR/share</t>
  </si>
  <si>
    <t xml:space="preserve">Euronext Dublin last traded price on 06/03/2026.</t>
  </si>
  <si>
    <t xml:space="preserve">Gross cash</t>
  </si>
  <si>
    <t xml:space="preserve">EUR m</t>
  </si>
  <si>
    <t xml:space="preserve">Ryanair Q3 FY26 results: gross cash at 31 Dec 2025.</t>
  </si>
  <si>
    <t xml:space="preserve">Gross debt</t>
  </si>
  <si>
    <t xml:space="preserve">Ryanair Q3 FY26 results: gross debt at 31 Dec 2025.</t>
  </si>
  <si>
    <t xml:space="preserve">Basic shares outstanding</t>
  </si>
  <si>
    <t xml:space="preserve">m shares</t>
  </si>
  <si>
    <t xml:space="preserve">Balance at 31 Dec 2025; used for market cap and EV bridge.</t>
  </si>
  <si>
    <t xml:space="preserve">Diluted shares</t>
  </si>
  <si>
    <t xml:space="preserve">9M FY26 diluted weighted average shares; used for per-share DCF.</t>
  </si>
  <si>
    <t xml:space="preserve">Risk-free rate</t>
  </si>
  <si>
    <t xml:space="preserve">%</t>
  </si>
  <si>
    <t xml:space="preserve">Germany 10Y government bond yield on 06/03/2026.</t>
  </si>
  <si>
    <t xml:space="preserve">Beta</t>
  </si>
  <si>
    <t xml:space="preserve">x</t>
  </si>
  <si>
    <t xml:space="preserve">Analyst assumption retained from original model.</t>
  </si>
  <si>
    <t xml:space="preserve">Market risk premium</t>
  </si>
  <si>
    <t xml:space="preserve">Pre-tax cost of debt</t>
  </si>
  <si>
    <t xml:space="preserve">Analyst assumption retained from original model / Irish tax profile.</t>
  </si>
  <si>
    <t xml:space="preserve">Control note</t>
  </si>
  <si>
    <t xml:space="preserve">Market cap uses basic shares; DCF per-share output uses diluted shares.</t>
  </si>
  <si>
    <t xml:space="preserve">DCF Forecast Methodology</t>
  </si>
  <si>
    <t xml:space="preserve">Normalized Historical Average</t>
  </si>
  <si>
    <t xml:space="preserve">-</t>
  </si>
  <si>
    <t xml:space="preserve">All forecast drivers (revenue growth, EBIT margin, D&amp;A, CapEx, ΔWC) use flat normalized avg. Normal years: FY2017-2019 + FY2024-2025. Excluded: FY2020-2023 (Covid disruption + rebound distortion). Revenue growth starts at the normalised rate in FY26 and fades in equal steps to the terminal growth rate by FY35.</t>
  </si>
  <si>
    <t xml:space="preserve">Normalized Revenue Growth</t>
  </si>
  <si>
    <t xml:space="preserve">Avg of FY17(1.7%), FY18(7.6%), FY19(7.6%), FY24(24.8%), FY25(3.8%) excl. Covid years</t>
  </si>
  <si>
    <t xml:space="preserve">Normalized EBIT Margin</t>
  </si>
  <si>
    <t xml:space="preserve">Avg of FY17(23.1%), FY18(23.3%), FY19(13.2%), FY24(15.3%), FY25(11.2%) excl. Covid years</t>
  </si>
  <si>
    <t xml:space="preserve">Normalized D&amp;A %</t>
  </si>
  <si>
    <t xml:space="preserve">Avg of FY17-FY19 + FY24-FY25 D&amp;A as % of Revenue</t>
  </si>
  <si>
    <t xml:space="preserve">Normalized CapEx %</t>
  </si>
  <si>
    <t xml:space="preserve">Avg of FY17-FY19 + FY24-FY25 CapEx as % of Revenue</t>
  </si>
  <si>
    <t xml:space="preserve">Normalized ΔWC %</t>
  </si>
  <si>
    <t xml:space="preserve">Avg of FY17-FY19 + FY24-FY25 change in net working capital as % of Revenue (negative = cash source, typical for airlines)</t>
  </si>
  <si>
    <t xml:space="preserve">⚠ Data Note</t>
  </si>
  <si>
    <t xml:space="preserve">FY2016 historical revenue (€6,535.8M) should be verified against Ryanair's FY2016 Annual Report (year ended 31 March 2016). Some databases report FY2016 total revenues as ~€5,654M (ex-ancillary supplements). If restated, the normalized growth average would adjust from 9.09% to approx. 9.5%.</t>
  </si>
  <si>
    <t xml:space="preserve">Income Statement Data (€ million)</t>
  </si>
  <si>
    <t xml:space="preserve">FY23</t>
  </si>
  <si>
    <t xml:space="preserve">FY24</t>
  </si>
  <si>
    <t xml:space="preserve">FY25</t>
  </si>
  <si>
    <t xml:space="preserve">Total Revenue1</t>
  </si>
  <si>
    <t xml:space="preserve">Total Operating Costs1</t>
  </si>
  <si>
    <t xml:space="preserve">Profit Before Tax1</t>
  </si>
  <si>
    <t xml:space="preserve">Profit After Tax (Net Income)1</t>
  </si>
  <si>
    <t xml:space="preserve">Balance Sheet Data (€ million)</t>
  </si>
  <si>
    <t xml:space="preserve">Total Assets1</t>
  </si>
  <si>
    <t xml:space="preserve">Shareholder Equity1</t>
  </si>
  <si>
    <t xml:space="preserve">Gross Cash1</t>
  </si>
  <si>
    <t xml:space="preserve">Current Liabilities1</t>
  </si>
  <si>
    <t xml:space="preserve">Non-Current Liabilities1</t>
  </si>
  <si>
    <t xml:space="preserve">Total Debt</t>
  </si>
  <si>
    <t xml:space="preserve">Ratio</t>
  </si>
  <si>
    <t xml:space="preserve">Revenue Growth</t>
  </si>
  <si>
    <t xml:space="preserve">Net Income Growth</t>
  </si>
  <si>
    <t xml:space="preserve">n.m</t>
  </si>
  <si>
    <t xml:space="preserve">Net Profit Margin</t>
  </si>
  <si>
    <t xml:space="preserve">Operating Margin</t>
  </si>
  <si>
    <t xml:space="preserve">Cost-to-Revenue</t>
  </si>
  <si>
    <t xml:space="preserve">ROA</t>
  </si>
  <si>
    <t xml:space="preserve">ROE</t>
  </si>
  <si>
    <t xml:space="preserve">Debt Ratio</t>
  </si>
  <si>
    <t xml:space="preserve">Equity Ratio</t>
  </si>
  <si>
    <t xml:space="preserve">1 Ryanair Holdings plc. (2025). Ryanair 2025 annual report. Retrieved 6 March 2026</t>
  </si>
  <si>
    <t xml:space="preserve">Note: Revenue Growth (FY23) - Calculated using FY22 revenue of €4,800.9m and FY23 revenue of €10,775m, resulting in growth of 124.40%. FY22 is used only as a base year.</t>
  </si>
  <si>
    <t xml:space="preserve">Note: Net Income Growth (FY23) - FY22 net income was a loss of €240.8m, while FY23 net income was €1,313.8m. Because the base year is negative, the growth rate is not meaningful and reflects a turnaround from loss to profit.</t>
  </si>
  <si>
    <t xml:space="preserve">Calc</t>
  </si>
  <si>
    <t xml:space="preserve">Inputs</t>
  </si>
  <si>
    <t xml:space="preserve">D&amp;A (% of sales)</t>
  </si>
  <si>
    <t xml:space="preserve">CapEx (% of sales)</t>
  </si>
  <si>
    <t xml:space="preserve">Change in NWC (% of sales, negative = cash source)</t>
  </si>
  <si>
    <t xml:space="preserve">Revenue FY25 (base year, EUR m)</t>
  </si>
  <si>
    <t xml:space="preserve">Cash (EUR m)</t>
  </si>
  <si>
    <t xml:space="preserve">Debt (EUR m)</t>
  </si>
  <si>
    <t xml:space="preserve">Diluted shares (m)</t>
  </si>
  <si>
    <t xml:space="preserve">Cost of equity with raw beta</t>
  </si>
  <si>
    <t xml:space="preserve">WACC with raw beta (before Change 1)</t>
  </si>
  <si>
    <t xml:space="preserve">WACC with Blume adjusted beta (after Change 1)</t>
  </si>
  <si>
    <t xml:space="preserve">Checkpoint steps</t>
  </si>
  <si>
    <t xml:space="preserve">Step 0. Original model</t>
  </si>
  <si>
    <t xml:space="preserve">Parameter</t>
  </si>
  <si>
    <t xml:space="preserve">Line</t>
  </si>
  <si>
    <t xml:space="preserve">Start growth (FY26)</t>
  </si>
  <si>
    <t xml:space="preserve">Revenue growth</t>
  </si>
  <si>
    <t xml:space="preserve">EBIT margin</t>
  </si>
  <si>
    <t xml:space="preserve">NOPAT = EBIT x (1 - tax)</t>
  </si>
  <si>
    <t xml:space="preserve">Terminal growth rate</t>
  </si>
  <si>
    <t xml:space="preserve">Growth fade (1 = yes, 0 = flat)</t>
  </si>
  <si>
    <t xml:space="preserve">Terminal FCF with g/WACC reinvestment (1 = yes, 0 = old)</t>
  </si>
  <si>
    <t xml:space="preserve">Change in NWC</t>
  </si>
  <si>
    <t xml:space="preserve">Discount period (years)</t>
  </si>
  <si>
    <t xml:space="preserve">PV of FCF</t>
  </si>
  <si>
    <t xml:space="preserve">Equity value (EV + cash - debt)</t>
  </si>
  <si>
    <t xml:space="preserve">PV of terminal value (% of EV)</t>
  </si>
  <si>
    <t xml:space="preserve">Step 1. Change 1 only</t>
  </si>
  <si>
    <t xml:space="preserve">Step 2. Change 2 only, growth flat</t>
  </si>
  <si>
    <t xml:space="preserve">Step 3. Changes 1 and 2, growth flat</t>
  </si>
  <si>
    <t xml:space="preserve">Step 4. All three changes (v2 base case)</t>
  </si>
  <si>
    <t xml:space="preserve">Scenarios</t>
  </si>
  <si>
    <t xml:space="preserve">Conservative, v2 method</t>
  </si>
  <si>
    <t xml:space="preserve">Base / Street, v2 method</t>
  </si>
  <si>
    <t xml:space="preserve">Optimistic, v2 method</t>
  </si>
  <si>
    <t xml:space="preserve">Conservative, original method</t>
  </si>
  <si>
    <t xml:space="preserve">Optimistic, original method</t>
  </si>
  <si>
    <t xml:space="preserve">Sensitivity table cash flows</t>
  </si>
  <si>
    <t xml:space="preserve">Sensitivity, terminal growth from DCF!D92</t>
  </si>
  <si>
    <t xml:space="preserve">Sensitivity, terminal growth from DCF!F92</t>
  </si>
  <si>
    <t xml:space="preserve">Sensitivity, terminal growth from DCF!H92</t>
  </si>
  <si>
    <t xml:space="preserve">Sensitivity, terminal growth from DCF!J92</t>
  </si>
  <si>
    <t xml:space="preserve">Sensitivity, terminal growth from DCF!L92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</si>
</sst>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_(* #,##0.00_);_(* \(#,##0.00\);_(* \-??_);_(@_)"/>
    <numFmt numFmtId="166" formatCode="0%"/>
    <numFmt numFmtId="167" formatCode="\€#,##0.00"/>
    <numFmt numFmtId="168" formatCode="m/d/yyyy"/>
    <numFmt numFmtId="169" formatCode="dd\-mmm\-yyyy"/>
    <numFmt numFmtId="170" formatCode="\+0.0%;\(0.0%\)"/>
    <numFmt numFmtId="171" formatCode="0.0%"/>
    <numFmt numFmtId="172" formatCode="0"/>
    <numFmt numFmtId="173" formatCode="#,##0.0;\(#,##0.0\);\-"/>
    <numFmt numFmtId="174" formatCode="0.0%;\(0.0%\);\-"/>
    <numFmt numFmtId="175" formatCode="_(* #,##0_);_(* \(#,##0\);_(* \-??_);_(@_)"/>
    <numFmt numFmtId="176" formatCode="0.00"/>
    <numFmt numFmtId="177" formatCode="0.000"/>
    <numFmt numFmtId="178" formatCode="#,##0;\(#,##0\);\-"/>
    <numFmt numFmtId="179" formatCode="_-* #,##0.00_-;\-* #,##0.00_-;_-* \-??_-;_-@_-"/>
    <numFmt numFmtId="180" formatCode="0.0000"/>
    <numFmt numFmtId="181" formatCode="0.000%"/>
    <numFmt numFmtId="182" formatCode="0.00%;\-0.00%;\-"/>
    <numFmt numFmtId="183" formatCode="0.00%"/>
    <numFmt numFmtId="184" formatCode="0.00;\-0.00;0.00"/>
    <numFmt numFmtId="185" formatCode="#,##0"/>
    <numFmt numFmtId="186" formatCode="0.00\x"/>
    <numFmt numFmtId="187" formatCode="0.000\x"/>
    <numFmt numFmtId="188" formatCode="0.0"/>
    <numFmt numFmtId="189" formatCode="0.0\x"/>
    <numFmt numFmtId="190" formatCode="0.0000\x"/>
    <numFmt numFmtId="191" formatCode="#,##0.0"/>
    <numFmt numFmtId="192" formatCode="_-* #,##0_-;\-* #,##0_-;_-* \-??_-;_-@_-"/>
  </numFmts>
  <fonts count="5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rial"/>
      <family val="2"/>
      <charset val="1"/>
    </font>
    <font>
      <i val="true"/>
      <sz val="9"/>
      <color theme="1"/>
      <name val="Calibri"/>
      <family val="2"/>
      <charset val="1"/>
    </font>
    <font>
      <i val="true"/>
      <sz val="10"/>
      <color rgb="FF0015FF"/>
      <name val="Arial"/>
      <family val="2"/>
      <charset val="1"/>
    </font>
    <font>
      <i val="true"/>
      <sz val="10"/>
      <color theme="1"/>
      <name val="Arial"/>
      <family val="2"/>
      <charset val="1"/>
    </font>
    <font>
      <b val="true"/>
      <sz val="10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8"/>
      <color theme="1"/>
      <name val="Arial"/>
      <family val="2"/>
      <charset val="1"/>
    </font>
    <font>
      <sz val="8"/>
      <color theme="1"/>
      <name val="Calibri"/>
      <family val="2"/>
      <charset val="1"/>
    </font>
    <font>
      <b val="true"/>
      <i val="true"/>
      <sz val="14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u val="single"/>
      <sz val="10"/>
      <color rgb="FF0015FF"/>
      <name val="Calibri"/>
      <family val="2"/>
      <charset val="1"/>
    </font>
    <font>
      <u val="single"/>
      <sz val="11"/>
      <color rgb="FF0000FF"/>
      <name val="Calibri"/>
      <family val="2"/>
      <charset val="1"/>
    </font>
    <font>
      <sz val="11"/>
      <color rgb="FF3F3F76"/>
      <name val="Calibri"/>
      <family val="2"/>
      <charset val="1"/>
    </font>
    <font>
      <sz val="11"/>
      <color rgb="FF9C57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sz val="8"/>
      <color rgb="FF0015FF"/>
      <name val="Calibri"/>
      <family val="2"/>
      <charset val="1"/>
    </font>
    <font>
      <b val="true"/>
      <sz val="9"/>
      <color theme="1"/>
      <name val="Arial"/>
      <family val="2"/>
      <charset val="1"/>
    </font>
    <font>
      <sz val="14"/>
      <color theme="1"/>
      <name val="Calibri"/>
      <family val="2"/>
      <charset val="1"/>
    </font>
    <font>
      <sz val="9"/>
      <color theme="1"/>
      <name val="Arial"/>
      <family val="2"/>
      <charset val="1"/>
    </font>
    <font>
      <sz val="9"/>
      <color rgb="FF0000FF"/>
      <name val="Arial"/>
      <family val="2"/>
      <charset val="1"/>
    </font>
    <font>
      <b val="true"/>
      <sz val="10"/>
      <name val="Arial"/>
      <family val="2"/>
      <charset val="1"/>
    </font>
    <font>
      <sz val="9"/>
      <color rgb="FF008000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9"/>
      <name val="Arial"/>
      <family val="2"/>
      <charset val="1"/>
    </font>
    <font>
      <sz val="11"/>
      <color theme="0"/>
      <name val="Calibri"/>
      <family val="2"/>
      <charset val="1"/>
    </font>
    <font>
      <sz val="9"/>
      <color theme="0"/>
      <name val="Arial"/>
      <family val="2"/>
      <charset val="1"/>
    </font>
    <font>
      <sz val="9"/>
      <color rgb="FF000000"/>
      <name val="Arial"/>
      <family val="2"/>
      <charset val="1"/>
    </font>
    <font>
      <i val="true"/>
      <sz val="11"/>
      <color theme="1"/>
      <name val="Calibri"/>
      <family val="2"/>
      <charset val="1"/>
    </font>
    <font>
      <i val="true"/>
      <sz val="9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sz val="9"/>
      <color theme="0"/>
      <name val="Arial"/>
      <family val="2"/>
      <charset val="1"/>
    </font>
    <font>
      <i val="true"/>
      <sz val="8"/>
      <color theme="1"/>
      <name val="Arial"/>
      <family val="2"/>
      <charset val="1"/>
    </font>
    <font>
      <sz val="10"/>
      <color rgb="FF14181F"/>
      <name val="Calibri"/>
      <family val="2"/>
      <charset val="1"/>
    </font>
    <font>
      <sz val="10"/>
      <name val="Arial"/>
      <family val="2"/>
    </font>
    <font>
      <b val="true"/>
      <sz val="12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2"/>
      <charset val="1"/>
    </font>
    <font>
      <b val="true"/>
      <sz val="11"/>
      <color theme="0"/>
      <name val="Calibri"/>
      <family val="2"/>
      <charset val="1"/>
    </font>
    <font>
      <i val="true"/>
      <sz val="8"/>
      <color theme="0"/>
      <name val="Arial"/>
      <family val="2"/>
      <charset val="1"/>
    </font>
    <font>
      <sz val="9"/>
      <color rgb="FFFF0000"/>
      <name val="Arial"/>
      <family val="2"/>
      <charset val="1"/>
    </font>
    <font>
      <i val="true"/>
      <sz val="8"/>
      <name val="Arial"/>
      <family val="2"/>
      <charset val="1"/>
    </font>
    <font>
      <sz val="6"/>
      <color rgb="FF232A3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1"/>
      <color theme="0"/>
      <name val="Arial"/>
      <family val="2"/>
      <charset val="1"/>
    </font>
    <font>
      <b val="true"/>
      <sz val="9"/>
      <color rgb="FFFF0000"/>
      <name val="Arial"/>
      <family val="2"/>
      <charset val="1"/>
    </font>
    <font>
      <i val="true"/>
      <sz val="8"/>
      <color rgb="FFFF0000"/>
      <name val="Arial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1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FFCC99"/>
        <bgColor rgb="FFFFEB9C"/>
      </patternFill>
    </fill>
    <fill>
      <patternFill patternType="solid">
        <fgColor rgb="FFFFEB9C"/>
        <bgColor rgb="FFFFCC99"/>
      </patternFill>
    </fill>
    <fill>
      <patternFill patternType="solid">
        <fgColor rgb="FFD6E4F0"/>
        <bgColor rgb="FFDEEBF7"/>
      </patternFill>
    </fill>
    <fill>
      <patternFill patternType="solid">
        <fgColor rgb="FF1F3864"/>
        <bgColor rgb="FF333F4F"/>
      </patternFill>
    </fill>
    <fill>
      <patternFill patternType="solid">
        <fgColor theme="3" tint="-0.25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D6E4F0"/>
      </patternFill>
    </fill>
    <fill>
      <patternFill patternType="solid">
        <fgColor rgb="FF2F75B6"/>
        <bgColor rgb="FF008080"/>
      </patternFill>
    </fill>
    <fill>
      <patternFill patternType="solid">
        <fgColor rgb="FFF2F2F2"/>
        <bgColor rgb="FFE7E6E6"/>
      </patternFill>
    </fill>
    <fill>
      <patternFill patternType="solid">
        <fgColor rgb="FFFFFFFF"/>
        <bgColor rgb="FFF2F2F2"/>
      </patternFill>
    </fill>
    <fill>
      <patternFill patternType="solid">
        <fgColor theme="2"/>
        <bgColor rgb="FFDEEBF7"/>
      </patternFill>
    </fill>
    <fill>
      <patternFill patternType="solid">
        <fgColor rgb="FF1F4E78"/>
        <bgColor rgb="FF1F3864"/>
      </patternFill>
    </fill>
    <fill>
      <patternFill patternType="solid">
        <fgColor theme="8" tint="0.3999"/>
        <bgColor rgb="FFB7C9D6"/>
      </patternFill>
    </fill>
    <fill>
      <patternFill patternType="solid">
        <fgColor theme="8" tint="0.7999"/>
        <bgColor rgb="FFD6E4F0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medium">
        <color rgb="FF595959"/>
      </left>
      <right style="medium">
        <color rgb="FF595959"/>
      </right>
      <top style="medium">
        <color rgb="FF595959"/>
      </top>
      <bottom style="medium">
        <color rgb="FF595959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/>
      <bottom style="thin">
        <color rgb="FFBFBFBF"/>
      </bottom>
      <diagonal/>
    </border>
    <border diagonalUp="false" diagonalDown="false">
      <left/>
      <right/>
      <top style="thin">
        <color rgb="FFB7C9D6"/>
      </top>
      <bottom style="thin">
        <color rgb="FFB7C9D6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4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</cellStyleXfs>
  <cellXfs count="2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6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6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4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4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2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2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22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4" fillId="8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4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2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4" fillId="8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4" fillId="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4" fillId="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4" fillId="1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2" fillId="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1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4" fillId="11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6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4" fillId="1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8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36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2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4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1" fontId="4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2" fontId="4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4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4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4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1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4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41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5" fontId="4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4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6" fontId="4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7" fontId="4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6" fontId="4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8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8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5" fontId="4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4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6" fontId="4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7" fontId="4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6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6" fontId="2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7" fontId="2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6" fontId="2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44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6" fontId="44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5" fontId="44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44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47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44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6" fontId="44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5" fontId="44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44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47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2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90" fontId="24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2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50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1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4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4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4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91" fontId="44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44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6" fontId="44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4" fontId="4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4" fillId="14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5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5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5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2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2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2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2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2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5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0" fillId="0" borderId="2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0" fillId="0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0" fillId="0" borderId="2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4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83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41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4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3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llDataCopyrightStyle" xfId="20"/>
    <cellStyle name="amountsStyle" xfId="21"/>
    <cellStyle name="Arial10ItalicBlueStyle" xfId="22"/>
    <cellStyle name="Arial10ItalicStyle" xfId="23"/>
    <cellStyle name="bondFinValueStyle" xfId="24"/>
    <cellStyle name="Comma 2" xfId="25"/>
    <cellStyle name="companyNameStyle" xfId="26"/>
    <cellStyle name="downloadOnStyle" xfId="27"/>
    <cellStyle name="filedDateStyle" xfId="28"/>
    <cellStyle name="finCategoryStyle" xfId="29"/>
    <cellStyle name="finHeaderTitleStyle" xfId="30"/>
    <cellStyle name="finItemStyle" xfId="31"/>
    <cellStyle name="finValueStyle" xfId="32"/>
    <cellStyle name="FooterStyle" xfId="33"/>
    <cellStyle name="headerLinkStyle" xfId="34"/>
    <cellStyle name="hyperLinkStyle" xfId="35"/>
    <cellStyle name="Input" xfId="36"/>
    <cellStyle name="Neutrale" xfId="37"/>
    <cellStyle name="Normal 2" xfId="38"/>
    <cellStyle name="Normal 3" xfId="39"/>
    <cellStyle name="Percent 2" xfId="40"/>
    <cellStyle name="SourcingSheetBaseStyle" xfId="41"/>
    <cellStyle name="summaryStatsHeaderStyle" xfId="42"/>
    <cellStyle name="summaryStatsHeaderTitleStyle" xfId="43"/>
    <cellStyle name="viewHeaderStyle" xfId="4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DEEBF7"/>
      <rgbColor rgb="FF660066"/>
      <rgbColor rgb="FFFF8080"/>
      <rgbColor rgb="FF1F4E78"/>
      <rgbColor rgb="FFB7C9D6"/>
      <rgbColor rgb="FF000080"/>
      <rgbColor rgb="FFFF00FF"/>
      <rgbColor rgb="FFFFFF00"/>
      <rgbColor rgb="FF00FFFF"/>
      <rgbColor rgb="FF800080"/>
      <rgbColor rgb="FF800000"/>
      <rgbColor rgb="FF008080"/>
      <rgbColor rgb="FF0015FF"/>
      <rgbColor rgb="FF00CCFF"/>
      <rgbColor rgb="FFD6E4F0"/>
      <rgbColor rgb="FFC6EFCE"/>
      <rgbColor rgb="FFFFEB9C"/>
      <rgbColor rgb="FF9DC3E6"/>
      <rgbColor rgb="FFE7E6E6"/>
      <rgbColor rgb="FFCC99FF"/>
      <rgbColor rgb="FFFFCC99"/>
      <rgbColor rgb="FF2F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14181F"/>
      <rgbColor rgb="FF333F4F"/>
      <rgbColor rgb="FF9C5700"/>
      <rgbColor rgb="FF993366"/>
      <rgbColor rgb="FF3F3F76"/>
      <rgbColor rgb="FF232A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3:Y101"/>
  <sheetViews>
    <sheetView showFormulas="false" showGridLines="fals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F1" activeCellId="0" sqref="F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3" min="3" style="1" width="4"/>
    <col collapsed="false" customWidth="true" hidden="false" outlineLevel="0" max="4" min="4" style="1" width="16"/>
    <col collapsed="false" customWidth="true" hidden="false" outlineLevel="0" max="5" min="5" style="1" width="11"/>
    <col collapsed="false" customWidth="true" hidden="false" outlineLevel="0" max="6" min="6" style="1" width="27.5"/>
    <col collapsed="false" customWidth="true" hidden="false" outlineLevel="0" max="7" min="7" style="1" width="11"/>
    <col collapsed="false" customWidth="true" hidden="false" outlineLevel="0" max="8" min="8" style="1" width="14.33"/>
    <col collapsed="false" customWidth="true" hidden="false" outlineLevel="0" max="9" min="9" style="1" width="11"/>
    <col collapsed="false" customWidth="true" hidden="false" outlineLevel="0" max="10" min="10" style="1" width="27.5"/>
    <col collapsed="false" customWidth="true" hidden="false" outlineLevel="0" max="11" min="11" style="1" width="11"/>
    <col collapsed="false" customWidth="true" hidden="false" outlineLevel="0" max="12" min="12" style="1" width="14.33"/>
    <col collapsed="false" customWidth="true" hidden="false" outlineLevel="0" max="13" min="13" style="1" width="24.83"/>
    <col collapsed="false" customWidth="true" hidden="false" outlineLevel="0" max="14" min="14" style="1" width="27.5"/>
    <col collapsed="false" customWidth="true" hidden="false" outlineLevel="0" max="15" min="15" style="1" width="11"/>
    <col collapsed="false" customWidth="true" hidden="false" outlineLevel="0" max="16" min="16" style="1" width="14.33"/>
    <col collapsed="false" customWidth="true" hidden="false" outlineLevel="0" max="25" min="17" style="1" width="11"/>
  </cols>
  <sheetData>
    <row r="3" s="2" customFormat="true" ht="21" hidden="false" customHeight="true" outlineLevel="0" collapsed="false">
      <c r="B3" s="3" t="s">
        <v>0</v>
      </c>
      <c r="C3" s="4"/>
    </row>
    <row r="4" customFormat="false" ht="18.75" hidden="false" customHeight="true" outlineLevel="0" collapsed="false">
      <c r="B4" s="5"/>
      <c r="C4" s="5"/>
    </row>
    <row r="5" customFormat="false" ht="18.75" hidden="false" customHeight="true" outlineLevel="0" collapsed="false">
      <c r="B5" s="6" t="s">
        <v>1</v>
      </c>
      <c r="C5" s="5"/>
      <c r="D5" s="7" t="s">
        <v>2</v>
      </c>
      <c r="F5" s="8" t="s">
        <v>3</v>
      </c>
      <c r="I5" s="9" t="n">
        <f aca="false">S81</f>
        <v>31.4079389359073</v>
      </c>
      <c r="K5" s="8" t="s">
        <v>4</v>
      </c>
    </row>
    <row r="6" customFormat="false" ht="18.75" hidden="false" customHeight="true" outlineLevel="0" collapsed="false">
      <c r="B6" s="6" t="s">
        <v>5</v>
      </c>
      <c r="C6" s="5"/>
      <c r="D6" s="10" t="n">
        <f aca="false">'Sources &amp; Checks'!$B$4</f>
        <v>46087</v>
      </c>
      <c r="F6" s="8" t="s">
        <v>6</v>
      </c>
      <c r="I6" s="9" t="n">
        <f aca="false">'Sources &amp; Checks'!$B$5</f>
        <v>26.19</v>
      </c>
      <c r="K6" s="8" t="s">
        <v>7</v>
      </c>
    </row>
    <row r="7" customFormat="false" ht="18.75" hidden="false" customHeight="true" outlineLevel="0" collapsed="false">
      <c r="B7" s="6" t="s">
        <v>8</v>
      </c>
      <c r="C7" s="5"/>
      <c r="D7" s="11" t="n">
        <v>46112</v>
      </c>
      <c r="F7" s="8" t="s">
        <v>9</v>
      </c>
      <c r="I7" s="12" t="n">
        <f aca="false">I5/I6-1</f>
        <v>0.199234018171337</v>
      </c>
    </row>
    <row r="9" customFormat="false" ht="15" hidden="false" customHeight="true" outlineLevel="0" collapsed="false">
      <c r="A9" s="13" t="s">
        <v>10</v>
      </c>
      <c r="B9" s="14" t="s">
        <v>11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 customFormat="false" ht="15" hidden="false" customHeight="true" outlineLevel="0" collapsed="false">
      <c r="B10" s="8" t="s">
        <v>12</v>
      </c>
      <c r="F10" s="8" t="s">
        <v>13</v>
      </c>
      <c r="J10" s="8" t="s">
        <v>14</v>
      </c>
      <c r="N10" s="8" t="s">
        <v>15</v>
      </c>
    </row>
    <row r="11" customFormat="false" ht="15" hidden="false" customHeight="true" outlineLevel="0" collapsed="false">
      <c r="B11" s="8" t="s">
        <v>16</v>
      </c>
      <c r="D11" s="16" t="n">
        <v>2</v>
      </c>
      <c r="F11" s="8" t="s">
        <v>17</v>
      </c>
      <c r="H11" s="17" t="n">
        <v>0.07</v>
      </c>
      <c r="J11" s="8" t="s">
        <v>17</v>
      </c>
      <c r="L11" s="17" t="n">
        <f aca="false">'Sources &amp; Checks'!$B$19</f>
        <v>0.0909</v>
      </c>
      <c r="N11" s="8" t="s">
        <v>17</v>
      </c>
      <c r="P11" s="17" t="n">
        <v>0.11</v>
      </c>
    </row>
    <row r="12" customFormat="false" ht="15" hidden="false" customHeight="true" outlineLevel="0" collapsed="false">
      <c r="B12" s="8" t="s">
        <v>18</v>
      </c>
      <c r="D12" s="16" t="n">
        <v>2</v>
      </c>
      <c r="F12" s="8" t="s">
        <v>19</v>
      </c>
      <c r="H12" s="18" t="s">
        <v>20</v>
      </c>
      <c r="J12" s="8" t="s">
        <v>19</v>
      </c>
      <c r="L12" s="18" t="s">
        <v>20</v>
      </c>
      <c r="N12" s="8" t="s">
        <v>19</v>
      </c>
      <c r="P12" s="18" t="s">
        <v>20</v>
      </c>
    </row>
    <row r="13" customFormat="false" ht="15" hidden="false" customHeight="true" outlineLevel="0" collapsed="false">
      <c r="B13" s="8" t="s">
        <v>21</v>
      </c>
      <c r="D13" s="16" t="n">
        <v>2</v>
      </c>
      <c r="F13" s="8" t="s">
        <v>22</v>
      </c>
      <c r="H13" s="17" t="n">
        <v>0.16</v>
      </c>
      <c r="J13" s="8" t="s">
        <v>22</v>
      </c>
      <c r="L13" s="17" t="n">
        <f aca="false">'Sources &amp; Checks'!$B$20</f>
        <v>0.1722</v>
      </c>
      <c r="N13" s="8" t="s">
        <v>22</v>
      </c>
      <c r="P13" s="17" t="n">
        <v>0.185</v>
      </c>
    </row>
    <row r="14" customFormat="false" ht="15" hidden="false" customHeight="true" outlineLevel="0" collapsed="false">
      <c r="B14" s="8" t="s">
        <v>23</v>
      </c>
      <c r="D14" s="16" t="n">
        <v>2</v>
      </c>
      <c r="F14" s="8" t="s">
        <v>24</v>
      </c>
      <c r="H14" s="17" t="s">
        <v>25</v>
      </c>
      <c r="J14" s="8" t="s">
        <v>24</v>
      </c>
      <c r="L14" s="17" t="s">
        <v>25</v>
      </c>
      <c r="N14" s="8" t="s">
        <v>24</v>
      </c>
      <c r="P14" s="17" t="s">
        <v>25</v>
      </c>
    </row>
    <row r="15" customFormat="false" ht="15" hidden="false" customHeight="true" outlineLevel="0" collapsed="false">
      <c r="F15" s="8"/>
    </row>
    <row r="16" customFormat="false" ht="15" hidden="false" customHeight="true" outlineLevel="0" collapsed="false">
      <c r="B16" s="8" t="s">
        <v>21</v>
      </c>
      <c r="D16" s="19" t="n">
        <f aca="false">CHOOSE(D13,H16,L16,P16)</f>
        <v>0.0858338239797238</v>
      </c>
      <c r="F16" s="8" t="s">
        <v>21</v>
      </c>
      <c r="H16" s="20" t="n">
        <v>0.092</v>
      </c>
      <c r="J16" s="8" t="s">
        <v>21</v>
      </c>
      <c r="L16" s="20" t="n">
        <f aca="false">WACC!F22</f>
        <v>0.0858338239797238</v>
      </c>
      <c r="N16" s="8" t="s">
        <v>21</v>
      </c>
      <c r="P16" s="20" t="n">
        <v>0.082</v>
      </c>
    </row>
    <row r="17" customFormat="false" ht="15" hidden="false" customHeight="true" outlineLevel="0" collapsed="false">
      <c r="B17" s="8" t="s">
        <v>23</v>
      </c>
      <c r="D17" s="20" t="n">
        <f aca="false">CHOOSE(D14,H17,L17,P17)</f>
        <v>0.015</v>
      </c>
      <c r="F17" s="8" t="s">
        <v>23</v>
      </c>
      <c r="H17" s="20" t="n">
        <v>0.01</v>
      </c>
      <c r="J17" s="8" t="s">
        <v>23</v>
      </c>
      <c r="L17" s="20" t="n">
        <v>0.015</v>
      </c>
      <c r="N17" s="8" t="s">
        <v>23</v>
      </c>
      <c r="P17" s="20" t="n">
        <v>0.02</v>
      </c>
    </row>
    <row r="18" customFormat="false" ht="15" hidden="false" customHeight="true" outlineLevel="0" collapsed="false">
      <c r="B18" s="8" t="s">
        <v>26</v>
      </c>
      <c r="D18" s="21" t="n">
        <f aca="false">COLUMNS(P40:X40)</f>
        <v>9</v>
      </c>
    </row>
    <row r="19" customFormat="false" ht="15" hidden="false" customHeight="true" outlineLevel="0" collapsed="false">
      <c r="A19" s="22" t="s">
        <v>10</v>
      </c>
      <c r="B19" s="23" t="s">
        <v>27</v>
      </c>
      <c r="C19" s="15"/>
      <c r="D19" s="15"/>
      <c r="E19" s="24" t="n">
        <v>2016</v>
      </c>
      <c r="F19" s="24" t="n">
        <f aca="false">E19+1</f>
        <v>2017</v>
      </c>
      <c r="G19" s="24" t="n">
        <f aca="false">F19+1</f>
        <v>2018</v>
      </c>
      <c r="H19" s="24" t="n">
        <f aca="false">G19+1</f>
        <v>2019</v>
      </c>
      <c r="I19" s="24" t="n">
        <f aca="false">H19+1</f>
        <v>2020</v>
      </c>
      <c r="J19" s="24" t="n">
        <f aca="false">I19+1</f>
        <v>2021</v>
      </c>
      <c r="K19" s="24" t="n">
        <f aca="false">J19+1</f>
        <v>2022</v>
      </c>
      <c r="L19" s="24" t="n">
        <f aca="false">K19+1</f>
        <v>2023</v>
      </c>
      <c r="M19" s="24" t="n">
        <f aca="false">L19+1</f>
        <v>2024</v>
      </c>
      <c r="N19" s="24" t="n">
        <f aca="false">M19+1</f>
        <v>2025</v>
      </c>
      <c r="O19" s="24" t="n">
        <f aca="false">N19+1</f>
        <v>2026</v>
      </c>
      <c r="P19" s="24" t="n">
        <f aca="false">O19+1</f>
        <v>2027</v>
      </c>
      <c r="Q19" s="24" t="n">
        <f aca="false">P19+1</f>
        <v>2028</v>
      </c>
      <c r="R19" s="24" t="n">
        <f aca="false">Q19+1</f>
        <v>2029</v>
      </c>
      <c r="S19" s="24" t="n">
        <f aca="false">R19+1</f>
        <v>2030</v>
      </c>
      <c r="T19" s="24" t="n">
        <f aca="false">S19+1</f>
        <v>2031</v>
      </c>
      <c r="U19" s="24" t="n">
        <f aca="false">T19+1</f>
        <v>2032</v>
      </c>
      <c r="V19" s="24" t="n">
        <f aca="false">U19+1</f>
        <v>2033</v>
      </c>
      <c r="W19" s="24" t="n">
        <f aca="false">V19+1</f>
        <v>2034</v>
      </c>
      <c r="X19" s="24" t="n">
        <f aca="false">W19+1</f>
        <v>2035</v>
      </c>
    </row>
    <row r="20" customFormat="false" ht="15" hidden="false" customHeight="true" outlineLevel="0" collapsed="false">
      <c r="B20" s="25" t="s">
        <v>16</v>
      </c>
      <c r="E20" s="26" t="n">
        <v>6535.8</v>
      </c>
      <c r="F20" s="26" t="n">
        <v>6647.8</v>
      </c>
      <c r="G20" s="26" t="n">
        <v>7151</v>
      </c>
      <c r="H20" s="26" t="n">
        <v>7697.4</v>
      </c>
      <c r="I20" s="26" t="n">
        <v>8494.8</v>
      </c>
      <c r="J20" s="26" t="n">
        <v>1635.8</v>
      </c>
      <c r="K20" s="26" t="n">
        <v>4800.9</v>
      </c>
      <c r="L20" s="26" t="n">
        <v>10775.2</v>
      </c>
      <c r="M20" s="26" t="n">
        <v>13443.8</v>
      </c>
      <c r="N20" s="26" t="n">
        <v>13948.5</v>
      </c>
      <c r="O20" s="26" t="n">
        <f aca="false">N20*(1+O21)</f>
        <v>15216.41865</v>
      </c>
      <c r="P20" s="26" t="n">
        <f aca="false">O20*(1+P21)</f>
        <v>16471.26597467</v>
      </c>
      <c r="Q20" s="26" t="n">
        <f aca="false">P20*(1+Q21)</f>
        <v>17690.6886989947</v>
      </c>
      <c r="R20" s="26" t="n">
        <f aca="false">Q20*(1+R21)</f>
        <v>18851.1978776488</v>
      </c>
      <c r="S20" s="26" t="n">
        <f aca="false">R20*(1+S21)</f>
        <v>19928.8580229877</v>
      </c>
      <c r="T20" s="26" t="n">
        <f aca="false">T39</f>
        <v>20900.0577039746</v>
      </c>
      <c r="U20" s="26" t="n">
        <f aca="false">U39</f>
        <v>21742.3300294448</v>
      </c>
      <c r="V20" s="26" t="n">
        <f aca="false">V39</f>
        <v>22435.1856130498</v>
      </c>
      <c r="W20" s="26" t="n">
        <f aca="false">W39</f>
        <v>22960.9167959156</v>
      </c>
      <c r="X20" s="27" t="n">
        <f aca="false">X39</f>
        <v>23305.3305478543</v>
      </c>
    </row>
    <row r="21" customFormat="false" ht="15" hidden="false" customHeight="true" outlineLevel="0" collapsed="false">
      <c r="B21" s="28" t="s">
        <v>28</v>
      </c>
      <c r="C21" s="29"/>
      <c r="D21" s="29"/>
      <c r="E21" s="28" t="s">
        <v>29</v>
      </c>
      <c r="F21" s="28" t="n">
        <f aca="false">F20/E20-1</f>
        <v>0.0171363872823527</v>
      </c>
      <c r="G21" s="28" t="n">
        <f aca="false">G20/F20-1</f>
        <v>0.0756942146273956</v>
      </c>
      <c r="H21" s="28" t="n">
        <f aca="false">H20/G20-1</f>
        <v>0.0764088938609984</v>
      </c>
      <c r="I21" s="28" t="n">
        <f aca="false">I20/H20-1</f>
        <v>0.103593421155195</v>
      </c>
      <c r="J21" s="28" t="n">
        <f aca="false">J20/I20-1</f>
        <v>-0.807435136789565</v>
      </c>
      <c r="K21" s="28" t="n">
        <f aca="false">K20/J20-1</f>
        <v>1.9348942413498</v>
      </c>
      <c r="L21" s="28" t="n">
        <f aca="false">L20/K20-1</f>
        <v>1.24441250598846</v>
      </c>
      <c r="M21" s="28" t="n">
        <f aca="false">M20/L20-1</f>
        <v>0.247661296310045</v>
      </c>
      <c r="N21" s="28" t="n">
        <f aca="false">N20/M20-1</f>
        <v>0.0375414689299156</v>
      </c>
      <c r="O21" s="28" t="n">
        <f aca="false">O40</f>
        <v>0.0909</v>
      </c>
      <c r="P21" s="28" t="n">
        <f aca="false">P40</f>
        <v>0.0824666666666667</v>
      </c>
      <c r="Q21" s="28" t="n">
        <f aca="false">Q40</f>
        <v>0.0740333333333333</v>
      </c>
      <c r="R21" s="28" t="n">
        <f aca="false">R40</f>
        <v>0.0656</v>
      </c>
      <c r="S21" s="28" t="n">
        <f aca="false">S40</f>
        <v>0.0571666666666667</v>
      </c>
      <c r="T21" s="28" t="n">
        <f aca="false">T40</f>
        <v>0.0487333333333333</v>
      </c>
      <c r="U21" s="28" t="n">
        <f aca="false">U40</f>
        <v>0.0403</v>
      </c>
      <c r="V21" s="28" t="n">
        <f aca="false">V40</f>
        <v>0.0318666666666667</v>
      </c>
      <c r="W21" s="28" t="n">
        <f aca="false">W40</f>
        <v>0.0234333333333333</v>
      </c>
      <c r="X21" s="30" t="n">
        <f aca="false">X40</f>
        <v>0.015</v>
      </c>
    </row>
    <row r="22" customFormat="false" ht="15" hidden="false" customHeight="true" outlineLevel="0" collapsed="false">
      <c r="B22" s="25" t="s">
        <v>30</v>
      </c>
      <c r="E22" s="26" t="n">
        <f aca="false">E23+E28</f>
        <v>1887.4</v>
      </c>
      <c r="F22" s="26" t="n">
        <f aca="false">F23+F28</f>
        <v>2031.5</v>
      </c>
      <c r="G22" s="26" t="n">
        <f aca="false">G23+G28</f>
        <v>2228.3</v>
      </c>
      <c r="H22" s="26" t="n">
        <f aca="false">H23+H28</f>
        <v>1657.3</v>
      </c>
      <c r="I22" s="26" t="n">
        <f aca="false">I23+I28</f>
        <v>1876.1</v>
      </c>
      <c r="J22" s="26" t="n">
        <f aca="false">J23+J28</f>
        <v>-268.4</v>
      </c>
      <c r="K22" s="26" t="n">
        <f aca="false">K23+K28</f>
        <v>379.8</v>
      </c>
      <c r="L22" s="26" t="n">
        <f aca="false">L23+L28</f>
        <v>2365.8</v>
      </c>
      <c r="M22" s="26" t="n">
        <f aca="false">M23+M28</f>
        <v>3120.2</v>
      </c>
      <c r="N22" s="26" t="n">
        <f aca="false">N23+N28</f>
        <v>2772.4</v>
      </c>
      <c r="O22" s="26" t="n">
        <f aca="false">O45+O56</f>
        <v>3845.188992855</v>
      </c>
      <c r="P22" s="26" t="n">
        <f aca="false">P45+P56</f>
        <v>4162.28891179911</v>
      </c>
      <c r="Q22" s="26" t="n">
        <f aca="false">Q45+Q56</f>
        <v>4470.43703423597</v>
      </c>
      <c r="R22" s="26" t="n">
        <f aca="false">R45+R56</f>
        <v>4763.69770368185</v>
      </c>
      <c r="S22" s="26" t="n">
        <f aca="false">S45+S56</f>
        <v>5036.02242240899</v>
      </c>
      <c r="T22" s="26" t="n">
        <f aca="false">T45+T56</f>
        <v>5281.44458179439</v>
      </c>
      <c r="U22" s="26" t="n">
        <f aca="false">U45+U56</f>
        <v>5494.28679844071</v>
      </c>
      <c r="V22" s="26" t="n">
        <f aca="false">V45+V56</f>
        <v>5669.37140441768</v>
      </c>
      <c r="W22" s="26" t="n">
        <f aca="false">W45+W56</f>
        <v>5802.22367432787</v>
      </c>
      <c r="X22" s="27" t="n">
        <f aca="false">X45+X56</f>
        <v>5889.25702944279</v>
      </c>
    </row>
    <row r="23" customFormat="false" ht="15" hidden="false" customHeight="true" outlineLevel="0" collapsed="false">
      <c r="B23" s="25" t="s">
        <v>18</v>
      </c>
      <c r="E23" s="26" t="n">
        <v>1460.1</v>
      </c>
      <c r="F23" s="26" t="n">
        <v>1534</v>
      </c>
      <c r="G23" s="26" t="n">
        <v>1667.3</v>
      </c>
      <c r="H23" s="26" t="n">
        <v>1016.8</v>
      </c>
      <c r="I23" s="26" t="n">
        <v>1127.4</v>
      </c>
      <c r="J23" s="26" t="n">
        <v>-839.4</v>
      </c>
      <c r="K23" s="26" t="n">
        <v>-339.6</v>
      </c>
      <c r="L23" s="26" t="n">
        <v>1442.6</v>
      </c>
      <c r="M23" s="26" t="n">
        <v>2060.7</v>
      </c>
      <c r="N23" s="26" t="n">
        <v>1558</v>
      </c>
      <c r="O23" s="26" t="n">
        <f aca="false">O20*O24</f>
        <v>2620.26729153</v>
      </c>
      <c r="P23" s="26" t="n">
        <f aca="false">P20*P24</f>
        <v>2836.35200083817</v>
      </c>
      <c r="Q23" s="26" t="n">
        <f aca="false">Q20*Q24</f>
        <v>3046.33659396689</v>
      </c>
      <c r="R23" s="26" t="n">
        <f aca="false">R20*R24</f>
        <v>3246.17627453112</v>
      </c>
      <c r="S23" s="26" t="n">
        <f aca="false">S20*S24</f>
        <v>3431.74935155848</v>
      </c>
      <c r="T23" s="26" t="n">
        <f aca="false">T45</f>
        <v>3598.98993662443</v>
      </c>
      <c r="U23" s="26" t="n">
        <f aca="false">U45</f>
        <v>3744.0292310704</v>
      </c>
      <c r="V23" s="26" t="n">
        <f aca="false">V45</f>
        <v>3863.33896256718</v>
      </c>
      <c r="W23" s="26" t="n">
        <f aca="false">W45</f>
        <v>3953.86987225667</v>
      </c>
      <c r="X23" s="27" t="n">
        <f aca="false">X45</f>
        <v>4013.17792034052</v>
      </c>
    </row>
    <row r="24" customFormat="false" ht="15" hidden="false" customHeight="true" outlineLevel="0" collapsed="false">
      <c r="B24" s="28" t="s">
        <v>31</v>
      </c>
      <c r="C24" s="29"/>
      <c r="D24" s="29"/>
      <c r="E24" s="28" t="n">
        <f aca="false">E23/E20</f>
        <v>0.223400348847884</v>
      </c>
      <c r="F24" s="28" t="n">
        <f aca="false">F23/F20</f>
        <v>0.230753031077951</v>
      </c>
      <c r="G24" s="28" t="n">
        <f aca="false">G23/G20</f>
        <v>0.2331562019298</v>
      </c>
      <c r="H24" s="28" t="n">
        <f aca="false">H23/H20</f>
        <v>0.132096552082521</v>
      </c>
      <c r="I24" s="28" t="n">
        <f aca="false">I23/I20</f>
        <v>0.132716485379291</v>
      </c>
      <c r="J24" s="28" t="n">
        <f aca="false">J23/J20</f>
        <v>-0.513143416065534</v>
      </c>
      <c r="K24" s="28" t="n">
        <f aca="false">K23/K20</f>
        <v>-0.0707367368618384</v>
      </c>
      <c r="L24" s="28" t="n">
        <f aca="false">L23/L20</f>
        <v>0.133881505679709</v>
      </c>
      <c r="M24" s="28" t="n">
        <f aca="false">M23/M20</f>
        <v>0.15328255403978</v>
      </c>
      <c r="N24" s="28" t="n">
        <f aca="false">N23/N20</f>
        <v>0.111696598200523</v>
      </c>
      <c r="O24" s="28" t="n">
        <f aca="false">O46</f>
        <v>0.1722</v>
      </c>
      <c r="P24" s="28" t="n">
        <f aca="false">P46</f>
        <v>0.1722</v>
      </c>
      <c r="Q24" s="28" t="n">
        <f aca="false">Q46</f>
        <v>0.1722</v>
      </c>
      <c r="R24" s="28" t="n">
        <f aca="false">R46</f>
        <v>0.1722</v>
      </c>
      <c r="S24" s="28" t="n">
        <f aca="false">S46</f>
        <v>0.1722</v>
      </c>
      <c r="T24" s="28" t="n">
        <f aca="false">T46</f>
        <v>0.1722</v>
      </c>
      <c r="U24" s="28" t="n">
        <f aca="false">U46</f>
        <v>0.1722</v>
      </c>
      <c r="V24" s="28" t="n">
        <f aca="false">V46</f>
        <v>0.1722</v>
      </c>
      <c r="W24" s="28" t="n">
        <f aca="false">W46</f>
        <v>0.1722</v>
      </c>
      <c r="X24" s="30" t="n">
        <f aca="false">X46</f>
        <v>0.1722</v>
      </c>
    </row>
    <row r="25" customFormat="false" ht="15" hidden="false" customHeight="true" outlineLevel="0" collapsed="false">
      <c r="B25" s="25" t="s">
        <v>32</v>
      </c>
      <c r="E25" s="26" t="n">
        <v>162.8</v>
      </c>
      <c r="F25" s="26" t="n">
        <v>154.4</v>
      </c>
      <c r="G25" s="26" t="n">
        <v>161.1</v>
      </c>
      <c r="H25" s="26" t="n">
        <v>63.1</v>
      </c>
      <c r="I25" s="26" t="n">
        <v>21.6</v>
      </c>
      <c r="J25" s="26" t="n">
        <v>-93.6</v>
      </c>
      <c r="K25" s="26" t="n">
        <v>-189</v>
      </c>
      <c r="L25" s="26" t="n">
        <v>128.7</v>
      </c>
      <c r="M25" s="26" t="n">
        <v>210.9</v>
      </c>
      <c r="N25" s="26" t="n">
        <v>172.8</v>
      </c>
      <c r="O25" s="26" t="n">
        <f aca="false">O23*O26</f>
        <v>262.026729153</v>
      </c>
      <c r="P25" s="26" t="n">
        <f aca="false">P23*P26</f>
        <v>283.635200083817</v>
      </c>
      <c r="Q25" s="26" t="n">
        <f aca="false">Q23*Q26</f>
        <v>304.633659396689</v>
      </c>
      <c r="R25" s="26" t="n">
        <f aca="false">R23*R26</f>
        <v>324.617627453112</v>
      </c>
      <c r="S25" s="26" t="n">
        <f aca="false">S23*S26</f>
        <v>343.174935155848</v>
      </c>
      <c r="T25" s="26" t="n">
        <f aca="false">T51</f>
        <v>359.898993662443</v>
      </c>
      <c r="U25" s="26" t="n">
        <f aca="false">U51</f>
        <v>374.40292310704</v>
      </c>
      <c r="V25" s="26" t="n">
        <f aca="false">V51</f>
        <v>386.333896256718</v>
      </c>
      <c r="W25" s="26" t="n">
        <f aca="false">W51</f>
        <v>395.386987225667</v>
      </c>
      <c r="X25" s="27" t="n">
        <f aca="false">X51</f>
        <v>401.317792034052</v>
      </c>
    </row>
    <row r="26" customFormat="false" ht="15" hidden="false" customHeight="true" outlineLevel="0" collapsed="false">
      <c r="B26" s="28" t="s">
        <v>33</v>
      </c>
      <c r="C26" s="29"/>
      <c r="D26" s="29"/>
      <c r="E26" s="28" t="n">
        <f aca="false">E25/E23</f>
        <v>0.111499212382714</v>
      </c>
      <c r="F26" s="28" t="n">
        <f aca="false">F25/F23</f>
        <v>0.100651890482399</v>
      </c>
      <c r="G26" s="28" t="n">
        <f aca="false">G25/G23</f>
        <v>0.0966232831524021</v>
      </c>
      <c r="H26" s="28" t="n">
        <f aca="false">H25/H23</f>
        <v>0.0620574350904799</v>
      </c>
      <c r="I26" s="28" t="n">
        <f aca="false">I25/I23</f>
        <v>0.0191591271953167</v>
      </c>
      <c r="J26" s="28" t="n">
        <f aca="false">J25/J23</f>
        <v>0.111508220157255</v>
      </c>
      <c r="K26" s="28" t="n">
        <f aca="false">K25/K23</f>
        <v>0.556537102473498</v>
      </c>
      <c r="L26" s="28" t="n">
        <f aca="false">L25/L23</f>
        <v>0.0892139193123527</v>
      </c>
      <c r="M26" s="28" t="n">
        <f aca="false">M25/M23</f>
        <v>0.102343863735624</v>
      </c>
      <c r="N26" s="28" t="n">
        <f aca="false">N25/N23</f>
        <v>0.110911424903723</v>
      </c>
      <c r="O26" s="28" t="n">
        <f aca="false">O52</f>
        <v>0.1</v>
      </c>
      <c r="P26" s="28" t="n">
        <f aca="false">P52</f>
        <v>0.1</v>
      </c>
      <c r="Q26" s="28" t="n">
        <f aca="false">Q52</f>
        <v>0.1</v>
      </c>
      <c r="R26" s="28" t="n">
        <f aca="false">R52</f>
        <v>0.1</v>
      </c>
      <c r="S26" s="28" t="n">
        <f aca="false">S52</f>
        <v>0.1</v>
      </c>
      <c r="T26" s="28" t="n">
        <f aca="false">T52</f>
        <v>0.1</v>
      </c>
      <c r="U26" s="28" t="n">
        <f aca="false">U52</f>
        <v>0.1</v>
      </c>
      <c r="V26" s="28" t="n">
        <f aca="false">V52</f>
        <v>0.1</v>
      </c>
      <c r="W26" s="28" t="n">
        <f aca="false">W52</f>
        <v>0.1</v>
      </c>
      <c r="X26" s="30" t="n">
        <f aca="false">X52</f>
        <v>0.1</v>
      </c>
    </row>
    <row r="27" customFormat="false" ht="15" hidden="false" customHeight="true" outlineLevel="0" collapsed="false">
      <c r="A27" s="22" t="s">
        <v>10</v>
      </c>
      <c r="B27" s="23" t="s">
        <v>34</v>
      </c>
      <c r="C27" s="15"/>
      <c r="D27" s="24"/>
      <c r="E27" s="24" t="n">
        <f aca="false">E19</f>
        <v>2016</v>
      </c>
      <c r="F27" s="24" t="n">
        <f aca="false">F19</f>
        <v>2017</v>
      </c>
      <c r="G27" s="24" t="n">
        <f aca="false">G19</f>
        <v>2018</v>
      </c>
      <c r="H27" s="24" t="n">
        <f aca="false">H19</f>
        <v>2019</v>
      </c>
      <c r="I27" s="24" t="n">
        <f aca="false">I19</f>
        <v>2020</v>
      </c>
      <c r="J27" s="24" t="n">
        <f aca="false">J19</f>
        <v>2021</v>
      </c>
      <c r="K27" s="24" t="n">
        <f aca="false">K19</f>
        <v>2022</v>
      </c>
      <c r="L27" s="24" t="n">
        <f aca="false">L19</f>
        <v>2023</v>
      </c>
      <c r="M27" s="24" t="n">
        <f aca="false">M19</f>
        <v>2024</v>
      </c>
      <c r="N27" s="24" t="n">
        <f aca="false">N19</f>
        <v>2025</v>
      </c>
      <c r="O27" s="24" t="n">
        <f aca="false">O19</f>
        <v>2026</v>
      </c>
      <c r="P27" s="24" t="n">
        <f aca="false">P19</f>
        <v>2027</v>
      </c>
      <c r="Q27" s="24" t="n">
        <f aca="false">Q19</f>
        <v>2028</v>
      </c>
      <c r="R27" s="24" t="n">
        <f aca="false">R19</f>
        <v>2029</v>
      </c>
      <c r="S27" s="24" t="n">
        <f aca="false">S19</f>
        <v>2030</v>
      </c>
      <c r="T27" s="24" t="n">
        <f aca="false">T38</f>
        <v>2031</v>
      </c>
      <c r="U27" s="24" t="n">
        <f aca="false">U38</f>
        <v>2032</v>
      </c>
      <c r="V27" s="24" t="n">
        <f aca="false">V38</f>
        <v>2033</v>
      </c>
      <c r="W27" s="24" t="n">
        <f aca="false">W38</f>
        <v>2034</v>
      </c>
      <c r="X27" s="24" t="n">
        <f aca="false">X38</f>
        <v>2035</v>
      </c>
    </row>
    <row r="28" customFormat="false" ht="15" hidden="false" customHeight="true" outlineLevel="0" collapsed="false">
      <c r="B28" s="25" t="s">
        <v>35</v>
      </c>
      <c r="E28" s="26" t="n">
        <v>427.3</v>
      </c>
      <c r="F28" s="26" t="n">
        <v>497.5</v>
      </c>
      <c r="G28" s="26" t="n">
        <v>561</v>
      </c>
      <c r="H28" s="26" t="n">
        <v>640.5</v>
      </c>
      <c r="I28" s="26" t="n">
        <v>748.7</v>
      </c>
      <c r="J28" s="26" t="n">
        <v>571</v>
      </c>
      <c r="K28" s="26" t="n">
        <v>719.4</v>
      </c>
      <c r="L28" s="26" t="n">
        <v>923.2</v>
      </c>
      <c r="M28" s="26" t="n">
        <v>1059.5</v>
      </c>
      <c r="N28" s="26" t="n">
        <v>1214.4</v>
      </c>
      <c r="O28" s="26" t="n">
        <f aca="false">O20*O29</f>
        <v>1224.921701325</v>
      </c>
      <c r="P28" s="26" t="n">
        <f aca="false">P20*P29</f>
        <v>1325.93691096094</v>
      </c>
      <c r="Q28" s="26" t="n">
        <f aca="false">Q20*Q29</f>
        <v>1424.10044026908</v>
      </c>
      <c r="R28" s="26" t="n">
        <f aca="false">R20*R29</f>
        <v>1517.52142915073</v>
      </c>
      <c r="S28" s="26" t="n">
        <f aca="false">S20*S29</f>
        <v>1604.27307085051</v>
      </c>
      <c r="T28" s="26" t="n">
        <f aca="false">T56</f>
        <v>1682.45464516996</v>
      </c>
      <c r="U28" s="26" t="n">
        <f aca="false">U56</f>
        <v>1750.25756737031</v>
      </c>
      <c r="V28" s="26" t="n">
        <f aca="false">V56</f>
        <v>1806.03244185051</v>
      </c>
      <c r="W28" s="26" t="n">
        <f aca="false">W56</f>
        <v>1848.35380207121</v>
      </c>
      <c r="X28" s="26" t="n">
        <f aca="false">X56</f>
        <v>1876.07910910227</v>
      </c>
    </row>
    <row r="29" customFormat="false" ht="15" hidden="false" customHeight="true" outlineLevel="0" collapsed="false">
      <c r="B29" s="28" t="s">
        <v>31</v>
      </c>
      <c r="C29" s="31"/>
      <c r="D29" s="31"/>
      <c r="E29" s="28" t="n">
        <f aca="false">E28/E20</f>
        <v>0.0653783775513327</v>
      </c>
      <c r="F29" s="28" t="n">
        <f aca="false">F28/F20</f>
        <v>0.0748367881103523</v>
      </c>
      <c r="G29" s="28" t="n">
        <f aca="false">G28/G20</f>
        <v>0.078450566354356</v>
      </c>
      <c r="H29" s="28" t="n">
        <f aca="false">H28/H20</f>
        <v>0.083209915036246</v>
      </c>
      <c r="I29" s="28" t="n">
        <f aca="false">I28/I20</f>
        <v>0.0881362716014503</v>
      </c>
      <c r="J29" s="28" t="n">
        <f aca="false">J28/J20</f>
        <v>0.349064677833476</v>
      </c>
      <c r="K29" s="28" t="n">
        <f aca="false">K28/K20</f>
        <v>0.149846903705555</v>
      </c>
      <c r="L29" s="28" t="n">
        <f aca="false">L28/L20</f>
        <v>0.0856782240700869</v>
      </c>
      <c r="M29" s="28" t="n">
        <f aca="false">M28/M20</f>
        <v>0.0788095627724304</v>
      </c>
      <c r="N29" s="28" t="n">
        <f aca="false">N28/N20</f>
        <v>0.0870631250672115</v>
      </c>
      <c r="O29" s="28" t="n">
        <f aca="false">O57</f>
        <v>0.0805</v>
      </c>
      <c r="P29" s="28" t="n">
        <f aca="false">P57</f>
        <v>0.0805</v>
      </c>
      <c r="Q29" s="28" t="n">
        <f aca="false">Q57</f>
        <v>0.0805</v>
      </c>
      <c r="R29" s="28" t="n">
        <f aca="false">R57</f>
        <v>0.0805</v>
      </c>
      <c r="S29" s="28" t="n">
        <f aca="false">S57</f>
        <v>0.0805</v>
      </c>
      <c r="T29" s="28" t="n">
        <f aca="false">T57</f>
        <v>0.0805</v>
      </c>
      <c r="U29" s="28" t="n">
        <f aca="false">U57</f>
        <v>0.0805</v>
      </c>
      <c r="V29" s="28" t="n">
        <f aca="false">V57</f>
        <v>0.0805</v>
      </c>
      <c r="W29" s="28" t="n">
        <f aca="false">W57</f>
        <v>0.0805</v>
      </c>
      <c r="X29" s="28" t="n">
        <f aca="false">X57</f>
        <v>0.0805</v>
      </c>
    </row>
    <row r="30" customFormat="false" ht="15" hidden="false" customHeight="true" outlineLevel="0" collapsed="false">
      <c r="C30" s="31"/>
      <c r="D30" s="31"/>
      <c r="E30" s="31"/>
    </row>
    <row r="31" customFormat="false" ht="15" hidden="false" customHeight="true" outlineLevel="0" collapsed="false">
      <c r="B31" s="25" t="s">
        <v>36</v>
      </c>
      <c r="E31" s="26" t="n">
        <v>1217.7</v>
      </c>
      <c r="F31" s="26" t="n">
        <v>1449.8</v>
      </c>
      <c r="G31" s="26" t="n">
        <v>1470.6</v>
      </c>
      <c r="H31" s="26" t="n">
        <v>1546.7</v>
      </c>
      <c r="I31" s="26" t="n">
        <v>578.8</v>
      </c>
      <c r="J31" s="26" t="n">
        <v>294.7</v>
      </c>
      <c r="K31" s="26" t="n">
        <v>1181.6</v>
      </c>
      <c r="L31" s="26" t="n">
        <v>1914.7</v>
      </c>
      <c r="M31" s="26" t="n">
        <v>2391.9</v>
      </c>
      <c r="N31" s="26" t="n">
        <v>1552.5</v>
      </c>
      <c r="O31" s="26" t="n">
        <f aca="false">O20*O32</f>
        <v>2781.56132922</v>
      </c>
      <c r="P31" s="26" t="n">
        <f aca="false">P20*P32</f>
        <v>3010.94742016968</v>
      </c>
      <c r="Q31" s="26" t="n">
        <f aca="false">Q20*Q32</f>
        <v>3233.85789417624</v>
      </c>
      <c r="R31" s="26" t="n">
        <f aca="false">R20*R32</f>
        <v>3445.9989720342</v>
      </c>
      <c r="S31" s="26" t="n">
        <f aca="false">S20*S32</f>
        <v>3642.99524660215</v>
      </c>
      <c r="T31" s="26" t="n">
        <f aca="false">T59</f>
        <v>3820.53054828657</v>
      </c>
      <c r="U31" s="26" t="n">
        <f aca="false">U59</f>
        <v>3974.49792938251</v>
      </c>
      <c r="V31" s="26" t="n">
        <f aca="false">V59</f>
        <v>4101.1519300655</v>
      </c>
      <c r="W31" s="26" t="n">
        <f aca="false">W59</f>
        <v>4197.25559029337</v>
      </c>
      <c r="X31" s="26" t="n">
        <f aca="false">X59</f>
        <v>4260.21442414777</v>
      </c>
    </row>
    <row r="32" customFormat="false" ht="15" hidden="false" customHeight="true" outlineLevel="0" collapsed="false">
      <c r="B32" s="28" t="s">
        <v>31</v>
      </c>
      <c r="C32" s="29"/>
      <c r="D32" s="29"/>
      <c r="E32" s="28" t="n">
        <f aca="false">E31/E20</f>
        <v>0.186312310658221</v>
      </c>
      <c r="F32" s="28" t="n">
        <f aca="false">F31/F20</f>
        <v>0.21808718673847</v>
      </c>
      <c r="G32" s="28" t="n">
        <f aca="false">G31/G20</f>
        <v>0.205649559502168</v>
      </c>
      <c r="H32" s="28" t="n">
        <f aca="false">H31/H20</f>
        <v>0.200937979057864</v>
      </c>
      <c r="I32" s="28" t="n">
        <f aca="false">I31/I20</f>
        <v>0.0681358007251495</v>
      </c>
      <c r="J32" s="28" t="n">
        <f aca="false">J31/J20</f>
        <v>0.180156498349431</v>
      </c>
      <c r="K32" s="28" t="n">
        <f aca="false">K31/K20</f>
        <v>0.246120519069341</v>
      </c>
      <c r="L32" s="28" t="n">
        <f aca="false">L31/L20</f>
        <v>0.177695077585567</v>
      </c>
      <c r="M32" s="28" t="n">
        <f aca="false">M31/M20</f>
        <v>0.177918445677561</v>
      </c>
      <c r="N32" s="28" t="n">
        <f aca="false">N31/N20</f>
        <v>0.111302290568878</v>
      </c>
      <c r="O32" s="28" t="n">
        <f aca="false">O60</f>
        <v>0.1828</v>
      </c>
      <c r="P32" s="28" t="n">
        <f aca="false">P60</f>
        <v>0.1828</v>
      </c>
      <c r="Q32" s="28" t="n">
        <f aca="false">Q60</f>
        <v>0.1828</v>
      </c>
      <c r="R32" s="28" t="n">
        <f aca="false">R60</f>
        <v>0.1828</v>
      </c>
      <c r="S32" s="28" t="n">
        <f aca="false">S60</f>
        <v>0.1828</v>
      </c>
      <c r="T32" s="28" t="n">
        <f aca="false">T60</f>
        <v>0.1828</v>
      </c>
      <c r="U32" s="28" t="n">
        <f aca="false">U60</f>
        <v>0.1828</v>
      </c>
      <c r="V32" s="28" t="n">
        <f aca="false">V60</f>
        <v>0.1828</v>
      </c>
      <c r="W32" s="28" t="n">
        <f aca="false">W60</f>
        <v>0.1828</v>
      </c>
      <c r="X32" s="28" t="n">
        <f aca="false">X60</f>
        <v>0.1828</v>
      </c>
    </row>
    <row r="34" customFormat="false" ht="15" hidden="false" customHeight="true" outlineLevel="0" collapsed="false">
      <c r="B34" s="25" t="s">
        <v>37</v>
      </c>
      <c r="E34" s="26" t="n">
        <v>-135.6</v>
      </c>
      <c r="F34" s="26" t="n">
        <v>-113.1</v>
      </c>
      <c r="G34" s="26" t="n">
        <v>-168.9</v>
      </c>
      <c r="H34" s="26" t="n">
        <v>-514.3</v>
      </c>
      <c r="I34" s="26" t="n">
        <v>388.5</v>
      </c>
      <c r="J34" s="26" t="n">
        <v>1703.2</v>
      </c>
      <c r="K34" s="26" t="n">
        <v>-1785.9</v>
      </c>
      <c r="L34" s="26" t="n">
        <v>-1353.9</v>
      </c>
      <c r="M34" s="26" t="n">
        <v>-19</v>
      </c>
      <c r="N34" s="26" t="n">
        <v>-480.3</v>
      </c>
      <c r="O34" s="26" t="n">
        <f aca="false">O20*O35</f>
        <v>-436.711215255</v>
      </c>
      <c r="P34" s="26" t="n">
        <f aca="false">P20*P35</f>
        <v>-472.725333473029</v>
      </c>
      <c r="Q34" s="26" t="n">
        <f aca="false">Q20*Q35</f>
        <v>-507.722765661149</v>
      </c>
      <c r="R34" s="26" t="n">
        <f aca="false">R20*R35</f>
        <v>-541.02937908852</v>
      </c>
      <c r="S34" s="26" t="n">
        <f aca="false">S20*S35</f>
        <v>-571.958225259747</v>
      </c>
      <c r="T34" s="26" t="n">
        <f aca="false">T62</f>
        <v>-599.831656104072</v>
      </c>
      <c r="U34" s="26" t="n">
        <f aca="false">U62</f>
        <v>-624.004871845066</v>
      </c>
      <c r="V34" s="26" t="n">
        <f aca="false">V62</f>
        <v>-643.889827094529</v>
      </c>
      <c r="W34" s="26" t="n">
        <f aca="false">W62</f>
        <v>-658.978312042778</v>
      </c>
      <c r="X34" s="26" t="n">
        <f aca="false">X62</f>
        <v>-668.862986723419</v>
      </c>
    </row>
    <row r="35" customFormat="false" ht="15" hidden="false" customHeight="true" outlineLevel="0" collapsed="false">
      <c r="B35" s="28" t="s">
        <v>31</v>
      </c>
      <c r="C35" s="31"/>
      <c r="D35" s="31"/>
      <c r="E35" s="28" t="n">
        <f aca="false">E34/E20</f>
        <v>-0.0207472688882769</v>
      </c>
      <c r="F35" s="28" t="n">
        <f aca="false">F34/F20</f>
        <v>-0.0170131472065947</v>
      </c>
      <c r="G35" s="28" t="n">
        <f aca="false">G34/G20</f>
        <v>-0.0236190742553489</v>
      </c>
      <c r="H35" s="28" t="n">
        <f aca="false">H34/H20</f>
        <v>-0.0668147686231715</v>
      </c>
      <c r="I35" s="28" t="n">
        <f aca="false">I34/I20</f>
        <v>0.0457338607147902</v>
      </c>
      <c r="J35" s="28" t="n">
        <f aca="false">J34/J20</f>
        <v>1.04120308106125</v>
      </c>
      <c r="K35" s="28" t="n">
        <f aca="false">K34/K20</f>
        <v>-0.37199275135912</v>
      </c>
      <c r="L35" s="28" t="n">
        <f aca="false">L34/L20</f>
        <v>-0.125649639913876</v>
      </c>
      <c r="M35" s="28" t="n">
        <f aca="false">M34/M20</f>
        <v>-0.00141329088501763</v>
      </c>
      <c r="N35" s="28" t="n">
        <f aca="false">N34/N20</f>
        <v>-0.0344338100871061</v>
      </c>
      <c r="O35" s="28" t="n">
        <f aca="false">O63</f>
        <v>-0.0287</v>
      </c>
      <c r="P35" s="28" t="n">
        <f aca="false">P63</f>
        <v>-0.0287</v>
      </c>
      <c r="Q35" s="28" t="n">
        <f aca="false">Q63</f>
        <v>-0.0287</v>
      </c>
      <c r="R35" s="28" t="n">
        <f aca="false">R63</f>
        <v>-0.0287</v>
      </c>
      <c r="S35" s="28" t="n">
        <f aca="false">S63</f>
        <v>-0.0287</v>
      </c>
      <c r="T35" s="28" t="n">
        <f aca="false">T63</f>
        <v>-0.0287</v>
      </c>
      <c r="U35" s="28" t="n">
        <f aca="false">U63</f>
        <v>-0.0287</v>
      </c>
      <c r="V35" s="28" t="n">
        <f aca="false">V63</f>
        <v>-0.0287</v>
      </c>
      <c r="W35" s="28" t="n">
        <f aca="false">W63</f>
        <v>-0.0287</v>
      </c>
      <c r="X35" s="28" t="n">
        <f aca="false">X63</f>
        <v>-0.0287</v>
      </c>
    </row>
    <row r="36" customFormat="false" ht="15" hidden="false" customHeight="true" outlineLevel="0" collapsed="false">
      <c r="B36" s="32" t="s">
        <v>38</v>
      </c>
      <c r="C36" s="31"/>
      <c r="D36" s="31"/>
      <c r="E36" s="31"/>
      <c r="F36" s="32" t="n">
        <f aca="false">F34/(F20-E20)</f>
        <v>-1.00982142857143</v>
      </c>
      <c r="G36" s="32" t="n">
        <f aca="false">G34/(G20-F20)</f>
        <v>-0.335651828298887</v>
      </c>
      <c r="H36" s="32" t="n">
        <f aca="false">H34/(H20-G20)</f>
        <v>-0.941251830161055</v>
      </c>
      <c r="I36" s="32" t="n">
        <f aca="false">I34/(I20-H20)</f>
        <v>0.487208427389015</v>
      </c>
      <c r="J36" s="32" t="n">
        <f aca="false">J34/(J20-I20)</f>
        <v>-0.248316081061379</v>
      </c>
      <c r="K36" s="32" t="n">
        <f aca="false">K34/(K20-J20)</f>
        <v>-0.56424757511611</v>
      </c>
      <c r="L36" s="32" t="n">
        <f aca="false">L34/(L20-K20)</f>
        <v>-0.226620691963912</v>
      </c>
      <c r="M36" s="32" t="n">
        <f aca="false">M34/(M20-L20)</f>
        <v>-0.00711983811736491</v>
      </c>
      <c r="N36" s="32" t="n">
        <f aca="false">N34/(N20-M20)</f>
        <v>-0.951654448187041</v>
      </c>
    </row>
    <row r="38" customFormat="false" ht="15" hidden="false" customHeight="true" outlineLevel="0" collapsed="false">
      <c r="A38" s="22" t="s">
        <v>10</v>
      </c>
      <c r="B38" s="33" t="s">
        <v>39</v>
      </c>
      <c r="C38" s="34"/>
      <c r="D38" s="35"/>
      <c r="E38" s="24" t="n">
        <f aca="false">E27</f>
        <v>2016</v>
      </c>
      <c r="F38" s="24" t="n">
        <f aca="false">E38+1</f>
        <v>2017</v>
      </c>
      <c r="G38" s="24" t="n">
        <f aca="false">F38+1</f>
        <v>2018</v>
      </c>
      <c r="H38" s="24" t="n">
        <f aca="false">G38+1</f>
        <v>2019</v>
      </c>
      <c r="I38" s="24" t="n">
        <f aca="false">H38+1</f>
        <v>2020</v>
      </c>
      <c r="J38" s="24" t="n">
        <f aca="false">I38+1</f>
        <v>2021</v>
      </c>
      <c r="K38" s="24" t="n">
        <f aca="false">J38+1</f>
        <v>2022</v>
      </c>
      <c r="L38" s="24" t="n">
        <f aca="false">K38+1</f>
        <v>2023</v>
      </c>
      <c r="M38" s="24" t="n">
        <f aca="false">L38+1</f>
        <v>2024</v>
      </c>
      <c r="N38" s="24" t="n">
        <f aca="false">M38+1</f>
        <v>2025</v>
      </c>
      <c r="O38" s="24" t="n">
        <f aca="false">N38+1</f>
        <v>2026</v>
      </c>
      <c r="P38" s="24" t="n">
        <f aca="false">O38+1</f>
        <v>2027</v>
      </c>
      <c r="Q38" s="24" t="n">
        <f aca="false">P38+1</f>
        <v>2028</v>
      </c>
      <c r="R38" s="24" t="n">
        <f aca="false">Q38+1</f>
        <v>2029</v>
      </c>
      <c r="S38" s="24" t="n">
        <f aca="false">R38+1</f>
        <v>2030</v>
      </c>
      <c r="T38" s="24" t="n">
        <f aca="false">S38+1</f>
        <v>2031</v>
      </c>
      <c r="U38" s="24" t="n">
        <f aca="false">T38+1</f>
        <v>2032</v>
      </c>
      <c r="V38" s="24" t="n">
        <f aca="false">U38+1</f>
        <v>2033</v>
      </c>
      <c r="W38" s="24" t="n">
        <f aca="false">V38+1</f>
        <v>2034</v>
      </c>
      <c r="X38" s="24" t="n">
        <f aca="false">W38+1</f>
        <v>2035</v>
      </c>
      <c r="Y38" s="36" t="s">
        <v>40</v>
      </c>
    </row>
    <row r="39" customFormat="false" ht="15" hidden="false" customHeight="true" outlineLevel="0" collapsed="false">
      <c r="B39" s="25" t="s">
        <v>16</v>
      </c>
      <c r="E39" s="26" t="n">
        <f aca="false">E20</f>
        <v>6535.8</v>
      </c>
      <c r="F39" s="26" t="n">
        <f aca="false">F20</f>
        <v>6647.8</v>
      </c>
      <c r="G39" s="26" t="n">
        <f aca="false">G20</f>
        <v>7151</v>
      </c>
      <c r="H39" s="26" t="n">
        <f aca="false">H20</f>
        <v>7697.4</v>
      </c>
      <c r="I39" s="26" t="n">
        <f aca="false">I20</f>
        <v>8494.8</v>
      </c>
      <c r="J39" s="26" t="n">
        <f aca="false">J20</f>
        <v>1635.8</v>
      </c>
      <c r="K39" s="26" t="n">
        <f aca="false">K20</f>
        <v>4800.9</v>
      </c>
      <c r="L39" s="26" t="n">
        <f aca="false">L20</f>
        <v>10775.2</v>
      </c>
      <c r="M39" s="26" t="n">
        <f aca="false">M20</f>
        <v>13443.8</v>
      </c>
      <c r="N39" s="26" t="n">
        <f aca="false">N20</f>
        <v>13948.5</v>
      </c>
      <c r="O39" s="26" t="n">
        <f aca="false">N39*(1+O40)</f>
        <v>15216.41865</v>
      </c>
      <c r="P39" s="26" t="n">
        <f aca="false">O39*(1+P40)</f>
        <v>16471.26597467</v>
      </c>
      <c r="Q39" s="26" t="n">
        <f aca="false">P39*(1+Q40)</f>
        <v>17690.6886989947</v>
      </c>
      <c r="R39" s="26" t="n">
        <f aca="false">Q39*(1+R40)</f>
        <v>18851.1978776488</v>
      </c>
      <c r="S39" s="26" t="n">
        <f aca="false">R39*(1+S40)</f>
        <v>19928.8580229877</v>
      </c>
      <c r="T39" s="26" t="n">
        <f aca="false">S39*(1+T40)</f>
        <v>20900.0577039746</v>
      </c>
      <c r="U39" s="26" t="n">
        <f aca="false">T39*(1+U40)</f>
        <v>21742.3300294448</v>
      </c>
      <c r="V39" s="26" t="n">
        <f aca="false">U39*(1+V40)</f>
        <v>22435.1856130498</v>
      </c>
      <c r="W39" s="26" t="n">
        <f aca="false">V39*(1+W40)</f>
        <v>22960.9167959156</v>
      </c>
      <c r="X39" s="26" t="n">
        <f aca="false">W39*(1+X40)</f>
        <v>23305.3305478543</v>
      </c>
    </row>
    <row r="40" customFormat="false" ht="15" hidden="false" customHeight="true" outlineLevel="0" collapsed="false">
      <c r="B40" s="28" t="s">
        <v>28</v>
      </c>
      <c r="C40" s="29"/>
      <c r="D40" s="29"/>
      <c r="E40" s="29"/>
      <c r="F40" s="28" t="n">
        <f aca="false">F39/E39-1</f>
        <v>0.0171363872823527</v>
      </c>
      <c r="G40" s="28" t="n">
        <f aca="false">G39/F39-1</f>
        <v>0.0756942146273956</v>
      </c>
      <c r="H40" s="28" t="n">
        <f aca="false">H39/G39-1</f>
        <v>0.0764088938609984</v>
      </c>
      <c r="I40" s="28" t="n">
        <f aca="false">I39/H39-1</f>
        <v>0.103593421155195</v>
      </c>
      <c r="J40" s="28" t="n">
        <f aca="false">J39/I39-1</f>
        <v>-0.807435136789565</v>
      </c>
      <c r="K40" s="28" t="n">
        <f aca="false">K39/J39-1</f>
        <v>1.9348942413498</v>
      </c>
      <c r="L40" s="28" t="n">
        <f aca="false">L39/K39-1</f>
        <v>1.24441250598846</v>
      </c>
      <c r="M40" s="28" t="n">
        <f aca="false">M39/L39-1</f>
        <v>0.247661296310045</v>
      </c>
      <c r="N40" s="28" t="n">
        <f aca="false">N39/M39-1</f>
        <v>0.0375414689299156</v>
      </c>
      <c r="O40" s="28" t="n">
        <f aca="false">INDEX(O41:O43,$D$11)</f>
        <v>0.0909</v>
      </c>
      <c r="P40" s="28" t="n">
        <f aca="false">INDEX(P41:P43,$D$11)</f>
        <v>0.0824666666666667</v>
      </c>
      <c r="Q40" s="28" t="n">
        <f aca="false">INDEX(Q41:Q43,$D$11)</f>
        <v>0.0740333333333333</v>
      </c>
      <c r="R40" s="28" t="n">
        <f aca="false">INDEX(R41:R43,$D$11)</f>
        <v>0.0656</v>
      </c>
      <c r="S40" s="28" t="n">
        <f aca="false">INDEX(S41:S43,$D$11)</f>
        <v>0.0571666666666667</v>
      </c>
      <c r="T40" s="28" t="n">
        <f aca="false">INDEX(T41:T43,$D$11)</f>
        <v>0.0487333333333333</v>
      </c>
      <c r="U40" s="28" t="n">
        <f aca="false">INDEX(U41:U43,$D$11)</f>
        <v>0.0403</v>
      </c>
      <c r="V40" s="28" t="n">
        <f aca="false">INDEX(V41:V43,$D$11)</f>
        <v>0.0318666666666667</v>
      </c>
      <c r="W40" s="28" t="n">
        <f aca="false">INDEX(W41:W43,$D$11)</f>
        <v>0.0234333333333333</v>
      </c>
      <c r="X40" s="28" t="n">
        <f aca="false">INDEX(X41:X43,$D$11)</f>
        <v>0.015</v>
      </c>
      <c r="Y40" s="37" t="n">
        <f aca="false">$D$17</f>
        <v>0.015</v>
      </c>
    </row>
    <row r="41" customFormat="false" ht="15" hidden="false" customHeight="true" outlineLevel="0" collapsed="false">
      <c r="B41" s="38" t="s">
        <v>41</v>
      </c>
      <c r="O41" s="39" t="n">
        <f aca="false">$H$11</f>
        <v>0.07</v>
      </c>
      <c r="P41" s="18" t="n">
        <f aca="false">O41-($H$11-$H$17)/$D$18</f>
        <v>0.0633333333333333</v>
      </c>
      <c r="Q41" s="18" t="n">
        <f aca="false">P41-($H$11-$H$17)/$D$18</f>
        <v>0.0566666666666667</v>
      </c>
      <c r="R41" s="18" t="n">
        <f aca="false">Q41-($H$11-$H$17)/$D$18</f>
        <v>0.05</v>
      </c>
      <c r="S41" s="18" t="n">
        <f aca="false">R41-($H$11-$H$17)/$D$18</f>
        <v>0.0433333333333333</v>
      </c>
      <c r="T41" s="18" t="n">
        <f aca="false">S41-($H$11-$H$17)/$D$18</f>
        <v>0.0366666666666667</v>
      </c>
      <c r="U41" s="18" t="n">
        <f aca="false">T41-($H$11-$H$17)/$D$18</f>
        <v>0.03</v>
      </c>
      <c r="V41" s="18" t="n">
        <f aca="false">U41-($H$11-$H$17)/$D$18</f>
        <v>0.0233333333333333</v>
      </c>
      <c r="W41" s="18" t="n">
        <f aca="false">V41-($H$11-$H$17)/$D$18</f>
        <v>0.0166666666666667</v>
      </c>
      <c r="X41" s="18" t="n">
        <f aca="false">W41-($H$11-$H$17)/$D$18</f>
        <v>0.01</v>
      </c>
    </row>
    <row r="42" customFormat="false" ht="15" hidden="false" customHeight="true" outlineLevel="0" collapsed="false">
      <c r="B42" s="38" t="s">
        <v>42</v>
      </c>
      <c r="O42" s="39" t="n">
        <f aca="false">$L$11</f>
        <v>0.0909</v>
      </c>
      <c r="P42" s="18" t="n">
        <f aca="false">O42-($L$11-$L$17)/$D$18</f>
        <v>0.0824666666666667</v>
      </c>
      <c r="Q42" s="18" t="n">
        <f aca="false">P42-($L$11-$L$17)/$D$18</f>
        <v>0.0740333333333333</v>
      </c>
      <c r="R42" s="18" t="n">
        <f aca="false">Q42-($L$11-$L$17)/$D$18</f>
        <v>0.0656</v>
      </c>
      <c r="S42" s="18" t="n">
        <f aca="false">R42-($L$11-$L$17)/$D$18</f>
        <v>0.0571666666666667</v>
      </c>
      <c r="T42" s="18" t="n">
        <f aca="false">S42-($L$11-$L$17)/$D$18</f>
        <v>0.0487333333333333</v>
      </c>
      <c r="U42" s="18" t="n">
        <f aca="false">T42-($L$11-$L$17)/$D$18</f>
        <v>0.0403</v>
      </c>
      <c r="V42" s="18" t="n">
        <f aca="false">U42-($L$11-$L$17)/$D$18</f>
        <v>0.0318666666666667</v>
      </c>
      <c r="W42" s="18" t="n">
        <f aca="false">V42-($L$11-$L$17)/$D$18</f>
        <v>0.0234333333333333</v>
      </c>
      <c r="X42" s="18" t="n">
        <f aca="false">W42-($L$11-$L$17)/$D$18</f>
        <v>0.015</v>
      </c>
    </row>
    <row r="43" customFormat="false" ht="15" hidden="false" customHeight="true" outlineLevel="0" collapsed="false">
      <c r="B43" s="38" t="s">
        <v>43</v>
      </c>
      <c r="O43" s="39" t="n">
        <f aca="false">$P$11</f>
        <v>0.11</v>
      </c>
      <c r="P43" s="18" t="n">
        <f aca="false">O43-($P$11-$P$17)/$D$18</f>
        <v>0.1</v>
      </c>
      <c r="Q43" s="18" t="n">
        <f aca="false">P43-($P$11-$P$17)/$D$18</f>
        <v>0.09</v>
      </c>
      <c r="R43" s="18" t="n">
        <f aca="false">Q43-($P$11-$P$17)/$D$18</f>
        <v>0.08</v>
      </c>
      <c r="S43" s="18" t="n">
        <f aca="false">R43-($P$11-$P$17)/$D$18</f>
        <v>0.07</v>
      </c>
      <c r="T43" s="18" t="n">
        <f aca="false">S43-($P$11-$P$17)/$D$18</f>
        <v>0.06</v>
      </c>
      <c r="U43" s="18" t="n">
        <f aca="false">T43-($P$11-$P$17)/$D$18</f>
        <v>0.05</v>
      </c>
      <c r="V43" s="18" t="n">
        <f aca="false">U43-($P$11-$P$17)/$D$18</f>
        <v>0.04</v>
      </c>
      <c r="W43" s="18" t="n">
        <f aca="false">V43-($P$11-$P$17)/$D$18</f>
        <v>0.03</v>
      </c>
      <c r="X43" s="18" t="n">
        <f aca="false">W43-($P$11-$P$17)/$D$18</f>
        <v>0.02</v>
      </c>
    </row>
    <row r="45" customFormat="false" ht="15" hidden="false" customHeight="true" outlineLevel="0" collapsed="false">
      <c r="B45" s="25" t="s">
        <v>18</v>
      </c>
      <c r="E45" s="26" t="n">
        <f aca="false">E23</f>
        <v>1460.1</v>
      </c>
      <c r="F45" s="26" t="n">
        <f aca="false">F23</f>
        <v>1534</v>
      </c>
      <c r="G45" s="26" t="n">
        <f aca="false">G23</f>
        <v>1667.3</v>
      </c>
      <c r="H45" s="26" t="n">
        <f aca="false">H23</f>
        <v>1016.8</v>
      </c>
      <c r="I45" s="26" t="n">
        <f aca="false">I23</f>
        <v>1127.4</v>
      </c>
      <c r="J45" s="26" t="n">
        <f aca="false">J23</f>
        <v>-839.4</v>
      </c>
      <c r="K45" s="26" t="n">
        <f aca="false">K23</f>
        <v>-339.6</v>
      </c>
      <c r="L45" s="26" t="n">
        <f aca="false">L23</f>
        <v>1442.6</v>
      </c>
      <c r="M45" s="26" t="n">
        <f aca="false">M23</f>
        <v>2060.7</v>
      </c>
      <c r="N45" s="26" t="n">
        <f aca="false">N23</f>
        <v>1558</v>
      </c>
      <c r="O45" s="26" t="n">
        <f aca="false">O39*O46</f>
        <v>2620.26729153</v>
      </c>
      <c r="P45" s="26" t="n">
        <f aca="false">P39*P46</f>
        <v>2836.35200083817</v>
      </c>
      <c r="Q45" s="26" t="n">
        <f aca="false">Q39*Q46</f>
        <v>3046.33659396689</v>
      </c>
      <c r="R45" s="26" t="n">
        <f aca="false">R39*R46</f>
        <v>3246.17627453112</v>
      </c>
      <c r="S45" s="26" t="n">
        <f aca="false">S39*S46</f>
        <v>3431.74935155848</v>
      </c>
      <c r="T45" s="26" t="n">
        <f aca="false">T39*T46</f>
        <v>3598.98993662443</v>
      </c>
      <c r="U45" s="26" t="n">
        <f aca="false">U39*U46</f>
        <v>3744.0292310704</v>
      </c>
      <c r="V45" s="26" t="n">
        <f aca="false">V39*V46</f>
        <v>3863.33896256718</v>
      </c>
      <c r="W45" s="26" t="n">
        <f aca="false">W39*W46</f>
        <v>3953.86987225667</v>
      </c>
      <c r="X45" s="26" t="n">
        <f aca="false">X39*X46</f>
        <v>4013.17792034052</v>
      </c>
    </row>
    <row r="46" customFormat="false" ht="15" hidden="false" customHeight="true" outlineLevel="0" collapsed="false">
      <c r="B46" s="28" t="s">
        <v>31</v>
      </c>
      <c r="C46" s="29"/>
      <c r="D46" s="29"/>
      <c r="E46" s="28" t="n">
        <f aca="false">E45/E20</f>
        <v>0.223400348847884</v>
      </c>
      <c r="F46" s="28" t="n">
        <f aca="false">F45/F20</f>
        <v>0.230753031077951</v>
      </c>
      <c r="G46" s="28" t="n">
        <f aca="false">G45/G20</f>
        <v>0.2331562019298</v>
      </c>
      <c r="H46" s="28" t="n">
        <f aca="false">H45/H20</f>
        <v>0.132096552082521</v>
      </c>
      <c r="I46" s="28" t="n">
        <f aca="false">I45/I20</f>
        <v>0.132716485379291</v>
      </c>
      <c r="J46" s="28" t="n">
        <f aca="false">J45/J20</f>
        <v>-0.513143416065534</v>
      </c>
      <c r="K46" s="28" t="n">
        <f aca="false">K45/K20</f>
        <v>-0.0707367368618384</v>
      </c>
      <c r="L46" s="28" t="n">
        <f aca="false">L45/L20</f>
        <v>0.133881505679709</v>
      </c>
      <c r="M46" s="28" t="n">
        <f aca="false">M45/M20</f>
        <v>0.15328255403978</v>
      </c>
      <c r="N46" s="28" t="n">
        <f aca="false">N45/N20</f>
        <v>0.111696598200523</v>
      </c>
      <c r="O46" s="28" t="n">
        <f aca="false">INDEX(O47:O49,$D$12)</f>
        <v>0.1722</v>
      </c>
      <c r="P46" s="28" t="n">
        <f aca="false">INDEX(P47:P49,$D$12)</f>
        <v>0.1722</v>
      </c>
      <c r="Q46" s="28" t="n">
        <f aca="false">INDEX(Q47:Q49,$D$12)</f>
        <v>0.1722</v>
      </c>
      <c r="R46" s="28" t="n">
        <f aca="false">INDEX(R47:R49,$D$12)</f>
        <v>0.1722</v>
      </c>
      <c r="S46" s="28" t="n">
        <f aca="false">INDEX(S47:S49,$D$12)</f>
        <v>0.1722</v>
      </c>
      <c r="T46" s="28" t="n">
        <f aca="false">INDEX(T47:T49,$D$12)</f>
        <v>0.1722</v>
      </c>
      <c r="U46" s="28" t="n">
        <f aca="false">INDEX(U47:U49,$D$12)</f>
        <v>0.1722</v>
      </c>
      <c r="V46" s="28" t="n">
        <f aca="false">INDEX(V47:V49,$D$12)</f>
        <v>0.1722</v>
      </c>
      <c r="W46" s="28" t="n">
        <f aca="false">INDEX(W47:W49,$D$12)</f>
        <v>0.1722</v>
      </c>
      <c r="X46" s="28" t="n">
        <f aca="false">INDEX(X47:X49,$D$12)</f>
        <v>0.1722</v>
      </c>
    </row>
    <row r="47" customFormat="false" ht="15" hidden="false" customHeight="true" outlineLevel="0" collapsed="false">
      <c r="B47" s="38" t="s">
        <v>41</v>
      </c>
      <c r="D47" s="29"/>
      <c r="O47" s="39" t="n">
        <f aca="false">$H$13</f>
        <v>0.16</v>
      </c>
      <c r="P47" s="39" t="n">
        <f aca="false">$H$13</f>
        <v>0.16</v>
      </c>
      <c r="Q47" s="39" t="n">
        <f aca="false">$H$13</f>
        <v>0.16</v>
      </c>
      <c r="R47" s="39" t="n">
        <f aca="false">$H$13</f>
        <v>0.16</v>
      </c>
      <c r="S47" s="39" t="n">
        <f aca="false">$H$13</f>
        <v>0.16</v>
      </c>
      <c r="T47" s="39" t="n">
        <f aca="false">$H$13</f>
        <v>0.16</v>
      </c>
      <c r="U47" s="39" t="n">
        <f aca="false">$H$13</f>
        <v>0.16</v>
      </c>
      <c r="V47" s="39" t="n">
        <f aca="false">$H$13</f>
        <v>0.16</v>
      </c>
      <c r="W47" s="39" t="n">
        <f aca="false">$H$13</f>
        <v>0.16</v>
      </c>
      <c r="X47" s="39" t="n">
        <f aca="false">$H$13</f>
        <v>0.16</v>
      </c>
    </row>
    <row r="48" customFormat="false" ht="15" hidden="false" customHeight="true" outlineLevel="0" collapsed="false">
      <c r="B48" s="38" t="s">
        <v>42</v>
      </c>
      <c r="D48" s="29"/>
      <c r="O48" s="39" t="n">
        <f aca="false">$L$13</f>
        <v>0.1722</v>
      </c>
      <c r="P48" s="39" t="n">
        <f aca="false">$L$13</f>
        <v>0.1722</v>
      </c>
      <c r="Q48" s="39" t="n">
        <f aca="false">$L$13</f>
        <v>0.1722</v>
      </c>
      <c r="R48" s="39" t="n">
        <f aca="false">$L$13</f>
        <v>0.1722</v>
      </c>
      <c r="S48" s="39" t="n">
        <f aca="false">$L$13</f>
        <v>0.1722</v>
      </c>
      <c r="T48" s="39" t="n">
        <f aca="false">$L$13</f>
        <v>0.1722</v>
      </c>
      <c r="U48" s="39" t="n">
        <f aca="false">$L$13</f>
        <v>0.1722</v>
      </c>
      <c r="V48" s="39" t="n">
        <f aca="false">$L$13</f>
        <v>0.1722</v>
      </c>
      <c r="W48" s="39" t="n">
        <f aca="false">$L$13</f>
        <v>0.1722</v>
      </c>
      <c r="X48" s="39" t="n">
        <f aca="false">$L$13</f>
        <v>0.1722</v>
      </c>
    </row>
    <row r="49" customFormat="false" ht="15" hidden="false" customHeight="true" outlineLevel="0" collapsed="false">
      <c r="B49" s="38" t="s">
        <v>43</v>
      </c>
      <c r="D49" s="29"/>
      <c r="O49" s="39" t="n">
        <f aca="false">$P$13</f>
        <v>0.185</v>
      </c>
      <c r="P49" s="39" t="n">
        <f aca="false">$P$13</f>
        <v>0.185</v>
      </c>
      <c r="Q49" s="39" t="n">
        <f aca="false">$P$13</f>
        <v>0.185</v>
      </c>
      <c r="R49" s="39" t="n">
        <f aca="false">$P$13</f>
        <v>0.185</v>
      </c>
      <c r="S49" s="39" t="n">
        <f aca="false">$P$13</f>
        <v>0.185</v>
      </c>
      <c r="T49" s="39" t="n">
        <f aca="false">$P$13</f>
        <v>0.185</v>
      </c>
      <c r="U49" s="39" t="n">
        <f aca="false">$P$13</f>
        <v>0.185</v>
      </c>
      <c r="V49" s="39" t="n">
        <f aca="false">$P$13</f>
        <v>0.185</v>
      </c>
      <c r="W49" s="39" t="n">
        <f aca="false">$P$13</f>
        <v>0.185</v>
      </c>
      <c r="X49" s="39" t="n">
        <f aca="false">$P$13</f>
        <v>0.185</v>
      </c>
    </row>
    <row r="51" customFormat="false" ht="15" hidden="false" customHeight="true" outlineLevel="0" collapsed="false">
      <c r="B51" s="25" t="s">
        <v>32</v>
      </c>
      <c r="E51" s="26" t="n">
        <f aca="false">E25</f>
        <v>162.8</v>
      </c>
      <c r="F51" s="26" t="n">
        <f aca="false">F25</f>
        <v>154.4</v>
      </c>
      <c r="G51" s="26" t="n">
        <f aca="false">G25</f>
        <v>161.1</v>
      </c>
      <c r="H51" s="26" t="n">
        <f aca="false">H25</f>
        <v>63.1</v>
      </c>
      <c r="I51" s="26" t="n">
        <f aca="false">I25</f>
        <v>21.6</v>
      </c>
      <c r="J51" s="26" t="n">
        <f aca="false">J25</f>
        <v>-93.6</v>
      </c>
      <c r="K51" s="26" t="n">
        <f aca="false">K25</f>
        <v>-189</v>
      </c>
      <c r="L51" s="26" t="n">
        <f aca="false">L25</f>
        <v>128.7</v>
      </c>
      <c r="M51" s="26" t="n">
        <f aca="false">M25</f>
        <v>210.9</v>
      </c>
      <c r="N51" s="26" t="n">
        <f aca="false">N25</f>
        <v>172.8</v>
      </c>
      <c r="O51" s="26" t="n">
        <f aca="false">O45*O52</f>
        <v>262.026729153</v>
      </c>
      <c r="P51" s="26" t="n">
        <f aca="false">P45*P52</f>
        <v>283.635200083817</v>
      </c>
      <c r="Q51" s="26" t="n">
        <f aca="false">Q45*Q52</f>
        <v>304.633659396689</v>
      </c>
      <c r="R51" s="26" t="n">
        <f aca="false">R45*R52</f>
        <v>324.617627453112</v>
      </c>
      <c r="S51" s="26" t="n">
        <f aca="false">S45*S52</f>
        <v>343.174935155848</v>
      </c>
      <c r="T51" s="26" t="n">
        <f aca="false">T45*T52</f>
        <v>359.898993662443</v>
      </c>
      <c r="U51" s="26" t="n">
        <f aca="false">U45*U52</f>
        <v>374.40292310704</v>
      </c>
      <c r="V51" s="26" t="n">
        <f aca="false">V45*V52</f>
        <v>386.333896256718</v>
      </c>
      <c r="W51" s="26" t="n">
        <f aca="false">W45*W52</f>
        <v>395.386987225667</v>
      </c>
      <c r="X51" s="26" t="n">
        <f aca="false">X45*X52</f>
        <v>401.317792034052</v>
      </c>
    </row>
    <row r="52" customFormat="false" ht="15" hidden="false" customHeight="true" outlineLevel="0" collapsed="false">
      <c r="B52" s="28" t="s">
        <v>33</v>
      </c>
      <c r="C52" s="29"/>
      <c r="D52" s="29"/>
      <c r="E52" s="28" t="n">
        <f aca="false">E51/E45</f>
        <v>0.111499212382714</v>
      </c>
      <c r="F52" s="28" t="n">
        <f aca="false">F51/F45</f>
        <v>0.100651890482399</v>
      </c>
      <c r="G52" s="28" t="n">
        <f aca="false">G51/G45</f>
        <v>0.0966232831524021</v>
      </c>
      <c r="H52" s="28" t="n">
        <f aca="false">H51/H45</f>
        <v>0.0620574350904799</v>
      </c>
      <c r="I52" s="28" t="n">
        <f aca="false">I51/I45</f>
        <v>0.0191591271953167</v>
      </c>
      <c r="J52" s="28" t="n">
        <f aca="false">J51/J45</f>
        <v>0.111508220157255</v>
      </c>
      <c r="K52" s="28" t="n">
        <f aca="false">K51/K45</f>
        <v>0.556537102473498</v>
      </c>
      <c r="L52" s="28" t="n">
        <f aca="false">L51/L45</f>
        <v>0.0892139193123527</v>
      </c>
      <c r="M52" s="28" t="n">
        <f aca="false">M51/M45</f>
        <v>0.102343863735624</v>
      </c>
      <c r="N52" s="28" t="n">
        <f aca="false">N51/N45</f>
        <v>0.110911424903723</v>
      </c>
      <c r="O52" s="40" t="n">
        <f aca="false">'Sources &amp; Checks'!$B$14</f>
        <v>0.1</v>
      </c>
      <c r="P52" s="40" t="n">
        <f aca="false">'Sources &amp; Checks'!$B$14</f>
        <v>0.1</v>
      </c>
      <c r="Q52" s="40" t="n">
        <f aca="false">'Sources &amp; Checks'!$B$14</f>
        <v>0.1</v>
      </c>
      <c r="R52" s="40" t="n">
        <f aca="false">'Sources &amp; Checks'!$B$14</f>
        <v>0.1</v>
      </c>
      <c r="S52" s="40" t="n">
        <f aca="false">'Sources &amp; Checks'!$B$14</f>
        <v>0.1</v>
      </c>
      <c r="T52" s="40" t="n">
        <f aca="false">'Sources &amp; Checks'!$B$14</f>
        <v>0.1</v>
      </c>
      <c r="U52" s="40" t="n">
        <f aca="false">'Sources &amp; Checks'!$B$14</f>
        <v>0.1</v>
      </c>
      <c r="V52" s="40" t="n">
        <f aca="false">'Sources &amp; Checks'!$B$14</f>
        <v>0.1</v>
      </c>
      <c r="W52" s="40" t="n">
        <f aca="false">'Sources &amp; Checks'!$B$14</f>
        <v>0.1</v>
      </c>
      <c r="X52" s="40" t="n">
        <f aca="false">'Sources &amp; Checks'!$B$14</f>
        <v>0.1</v>
      </c>
    </row>
    <row r="54" customFormat="false" ht="15.75" hidden="false" customHeight="true" outlineLevel="0" collapsed="false">
      <c r="A54" s="41" t="s">
        <v>10</v>
      </c>
      <c r="B54" s="42" t="s">
        <v>44</v>
      </c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4" t="n">
        <f aca="false">O45-O51</f>
        <v>2358.240562377</v>
      </c>
      <c r="P54" s="44" t="n">
        <f aca="false">P45-P51</f>
        <v>2552.71680075436</v>
      </c>
      <c r="Q54" s="44" t="n">
        <f aca="false">Q45-Q51</f>
        <v>2741.7029345702</v>
      </c>
      <c r="R54" s="44" t="n">
        <f aca="false">R45-R51</f>
        <v>2921.55864707801</v>
      </c>
      <c r="S54" s="44" t="n">
        <f aca="false">S45-S51</f>
        <v>3088.57441640264</v>
      </c>
      <c r="T54" s="44" t="n">
        <f aca="false">T45-T51</f>
        <v>3239.09094296199</v>
      </c>
      <c r="U54" s="44" t="n">
        <f aca="false">U45-U51</f>
        <v>3369.62630796336</v>
      </c>
      <c r="V54" s="44" t="n">
        <f aca="false">V45-V51</f>
        <v>3477.00506631046</v>
      </c>
      <c r="W54" s="44" t="n">
        <f aca="false">W45-W51</f>
        <v>3558.482885031</v>
      </c>
      <c r="X54" s="44" t="n">
        <f aca="false">X45-X51</f>
        <v>3611.86012830646</v>
      </c>
      <c r="Y54" s="45" t="n">
        <f aca="false">X54*(1+Y40)</f>
        <v>3666.03803023106</v>
      </c>
    </row>
    <row r="55" customFormat="false" ht="15.75" hidden="false" customHeight="true" outlineLevel="0" collapsed="false"/>
    <row r="56" customFormat="false" ht="15" hidden="false" customHeight="true" outlineLevel="0" collapsed="false">
      <c r="B56" s="25" t="s">
        <v>35</v>
      </c>
      <c r="E56" s="26" t="n">
        <f aca="false">E28</f>
        <v>427.3</v>
      </c>
      <c r="F56" s="26" t="n">
        <f aca="false">F28</f>
        <v>497.5</v>
      </c>
      <c r="G56" s="26" t="n">
        <f aca="false">G28</f>
        <v>561</v>
      </c>
      <c r="H56" s="26" t="n">
        <f aca="false">H28</f>
        <v>640.5</v>
      </c>
      <c r="I56" s="26" t="n">
        <f aca="false">I28</f>
        <v>748.7</v>
      </c>
      <c r="J56" s="26" t="n">
        <f aca="false">J28</f>
        <v>571</v>
      </c>
      <c r="K56" s="26" t="n">
        <f aca="false">K28</f>
        <v>719.4</v>
      </c>
      <c r="L56" s="26" t="n">
        <f aca="false">L28</f>
        <v>923.2</v>
      </c>
      <c r="M56" s="26" t="n">
        <f aca="false">M28</f>
        <v>1059.5</v>
      </c>
      <c r="N56" s="26" t="n">
        <f aca="false">N28</f>
        <v>1214.4</v>
      </c>
      <c r="O56" s="26" t="n">
        <f aca="false">O57*O39</f>
        <v>1224.921701325</v>
      </c>
      <c r="P56" s="26" t="n">
        <f aca="false">P57*P39</f>
        <v>1325.93691096094</v>
      </c>
      <c r="Q56" s="26" t="n">
        <f aca="false">Q57*Q39</f>
        <v>1424.10044026908</v>
      </c>
      <c r="R56" s="26" t="n">
        <f aca="false">R57*R39</f>
        <v>1517.52142915073</v>
      </c>
      <c r="S56" s="26" t="n">
        <f aca="false">S57*S39</f>
        <v>1604.27307085051</v>
      </c>
      <c r="T56" s="26" t="n">
        <f aca="false">T57*T39</f>
        <v>1682.45464516996</v>
      </c>
      <c r="U56" s="26" t="n">
        <f aca="false">U57*U39</f>
        <v>1750.25756737031</v>
      </c>
      <c r="V56" s="26" t="n">
        <f aca="false">V57*V39</f>
        <v>1806.03244185051</v>
      </c>
      <c r="W56" s="26" t="n">
        <f aca="false">W57*W39</f>
        <v>1848.35380207121</v>
      </c>
      <c r="X56" s="26" t="n">
        <f aca="false">X57*X39</f>
        <v>1876.07910910227</v>
      </c>
    </row>
    <row r="57" customFormat="false" ht="15" hidden="false" customHeight="true" outlineLevel="0" collapsed="false">
      <c r="B57" s="28" t="s">
        <v>31</v>
      </c>
      <c r="C57" s="31"/>
      <c r="E57" s="28" t="n">
        <f aca="false">E56/E20</f>
        <v>0.0653783775513327</v>
      </c>
      <c r="F57" s="28" t="n">
        <f aca="false">F56/F20</f>
        <v>0.0748367881103523</v>
      </c>
      <c r="G57" s="28" t="n">
        <f aca="false">G56/G20</f>
        <v>0.078450566354356</v>
      </c>
      <c r="H57" s="28" t="n">
        <f aca="false">H56/H20</f>
        <v>0.083209915036246</v>
      </c>
      <c r="I57" s="28" t="n">
        <f aca="false">I56/I20</f>
        <v>0.0881362716014503</v>
      </c>
      <c r="J57" s="28" t="n">
        <f aca="false">J56/J20</f>
        <v>0.349064677833476</v>
      </c>
      <c r="K57" s="28" t="n">
        <f aca="false">K56/K20</f>
        <v>0.149846903705555</v>
      </c>
      <c r="L57" s="28" t="n">
        <f aca="false">L56/L20</f>
        <v>0.0856782240700869</v>
      </c>
      <c r="M57" s="28" t="n">
        <f aca="false">M56/M20</f>
        <v>0.0788095627724304</v>
      </c>
      <c r="N57" s="28" t="n">
        <f aca="false">N56/N20</f>
        <v>0.0870631250672115</v>
      </c>
      <c r="O57" s="40" t="n">
        <f aca="false">'Sources &amp; Checks'!$B$21</f>
        <v>0.0805</v>
      </c>
      <c r="P57" s="40" t="n">
        <f aca="false">'Sources &amp; Checks'!$B$21</f>
        <v>0.0805</v>
      </c>
      <c r="Q57" s="40" t="n">
        <f aca="false">'Sources &amp; Checks'!$B$21</f>
        <v>0.0805</v>
      </c>
      <c r="R57" s="40" t="n">
        <f aca="false">'Sources &amp; Checks'!$B$21</f>
        <v>0.0805</v>
      </c>
      <c r="S57" s="40" t="n">
        <f aca="false">'Sources &amp; Checks'!$B$21</f>
        <v>0.0805</v>
      </c>
      <c r="T57" s="40" t="n">
        <f aca="false">'Sources &amp; Checks'!$B$21</f>
        <v>0.0805</v>
      </c>
      <c r="U57" s="40" t="n">
        <f aca="false">'Sources &amp; Checks'!$B$21</f>
        <v>0.0805</v>
      </c>
      <c r="V57" s="40" t="n">
        <f aca="false">'Sources &amp; Checks'!$B$21</f>
        <v>0.0805</v>
      </c>
      <c r="W57" s="40" t="n">
        <f aca="false">'Sources &amp; Checks'!$B$21</f>
        <v>0.0805</v>
      </c>
      <c r="X57" s="40" t="n">
        <f aca="false">'Sources &amp; Checks'!$B$21</f>
        <v>0.0805</v>
      </c>
    </row>
    <row r="58" customFormat="false" ht="15" hidden="false" customHeight="true" outlineLevel="0" collapsed="false">
      <c r="C58" s="31"/>
    </row>
    <row r="59" customFormat="false" ht="15" hidden="false" customHeight="true" outlineLevel="0" collapsed="false">
      <c r="B59" s="25" t="s">
        <v>36</v>
      </c>
      <c r="E59" s="26" t="n">
        <f aca="false">E31</f>
        <v>1217.7</v>
      </c>
      <c r="F59" s="26" t="n">
        <f aca="false">F31</f>
        <v>1449.8</v>
      </c>
      <c r="G59" s="26" t="n">
        <f aca="false">G31</f>
        <v>1470.6</v>
      </c>
      <c r="H59" s="26" t="n">
        <f aca="false">H31</f>
        <v>1546.7</v>
      </c>
      <c r="I59" s="26" t="n">
        <f aca="false">I31</f>
        <v>578.8</v>
      </c>
      <c r="J59" s="26" t="n">
        <f aca="false">J31</f>
        <v>294.7</v>
      </c>
      <c r="K59" s="26" t="n">
        <f aca="false">K31</f>
        <v>1181.6</v>
      </c>
      <c r="L59" s="26" t="n">
        <f aca="false">L31</f>
        <v>1914.7</v>
      </c>
      <c r="M59" s="26" t="n">
        <f aca="false">M31</f>
        <v>2391.9</v>
      </c>
      <c r="N59" s="26" t="n">
        <f aca="false">N31</f>
        <v>1552.5</v>
      </c>
      <c r="O59" s="26" t="n">
        <f aca="false">O60*O39</f>
        <v>2781.56132922</v>
      </c>
      <c r="P59" s="26" t="n">
        <f aca="false">P60*P39</f>
        <v>3010.94742016968</v>
      </c>
      <c r="Q59" s="26" t="n">
        <f aca="false">Q60*Q39</f>
        <v>3233.85789417624</v>
      </c>
      <c r="R59" s="26" t="n">
        <f aca="false">R60*R39</f>
        <v>3445.9989720342</v>
      </c>
      <c r="S59" s="26" t="n">
        <f aca="false">S60*S39</f>
        <v>3642.99524660215</v>
      </c>
      <c r="T59" s="26" t="n">
        <f aca="false">T60*T39</f>
        <v>3820.53054828657</v>
      </c>
      <c r="U59" s="26" t="n">
        <f aca="false">U60*U39</f>
        <v>3974.49792938251</v>
      </c>
      <c r="V59" s="26" t="n">
        <f aca="false">V60*V39</f>
        <v>4101.1519300655</v>
      </c>
      <c r="W59" s="26" t="n">
        <f aca="false">W60*W39</f>
        <v>4197.25559029337</v>
      </c>
      <c r="X59" s="26" t="n">
        <f aca="false">X60*X39</f>
        <v>4260.21442414777</v>
      </c>
    </row>
    <row r="60" customFormat="false" ht="15" hidden="false" customHeight="true" outlineLevel="0" collapsed="false">
      <c r="B60" s="28" t="s">
        <v>31</v>
      </c>
      <c r="C60" s="29"/>
      <c r="E60" s="28" t="n">
        <f aca="false">E59/E20</f>
        <v>0.186312310658221</v>
      </c>
      <c r="F60" s="28" t="n">
        <f aca="false">F59/F20</f>
        <v>0.21808718673847</v>
      </c>
      <c r="G60" s="28" t="n">
        <f aca="false">G59/G20</f>
        <v>0.205649559502168</v>
      </c>
      <c r="H60" s="28" t="n">
        <f aca="false">H59/H20</f>
        <v>0.200937979057864</v>
      </c>
      <c r="I60" s="28" t="n">
        <f aca="false">I59/I20</f>
        <v>0.0681358007251495</v>
      </c>
      <c r="J60" s="28" t="n">
        <f aca="false">J59/J20</f>
        <v>0.180156498349431</v>
      </c>
      <c r="K60" s="28" t="n">
        <f aca="false">K59/K20</f>
        <v>0.246120519069341</v>
      </c>
      <c r="L60" s="28" t="n">
        <f aca="false">L59/L20</f>
        <v>0.177695077585567</v>
      </c>
      <c r="M60" s="28" t="n">
        <f aca="false">M59/M20</f>
        <v>0.177918445677561</v>
      </c>
      <c r="N60" s="28" t="n">
        <f aca="false">N59/N20</f>
        <v>0.111302290568878</v>
      </c>
      <c r="O60" s="40" t="n">
        <f aca="false">'Sources &amp; Checks'!$B$22</f>
        <v>0.1828</v>
      </c>
      <c r="P60" s="40" t="n">
        <f aca="false">'Sources &amp; Checks'!$B$22</f>
        <v>0.1828</v>
      </c>
      <c r="Q60" s="40" t="n">
        <f aca="false">'Sources &amp; Checks'!$B$22</f>
        <v>0.1828</v>
      </c>
      <c r="R60" s="40" t="n">
        <f aca="false">'Sources &amp; Checks'!$B$22</f>
        <v>0.1828</v>
      </c>
      <c r="S60" s="40" t="n">
        <f aca="false">'Sources &amp; Checks'!$B$22</f>
        <v>0.1828</v>
      </c>
      <c r="T60" s="40" t="n">
        <f aca="false">'Sources &amp; Checks'!$B$22</f>
        <v>0.1828</v>
      </c>
      <c r="U60" s="40" t="n">
        <f aca="false">'Sources &amp; Checks'!$B$22</f>
        <v>0.1828</v>
      </c>
      <c r="V60" s="40" t="n">
        <f aca="false">'Sources &amp; Checks'!$B$22</f>
        <v>0.1828</v>
      </c>
      <c r="W60" s="40" t="n">
        <f aca="false">'Sources &amp; Checks'!$B$22</f>
        <v>0.1828</v>
      </c>
      <c r="X60" s="40" t="n">
        <f aca="false">'Sources &amp; Checks'!$B$22</f>
        <v>0.1828</v>
      </c>
    </row>
    <row r="62" customFormat="false" ht="15" hidden="false" customHeight="true" outlineLevel="0" collapsed="false">
      <c r="B62" s="25" t="s">
        <v>37</v>
      </c>
      <c r="E62" s="26" t="n">
        <f aca="false">E34</f>
        <v>-135.6</v>
      </c>
      <c r="F62" s="26" t="n">
        <f aca="false">F34</f>
        <v>-113.1</v>
      </c>
      <c r="G62" s="26" t="n">
        <f aca="false">G34</f>
        <v>-168.9</v>
      </c>
      <c r="H62" s="26" t="n">
        <f aca="false">H34</f>
        <v>-514.3</v>
      </c>
      <c r="I62" s="26" t="n">
        <f aca="false">I34</f>
        <v>388.5</v>
      </c>
      <c r="J62" s="26" t="n">
        <f aca="false">J34</f>
        <v>1703.2</v>
      </c>
      <c r="K62" s="26" t="n">
        <f aca="false">K34</f>
        <v>-1785.9</v>
      </c>
      <c r="L62" s="26" t="n">
        <f aca="false">L34</f>
        <v>-1353.9</v>
      </c>
      <c r="M62" s="26" t="n">
        <f aca="false">M34</f>
        <v>-19</v>
      </c>
      <c r="N62" s="26" t="n">
        <f aca="false">N34</f>
        <v>-480.3</v>
      </c>
      <c r="O62" s="26" t="n">
        <f aca="false">O63*O39</f>
        <v>-436.711215255</v>
      </c>
      <c r="P62" s="26" t="n">
        <f aca="false">P63*P39</f>
        <v>-472.725333473029</v>
      </c>
      <c r="Q62" s="26" t="n">
        <f aca="false">Q63*Q39</f>
        <v>-507.722765661149</v>
      </c>
      <c r="R62" s="26" t="n">
        <f aca="false">R63*R39</f>
        <v>-541.02937908852</v>
      </c>
      <c r="S62" s="26" t="n">
        <f aca="false">S63*S39</f>
        <v>-571.958225259747</v>
      </c>
      <c r="T62" s="26" t="n">
        <f aca="false">T63*T39</f>
        <v>-599.831656104072</v>
      </c>
      <c r="U62" s="26" t="n">
        <f aca="false">U63*U39</f>
        <v>-624.004871845066</v>
      </c>
      <c r="V62" s="26" t="n">
        <f aca="false">V63*V39</f>
        <v>-643.889827094529</v>
      </c>
      <c r="W62" s="26" t="n">
        <f aca="false">W63*W39</f>
        <v>-658.978312042778</v>
      </c>
      <c r="X62" s="26" t="n">
        <f aca="false">X63*X39</f>
        <v>-668.862986723419</v>
      </c>
    </row>
    <row r="63" customFormat="false" ht="15" hidden="false" customHeight="true" outlineLevel="0" collapsed="false">
      <c r="B63" s="28" t="s">
        <v>31</v>
      </c>
      <c r="C63" s="31"/>
      <c r="E63" s="28" t="n">
        <f aca="false">E62/E20</f>
        <v>-0.0207472688882769</v>
      </c>
      <c r="F63" s="28" t="n">
        <f aca="false">F62/F20</f>
        <v>-0.0170131472065947</v>
      </c>
      <c r="G63" s="28" t="n">
        <f aca="false">G62/G20</f>
        <v>-0.0236190742553489</v>
      </c>
      <c r="H63" s="28" t="n">
        <f aca="false">H62/H20</f>
        <v>-0.0668147686231715</v>
      </c>
      <c r="I63" s="28" t="n">
        <f aca="false">I62/I20</f>
        <v>0.0457338607147902</v>
      </c>
      <c r="J63" s="28" t="n">
        <f aca="false">J62/J20</f>
        <v>1.04120308106125</v>
      </c>
      <c r="K63" s="28" t="n">
        <f aca="false">K62/K20</f>
        <v>-0.37199275135912</v>
      </c>
      <c r="L63" s="28" t="n">
        <f aca="false">L62/L20</f>
        <v>-0.125649639913876</v>
      </c>
      <c r="M63" s="28" t="n">
        <f aca="false">M62/M20</f>
        <v>-0.00141329088501763</v>
      </c>
      <c r="N63" s="28" t="n">
        <f aca="false">N62/N20</f>
        <v>-0.0344338100871061</v>
      </c>
      <c r="O63" s="40" t="n">
        <f aca="false">'Sources &amp; Checks'!$B$23</f>
        <v>-0.0287</v>
      </c>
      <c r="P63" s="40" t="n">
        <f aca="false">'Sources &amp; Checks'!$B$23</f>
        <v>-0.0287</v>
      </c>
      <c r="Q63" s="40" t="n">
        <f aca="false">'Sources &amp; Checks'!$B$23</f>
        <v>-0.0287</v>
      </c>
      <c r="R63" s="40" t="n">
        <f aca="false">'Sources &amp; Checks'!$B$23</f>
        <v>-0.0287</v>
      </c>
      <c r="S63" s="40" t="n">
        <f aca="false">'Sources &amp; Checks'!$B$23</f>
        <v>-0.0287</v>
      </c>
      <c r="T63" s="40" t="n">
        <f aca="false">'Sources &amp; Checks'!$B$23</f>
        <v>-0.0287</v>
      </c>
      <c r="U63" s="40" t="n">
        <f aca="false">'Sources &amp; Checks'!$B$23</f>
        <v>-0.0287</v>
      </c>
      <c r="V63" s="40" t="n">
        <f aca="false">'Sources &amp; Checks'!$B$23</f>
        <v>-0.0287</v>
      </c>
      <c r="W63" s="40" t="n">
        <f aca="false">'Sources &amp; Checks'!$B$23</f>
        <v>-0.0287</v>
      </c>
      <c r="X63" s="40" t="n">
        <f aca="false">'Sources &amp; Checks'!$B$23</f>
        <v>-0.0287</v>
      </c>
    </row>
    <row r="64" customFormat="false" ht="15" hidden="false" customHeight="true" outlineLevel="0" collapsed="false">
      <c r="B64" s="28" t="s">
        <v>45</v>
      </c>
      <c r="O64" s="46" t="n">
        <f aca="false">1-O66/O54</f>
        <v>0.474899987095109</v>
      </c>
      <c r="P64" s="46" t="n">
        <f aca="false">1-P66/P54</f>
        <v>0.474899987095109</v>
      </c>
      <c r="Q64" s="46" t="n">
        <f aca="false">1-Q66/Q54</f>
        <v>0.474899987095109</v>
      </c>
      <c r="R64" s="46" t="n">
        <f aca="false">1-R66/R54</f>
        <v>0.474899987095109</v>
      </c>
      <c r="S64" s="46" t="n">
        <f aca="false">1-S66/S54</f>
        <v>0.474899987095109</v>
      </c>
      <c r="T64" s="46" t="n">
        <f aca="false">1-T66/T54</f>
        <v>0.474899987095109</v>
      </c>
      <c r="U64" s="46" t="n">
        <f aca="false">1-U66/U54</f>
        <v>0.474899987095109</v>
      </c>
      <c r="V64" s="46" t="n">
        <f aca="false">1-V66/V54</f>
        <v>0.474899987095109</v>
      </c>
      <c r="W64" s="46" t="n">
        <f aca="false">1-W66/W54</f>
        <v>0.474899987095109</v>
      </c>
      <c r="X64" s="46" t="n">
        <f aca="false">1-X66/X54</f>
        <v>0.474899987095109</v>
      </c>
      <c r="Y64" s="47" t="n">
        <f aca="false">Y40/$D$16</f>
        <v>0.174756282599543</v>
      </c>
    </row>
    <row r="66" customFormat="false" ht="15" hidden="false" customHeight="true" outlineLevel="0" collapsed="false">
      <c r="A66" s="41" t="s">
        <v>10</v>
      </c>
      <c r="B66" s="48" t="s">
        <v>46</v>
      </c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50" t="n">
        <f aca="false">O54+O56-O59-O62</f>
        <v>1238.312149737</v>
      </c>
      <c r="P66" s="50" t="n">
        <f aca="false">P54+P56-P59-P62</f>
        <v>1340.43162501864</v>
      </c>
      <c r="Q66" s="50" t="n">
        <f aca="false">Q54+Q56-Q59-Q62</f>
        <v>1439.66824632419</v>
      </c>
      <c r="R66" s="50" t="n">
        <f aca="false">R54+R56-R59-R62</f>
        <v>1534.11048328306</v>
      </c>
      <c r="S66" s="50" t="n">
        <f aca="false">S54+S56-S59-S62</f>
        <v>1621.81046591074</v>
      </c>
      <c r="T66" s="50" t="n">
        <f aca="false">T54+T56-T59-T62</f>
        <v>1700.84669594946</v>
      </c>
      <c r="U66" s="50" t="n">
        <f aca="false">U54+U56-U59-U62</f>
        <v>1769.39081779622</v>
      </c>
      <c r="V66" s="50" t="n">
        <f aca="false">V54+V56-V59-V62</f>
        <v>1825.77540518999</v>
      </c>
      <c r="W66" s="50" t="n">
        <f aca="false">W54+W56-W59-W62</f>
        <v>1868.55940885161</v>
      </c>
      <c r="X66" s="50" t="n">
        <f aca="false">X54+X56-X59-X62</f>
        <v>1896.58779998439</v>
      </c>
      <c r="Y66" s="51" t="n">
        <f aca="false">Y54*(1-Y64)</f>
        <v>3025.37485219933</v>
      </c>
    </row>
    <row r="67" customFormat="false" ht="15" hidden="false" customHeight="true" outlineLevel="0" collapsed="false">
      <c r="B67" s="52" t="s">
        <v>47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53" t="n">
        <f aca="false">O66/(1+$D$16)^O71</f>
        <v>1234.77648581277</v>
      </c>
      <c r="P67" s="53" t="n">
        <f aca="false">P66/(1+$D$16)^P71</f>
        <v>1279.02612587499</v>
      </c>
      <c r="Q67" s="53" t="n">
        <f aca="false">Q66/(1+$D$16)^Q71</f>
        <v>1265.12608380451</v>
      </c>
      <c r="R67" s="53" t="n">
        <f aca="false">R66/(1+$D$16)^R71</f>
        <v>1241.55126238475</v>
      </c>
      <c r="S67" s="53" t="n">
        <f aca="false">S66/(1+$D$16)^S71</f>
        <v>1208.77300058723</v>
      </c>
      <c r="T67" s="53" t="n">
        <f aca="false">T66/(1+$D$16)^T71</f>
        <v>1167.47195579427</v>
      </c>
      <c r="U67" s="53" t="n">
        <f aca="false">U66/(1+$D$16)^U71</f>
        <v>1118.51468317813</v>
      </c>
      <c r="V67" s="53" t="n">
        <f aca="false">V66/(1+$D$16)^V71</f>
        <v>1062.92325055651</v>
      </c>
      <c r="W67" s="53" t="n">
        <f aca="false">W66/(1+$D$16)^W71</f>
        <v>1001.8393803644</v>
      </c>
      <c r="X67" s="53" t="n">
        <f aca="false">X66/(1+$D$16)^X71</f>
        <v>936.484891714753</v>
      </c>
    </row>
    <row r="70" customFormat="false" ht="15" hidden="false" customHeight="true" outlineLevel="0" collapsed="false">
      <c r="A70" s="13" t="s">
        <v>10</v>
      </c>
      <c r="B70" s="54" t="s">
        <v>48</v>
      </c>
      <c r="O70" s="55" t="n">
        <f aca="false">YEARFRAC(D6,D7)</f>
        <v>0.0694444444444445</v>
      </c>
    </row>
    <row r="71" customFormat="false" ht="15" hidden="false" customHeight="true" outlineLevel="0" collapsed="false">
      <c r="B71" s="56" t="s">
        <v>49</v>
      </c>
      <c r="O71" s="56" t="n">
        <f aca="false">O70/2</f>
        <v>0.0347222222222222</v>
      </c>
      <c r="P71" s="56" t="n">
        <f aca="false">O70+0.5</f>
        <v>0.569444444444444</v>
      </c>
      <c r="Q71" s="56" t="n">
        <f aca="false">P71+1</f>
        <v>1.56944444444444</v>
      </c>
      <c r="R71" s="56" t="n">
        <f aca="false">Q71+1</f>
        <v>2.56944444444444</v>
      </c>
      <c r="S71" s="56" t="n">
        <f aca="false">R71+1</f>
        <v>3.56944444444444</v>
      </c>
      <c r="T71" s="56" t="n">
        <f aca="false">S71+1</f>
        <v>4.56944444444445</v>
      </c>
      <c r="U71" s="56" t="n">
        <f aca="false">T71+1</f>
        <v>5.56944444444445</v>
      </c>
      <c r="V71" s="56" t="n">
        <f aca="false">U71+1</f>
        <v>6.56944444444445</v>
      </c>
      <c r="W71" s="56" t="n">
        <f aca="false">V71+1</f>
        <v>7.56944444444445</v>
      </c>
      <c r="X71" s="56" t="n">
        <f aca="false">W71+1</f>
        <v>8.56944444444445</v>
      </c>
    </row>
    <row r="73" customFormat="false" ht="15" hidden="false" customHeight="true" outlineLevel="0" collapsed="false">
      <c r="B73" s="26" t="s">
        <v>50</v>
      </c>
      <c r="S73" s="57"/>
      <c r="T73" s="57"/>
      <c r="U73" s="57"/>
      <c r="V73" s="57"/>
      <c r="W73" s="57"/>
      <c r="X73" s="58" t="n">
        <f aca="false">Y66/(D16-D17)</f>
        <v>42710.8785354486</v>
      </c>
    </row>
    <row r="74" customFormat="false" ht="15" hidden="false" customHeight="true" outlineLevel="0" collapsed="false">
      <c r="B74" s="26" t="s">
        <v>51</v>
      </c>
      <c r="S74" s="57"/>
      <c r="T74" s="57"/>
      <c r="U74" s="57"/>
      <c r="V74" s="57"/>
      <c r="W74" s="57"/>
      <c r="X74" s="26" t="n">
        <f aca="false">X73/(1+D16)^X71</f>
        <v>21089.5021367536</v>
      </c>
    </row>
    <row r="75" customFormat="false" ht="15" hidden="false" customHeight="true" outlineLevel="0" collapsed="false">
      <c r="B75" s="26" t="s">
        <v>52</v>
      </c>
      <c r="S75" s="26" t="n">
        <f aca="false">SUM(O67:X67)+X74</f>
        <v>32605.9892568259</v>
      </c>
      <c r="T75" s="57"/>
      <c r="U75" s="57"/>
      <c r="V75" s="57"/>
      <c r="W75" s="57"/>
      <c r="X75" s="57"/>
    </row>
    <row r="76" customFormat="false" ht="15" hidden="false" customHeight="true" outlineLevel="0" collapsed="false">
      <c r="B76" s="26" t="s">
        <v>53</v>
      </c>
      <c r="S76" s="26" t="n">
        <f aca="false">'Sources &amp; Checks'!$B$6</f>
        <v>2400</v>
      </c>
      <c r="T76" s="57"/>
      <c r="U76" s="57"/>
      <c r="V76" s="57"/>
      <c r="W76" s="57"/>
      <c r="X76" s="57"/>
    </row>
    <row r="77" customFormat="false" ht="15" hidden="false" customHeight="true" outlineLevel="0" collapsed="false">
      <c r="B77" s="26" t="s">
        <v>54</v>
      </c>
      <c r="S77" s="26" t="n">
        <f aca="false">'Sources &amp; Checks'!$B$7</f>
        <v>1500</v>
      </c>
    </row>
    <row r="78" customFormat="false" ht="15" hidden="false" customHeight="true" outlineLevel="0" collapsed="false">
      <c r="A78" s="41" t="s">
        <v>10</v>
      </c>
      <c r="B78" s="59" t="s">
        <v>55</v>
      </c>
      <c r="S78" s="26" t="n">
        <f aca="false">S75+S76-S77</f>
        <v>33505.9892568259</v>
      </c>
      <c r="T78" s="57"/>
      <c r="U78" s="57"/>
      <c r="V78" s="57"/>
      <c r="W78" s="57"/>
      <c r="X78" s="57"/>
    </row>
    <row r="80" customFormat="false" ht="15" hidden="false" customHeight="true" outlineLevel="0" collapsed="false">
      <c r="B80" s="60" t="s">
        <v>56</v>
      </c>
      <c r="S80" s="60" t="n">
        <f aca="false">'Sources &amp; Checks'!$B$9</f>
        <v>1066.8</v>
      </c>
    </row>
    <row r="81" customFormat="false" ht="15" hidden="false" customHeight="true" outlineLevel="0" collapsed="false">
      <c r="A81" s="61" t="s">
        <v>10</v>
      </c>
      <c r="B81" s="62" t="s">
        <v>57</v>
      </c>
      <c r="S81" s="63" t="n">
        <f aca="false">S78/S80</f>
        <v>31.4079389359073</v>
      </c>
      <c r="T81" s="64"/>
      <c r="U81" s="64"/>
      <c r="V81" s="64"/>
      <c r="W81" s="64"/>
      <c r="X81" s="64"/>
    </row>
    <row r="85" customFormat="false" ht="15" hidden="false" customHeight="true" outlineLevel="0" collapsed="false">
      <c r="A85" s="65"/>
      <c r="B85" s="66" t="s">
        <v>58</v>
      </c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</row>
    <row r="86" customFormat="false" ht="15" hidden="false" customHeight="true" outlineLevel="0" collapsed="false">
      <c r="B86" s="68" t="s">
        <v>59</v>
      </c>
      <c r="D86" s="68" t="s">
        <v>60</v>
      </c>
      <c r="F86" s="68" t="s">
        <v>61</v>
      </c>
      <c r="H86" s="68" t="s">
        <v>21</v>
      </c>
      <c r="J86" s="68" t="s">
        <v>23</v>
      </c>
      <c r="L86" s="68" t="s">
        <v>62</v>
      </c>
      <c r="N86" s="68" t="s">
        <v>63</v>
      </c>
    </row>
    <row r="87" customFormat="false" ht="15" hidden="false" customHeight="true" outlineLevel="0" collapsed="false">
      <c r="B87" s="69" t="s">
        <v>13</v>
      </c>
      <c r="D87" s="70" t="n">
        <f aca="false">$H$11</f>
        <v>0.07</v>
      </c>
      <c r="F87" s="71" t="n">
        <f aca="false">$H$13</f>
        <v>0.16</v>
      </c>
      <c r="H87" s="72" t="n">
        <f aca="false">H16</f>
        <v>0.092</v>
      </c>
      <c r="J87" s="71" t="n">
        <f aca="false">$H$17</f>
        <v>0.01</v>
      </c>
      <c r="L87" s="73" t="n">
        <f aca="false">Calc!$C$129</f>
        <v>23.6738362380063</v>
      </c>
      <c r="N87" s="72" t="n">
        <f aca="false">L87/'Sources &amp; Checks'!$B$5-1</f>
        <v>-0.0960734540661964</v>
      </c>
    </row>
    <row r="88" customFormat="false" ht="15" hidden="false" customHeight="true" outlineLevel="0" collapsed="false">
      <c r="B88" s="74" t="s">
        <v>64</v>
      </c>
      <c r="D88" s="70" t="n">
        <f aca="false">$L$11</f>
        <v>0.0909</v>
      </c>
      <c r="F88" s="71" t="n">
        <f aca="false">$L$13</f>
        <v>0.1722</v>
      </c>
      <c r="H88" s="75" t="n">
        <f aca="false">WACC!F22</f>
        <v>0.0858338239797238</v>
      </c>
      <c r="J88" s="71" t="n">
        <f aca="false">$L$17</f>
        <v>0.015</v>
      </c>
      <c r="L88" s="73" t="n">
        <f aca="false">Calc!$C$148</f>
        <v>31.4079389359073</v>
      </c>
      <c r="N88" s="75" t="n">
        <f aca="false">L88/'Sources &amp; Checks'!$B$5-1</f>
        <v>0.199234018171337</v>
      </c>
    </row>
    <row r="89" customFormat="false" ht="15" hidden="false" customHeight="true" outlineLevel="0" collapsed="false">
      <c r="B89" s="69" t="s">
        <v>15</v>
      </c>
      <c r="D89" s="70" t="n">
        <f aca="false">$P$11</f>
        <v>0.11</v>
      </c>
      <c r="F89" s="71" t="n">
        <f aca="false">$P$13</f>
        <v>0.185</v>
      </c>
      <c r="H89" s="72" t="n">
        <f aca="false">P16</f>
        <v>0.082</v>
      </c>
      <c r="J89" s="71" t="n">
        <f aca="false">$P$17</f>
        <v>0.02</v>
      </c>
      <c r="L89" s="73" t="n">
        <f aca="false">Calc!$C$167</f>
        <v>40.0421864094923</v>
      </c>
      <c r="N89" s="72" t="n">
        <f aca="false">L89/'Sources &amp; Checks'!$B$5-1</f>
        <v>0.528911279476604</v>
      </c>
    </row>
    <row r="90" customFormat="false" ht="15" hidden="false" customHeight="true" outlineLevel="0" collapsed="false">
      <c r="B90" s="76" t="s">
        <v>65</v>
      </c>
    </row>
    <row r="91" customFormat="false" ht="15" hidden="false" customHeight="true" outlineLevel="0" collapsed="false">
      <c r="A91" s="65" t="s">
        <v>10</v>
      </c>
      <c r="B91" s="77" t="s">
        <v>66</v>
      </c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</row>
    <row r="92" customFormat="false" ht="15" hidden="false" customHeight="true" outlineLevel="0" collapsed="false">
      <c r="B92" s="68" t="s">
        <v>67</v>
      </c>
      <c r="D92" s="78" t="n">
        <v>0.005</v>
      </c>
      <c r="F92" s="78" t="n">
        <v>0.01</v>
      </c>
      <c r="H92" s="78" t="n">
        <v>0.015</v>
      </c>
      <c r="J92" s="78" t="n">
        <v>0.02</v>
      </c>
      <c r="L92" s="78" t="n">
        <v>0.025</v>
      </c>
    </row>
    <row r="93" customFormat="false" ht="15" hidden="false" customHeight="true" outlineLevel="0" collapsed="false">
      <c r="B93" s="79" t="n">
        <v>0.075</v>
      </c>
      <c r="D93" s="80" t="n">
        <f aca="false">(SUMPRODUCT(Calc!$F$219:$O$219/(1+$B93)^$O$71:$X$71)+(Calc!$O$215*(1+D$92)*(1-D$92/$B93)/($B93-D$92))/(1+$B93)^$X$71+'Sources &amp; Checks'!$B$6-'Sources &amp; Checks'!$B$7)/'Sources &amp; Checks'!$B$9</f>
        <v>35.1464958502199</v>
      </c>
      <c r="F93" s="80" t="n">
        <f aca="false">(SUMPRODUCT(Calc!$F$238:$O$238/(1+$B93)^$O$71:$X$71)+(Calc!$O$234*(1+F$92)*(1-F$92/$B93)/($B93-F$92))/(1+$B93)^$X$71+'Sources &amp; Checks'!$B$6-'Sources &amp; Checks'!$B$7)/'Sources &amp; Checks'!$B$9</f>
        <v>35.9256171420683</v>
      </c>
      <c r="H93" s="80" t="n">
        <f aca="false">(SUMPRODUCT(Calc!$F$257:$O$257/(1+$B93)^$O$71:$X$71)+(Calc!$O$253*(1+H$92)*(1-H$92/$B93)/($B93-H$92))/(1+$B93)^$X$71+'Sources &amp; Checks'!$B$6-'Sources &amp; Checks'!$B$7)/'Sources &amp; Checks'!$B$9</f>
        <v>36.7236441890427</v>
      </c>
      <c r="J93" s="80" t="n">
        <f aca="false">(SUMPRODUCT(Calc!$F$276:$O$276/(1+$B93)^$O$71:$X$71)+(Calc!$O$272*(1+J$92)*(1-J$92/$B93)/($B93-J$92))/(1+$B93)^$X$71+'Sources &amp; Checks'!$B$6-'Sources &amp; Checks'!$B$7)/'Sources &amp; Checks'!$B$9</f>
        <v>37.5409835635921</v>
      </c>
      <c r="L93" s="80" t="n">
        <f aca="false">(SUMPRODUCT(Calc!$F$295:$O$295/(1+$B93)^$O$71:$X$71)+(Calc!$O$291*(1+L$92)*(1-L$92/$B93)/($B93-L$92))/(1+$B93)^$X$71+'Sources &amp; Checks'!$B$6-'Sources &amp; Checks'!$B$7)/'Sources &amp; Checks'!$B$9</f>
        <v>38.3780492650163</v>
      </c>
    </row>
    <row r="94" customFormat="false" ht="15" hidden="false" customHeight="true" outlineLevel="0" collapsed="false">
      <c r="B94" s="79" t="n">
        <v>0.08</v>
      </c>
      <c r="D94" s="80" t="n">
        <f aca="false">(SUMPRODUCT(Calc!$F$219:$O$219/(1+$B94)^$O$71:$X$71)+(Calc!$O$215*(1+D$92)*(1-D$92/$B94)/($B94-D$92))/(1+$B94)^$X$71+'Sources &amp; Checks'!$B$6-'Sources &amp; Checks'!$B$7)/'Sources &amp; Checks'!$B$9</f>
        <v>32.64596318851</v>
      </c>
      <c r="F94" s="80" t="n">
        <f aca="false">(SUMPRODUCT(Calc!$F$238:$O$238/(1+$B94)^$O$71:$X$71)+(Calc!$O$234*(1+F$92)*(1-F$92/$B94)/($B94-F$92))/(1+$B94)^$X$71+'Sources &amp; Checks'!$B$6-'Sources &amp; Checks'!$B$7)/'Sources &amp; Checks'!$B$9</f>
        <v>33.3541944800405</v>
      </c>
      <c r="H94" s="80" t="n">
        <f aca="false">(SUMPRODUCT(Calc!$F$257:$O$257/(1+$B94)^$O$71:$X$71)+(Calc!$O$253*(1+H$92)*(1-H$92/$B94)/($B94-H$92))/(1+$B94)^$X$71+'Sources &amp; Checks'!$B$6-'Sources &amp; Checks'!$B$7)/'Sources &amp; Checks'!$B$9</f>
        <v>34.0795347262248</v>
      </c>
      <c r="J94" s="80" t="n">
        <f aca="false">(SUMPRODUCT(Calc!$F$276:$O$276/(1+$B94)^$O$71:$X$71)+(Calc!$O$272*(1+J$92)*(1-J$92/$B94)/($B94-J$92))/(1+$B94)^$X$71+'Sources &amp; Checks'!$B$6-'Sources &amp; Checks'!$B$7)/'Sources &amp; Checks'!$B$9</f>
        <v>34.8223511901204</v>
      </c>
      <c r="L94" s="80" t="n">
        <f aca="false">(SUMPRODUCT(Calc!$F$295:$O$295/(1+$B94)^$O$71:$X$71)+(Calc!$O$291*(1+L$92)*(1-L$92/$B94)/($B94-L$92))/(1+$B94)^$X$71+'Sources &amp; Checks'!$B$6-'Sources &amp; Checks'!$B$7)/'Sources &amp; Checks'!$B$9</f>
        <v>35.5830178371213</v>
      </c>
    </row>
    <row r="95" customFormat="false" ht="15" hidden="false" customHeight="true" outlineLevel="0" collapsed="false">
      <c r="B95" s="79" t="n">
        <v>0.085</v>
      </c>
      <c r="D95" s="80" t="n">
        <f aca="false">(SUMPRODUCT(Calc!$F$219:$O$219/(1+$B95)^$O$71:$X$71)+(Calc!$O$215*(1+D$92)*(1-D$92/$B95)/($B95-D$92))/(1+$B95)^$X$71+'Sources &amp; Checks'!$B$6-'Sources &amp; Checks'!$B$7)/'Sources &amp; Checks'!$B$9</f>
        <v>30.4572401810479</v>
      </c>
      <c r="F95" s="80" t="n">
        <f aca="false">(SUMPRODUCT(Calc!$F$238:$O$238/(1+$B95)^$O$71:$X$71)+(Calc!$O$234*(1+F$92)*(1-F$92/$B95)/($B95-F$92))/(1+$B95)^$X$71+'Sources &amp; Checks'!$B$6-'Sources &amp; Checks'!$B$7)/'Sources &amp; Checks'!$B$9</f>
        <v>31.1037334341799</v>
      </c>
      <c r="H95" s="80" t="n">
        <f aca="false">(SUMPRODUCT(Calc!$F$257:$O$257/(1+$B95)^$O$71:$X$71)+(Calc!$O$253*(1+H$92)*(1-H$92/$B95)/($B95-H$92))/(1+$B95)^$X$71+'Sources &amp; Checks'!$B$6-'Sources &amp; Checks'!$B$7)/'Sources &amp; Checks'!$B$9</f>
        <v>31.7657736273645</v>
      </c>
      <c r="J95" s="80" t="n">
        <f aca="false">(SUMPRODUCT(Calc!$F$276:$O$276/(1+$B95)^$O$71:$X$71)+(Calc!$O$272*(1+J$92)*(1-J$92/$B95)/($B95-J$92))/(1+$B95)^$X$71+'Sources &amp; Checks'!$B$6-'Sources &amp; Checks'!$B$7)/'Sources &amp; Checks'!$B$9</f>
        <v>32.4436938806466</v>
      </c>
      <c r="L95" s="80" t="n">
        <f aca="false">(SUMPRODUCT(Calc!$F$295:$O$295/(1+$B95)^$O$71:$X$71)+(Calc!$O$291*(1+L$92)*(1-L$92/$B95)/($B95-L$92))/(1+$B95)^$X$71+'Sources &amp; Checks'!$B$6-'Sources &amp; Checks'!$B$7)/'Sources &amp; Checks'!$B$9</f>
        <v>33.1378333874326</v>
      </c>
    </row>
    <row r="96" customFormat="false" ht="15" hidden="false" customHeight="true" outlineLevel="0" collapsed="false">
      <c r="B96" s="81" t="n">
        <f aca="false">WACC!F22</f>
        <v>0.0858338239797238</v>
      </c>
      <c r="D96" s="80" t="n">
        <f aca="false">(SUMPRODUCT(Calc!$F$219:$O$219/(1+$B96)^$O$71:$X$71)+(Calc!$O$215*(1+D$92)*(1-D$92/$B96)/($B96-D$92))/(1+$B96)^$X$71+'Sources &amp; Checks'!$B$6-'Sources &amp; Checks'!$B$7)/'Sources &amp; Checks'!$B$9</f>
        <v>30.1186866723368</v>
      </c>
      <c r="F96" s="80" t="n">
        <f aca="false">(SUMPRODUCT(Calc!$F$238:$O$238/(1+$B96)^$O$71:$X$71)+(Calc!$O$234*(1+F$92)*(1-F$92/$B96)/($B96-F$92))/(1+$B96)^$X$71+'Sources &amp; Checks'!$B$6-'Sources &amp; Checks'!$B$7)/'Sources &amp; Checks'!$B$9</f>
        <v>30.7556596366465</v>
      </c>
      <c r="H96" s="80" t="n">
        <f aca="false">(SUMPRODUCT(Calc!$F$257:$O$257/(1+$B96)^$O$71:$X$71)+(Calc!$O$253*(1+H$92)*(1-H$92/$B96)/($B96-H$92))/(1+$B96)^$X$71+'Sources &amp; Checks'!$B$6-'Sources &amp; Checks'!$B$7)/'Sources &amp; Checks'!$B$9</f>
        <v>31.4079389359073</v>
      </c>
      <c r="J96" s="80" t="n">
        <f aca="false">(SUMPRODUCT(Calc!$F$276:$O$276/(1+$B96)^$O$71:$X$71)+(Calc!$O$272*(1+J$92)*(1-J$92/$B96)/($B96-J$92))/(1+$B96)^$X$71+'Sources &amp; Checks'!$B$6-'Sources &amp; Checks'!$B$7)/'Sources &amp; Checks'!$B$9</f>
        <v>32.0758524337393</v>
      </c>
      <c r="L96" s="80" t="n">
        <f aca="false">(SUMPRODUCT(Calc!$F$295:$O$295/(1+$B96)^$O$71:$X$71)+(Calc!$O$291*(1+L$92)*(1-L$92/$B96)/($B96-L$92))/(1+$B96)^$X$71+'Sources &amp; Checks'!$B$6-'Sources &amp; Checks'!$B$7)/'Sources &amp; Checks'!$B$9</f>
        <v>32.7597339703212</v>
      </c>
    </row>
    <row r="97" customFormat="false" ht="15" hidden="false" customHeight="true" outlineLevel="0" collapsed="false">
      <c r="B97" s="79" t="n">
        <v>0.09</v>
      </c>
      <c r="D97" s="80" t="n">
        <f aca="false">(SUMPRODUCT(Calc!$F$219:$O$219/(1+$B97)^$O$71:$X$71)+(Calc!$O$215*(1+D$92)*(1-D$92/$B97)/($B97-D$92))/(1+$B97)^$X$71+'Sources &amp; Checks'!$B$6-'Sources &amp; Checks'!$B$7)/'Sources &amp; Checks'!$B$9</f>
        <v>28.5275808903191</v>
      </c>
      <c r="F97" s="80" t="n">
        <f aca="false">(SUMPRODUCT(Calc!$F$238:$O$238/(1+$B97)^$O$71:$X$71)+(Calc!$O$234*(1+F$92)*(1-F$92/$B97)/($B97-F$92))/(1+$B97)^$X$71+'Sources &amp; Checks'!$B$6-'Sources &amp; Checks'!$B$7)/'Sources &amp; Checks'!$B$9</f>
        <v>29.11992850909</v>
      </c>
      <c r="H97" s="80" t="n">
        <f aca="false">(SUMPRODUCT(Calc!$F$257:$O$257/(1+$B97)^$O$71:$X$71)+(Calc!$O$253*(1+H$92)*(1-H$92/$B97)/($B97-H$92))/(1+$B97)^$X$71+'Sources &amp; Checks'!$B$6-'Sources &amp; Checks'!$B$7)/'Sources &amp; Checks'!$B$9</f>
        <v>29.7264557041483</v>
      </c>
      <c r="J97" s="80" t="n">
        <f aca="false">(SUMPRODUCT(Calc!$F$276:$O$276/(1+$B97)^$O$71:$X$71)+(Calc!$O$272*(1+J$92)*(1-J$92/$B97)/($B97-J$92))/(1+$B97)^$X$71+'Sources &amp; Checks'!$B$6-'Sources &amp; Checks'!$B$7)/'Sources &amp; Checks'!$B$9</f>
        <v>30.3474657342544</v>
      </c>
      <c r="L97" s="80" t="n">
        <f aca="false">(SUMPRODUCT(Calc!$F$295:$O$295/(1+$B97)^$O$71:$X$71)+(Calc!$O$291*(1+L$92)*(1-L$92/$B97)/($B97-L$92))/(1+$B97)^$X$71+'Sources &amp; Checks'!$B$6-'Sources &amp; Checks'!$B$7)/'Sources &amp; Checks'!$B$9</f>
        <v>30.9832673817196</v>
      </c>
    </row>
    <row r="98" customFormat="false" ht="15" hidden="false" customHeight="true" outlineLevel="0" collapsed="false">
      <c r="B98" s="79" t="n">
        <v>0.095</v>
      </c>
      <c r="D98" s="80" t="n">
        <f aca="false">(SUMPRODUCT(Calc!$F$219:$O$219/(1+$B98)^$O$71:$X$71)+(Calc!$O$215*(1+D$92)*(1-D$92/$B98)/($B98-D$92))/(1+$B98)^$X$71+'Sources &amp; Checks'!$B$6-'Sources &amp; Checks'!$B$7)/'Sources &amp; Checks'!$B$9</f>
        <v>26.8153815746558</v>
      </c>
      <c r="F98" s="80" t="n">
        <f aca="false">(SUMPRODUCT(Calc!$F$238:$O$238/(1+$B98)^$O$71:$X$71)+(Calc!$O$234*(1+F$92)*(1-F$92/$B98)/($B98-F$92))/(1+$B98)^$X$71+'Sources &amp; Checks'!$B$6-'Sources &amp; Checks'!$B$7)/'Sources &amp; Checks'!$B$9</f>
        <v>27.3599463451583</v>
      </c>
      <c r="H98" s="80" t="n">
        <f aca="false">(SUMPRODUCT(Calc!$F$257:$O$257/(1+$B98)^$O$71:$X$71)+(Calc!$O$253*(1+H$92)*(1-H$92/$B98)/($B98-H$92))/(1+$B98)^$X$71+'Sources &amp; Checks'!$B$6-'Sources &amp; Checks'!$B$7)/'Sources &amp; Checks'!$B$9</f>
        <v>27.9174863411745</v>
      </c>
      <c r="J98" s="80" t="n">
        <f aca="false">(SUMPRODUCT(Calc!$F$276:$O$276/(1+$B98)^$O$71:$X$71)+(Calc!$O$272*(1+J$92)*(1-J$92/$B98)/($B98-J$92))/(1+$B98)^$X$71+'Sources &amp; Checks'!$B$6-'Sources &amp; Checks'!$B$7)/'Sources &amp; Checks'!$B$9</f>
        <v>28.488278544632</v>
      </c>
      <c r="L98" s="80" t="n">
        <f aca="false">(SUMPRODUCT(Calc!$F$295:$O$295/(1+$B98)^$O$71:$X$71)+(Calc!$O$291*(1+L$92)*(1-L$92/$B98)/($B98-L$92))/(1+$B98)^$X$71+'Sources &amp; Checks'!$B$6-'Sources &amp; Checks'!$B$7)/'Sources &amp; Checks'!$B$9</f>
        <v>29.0726049774556</v>
      </c>
    </row>
    <row r="99" customFormat="false" ht="15" hidden="false" customHeight="true" outlineLevel="0" collapsed="false">
      <c r="B99" s="79" t="n">
        <v>0.1</v>
      </c>
      <c r="D99" s="80" t="n">
        <f aca="false">(SUMPRODUCT(Calc!$F$219:$O$219/(1+$B99)^$O$71:$X$71)+(Calc!$O$215*(1+D$92)*(1-D$92/$B99)/($B99-D$92))/(1+$B99)^$X$71+'Sources &amp; Checks'!$B$6-'Sources &amp; Checks'!$B$7)/'Sources &amp; Checks'!$B$9</f>
        <v>25.287393138331</v>
      </c>
      <c r="F99" s="80" t="n">
        <f aca="false">(SUMPRODUCT(Calc!$F$238:$O$238/(1+$B99)^$O$71:$X$71)+(Calc!$O$234*(1+F$92)*(1-F$92/$B99)/($B99-F$92))/(1+$B99)^$X$71+'Sources &amp; Checks'!$B$6-'Sources &amp; Checks'!$B$7)/'Sources &amp; Checks'!$B$9</f>
        <v>25.7895556003121</v>
      </c>
      <c r="H99" s="80" t="n">
        <f aca="false">(SUMPRODUCT(Calc!$F$257:$O$257/(1+$B99)^$O$71:$X$71)+(Calc!$O$253*(1+H$92)*(1-H$92/$B99)/($B99-H$92))/(1+$B99)^$X$71+'Sources &amp; Checks'!$B$6-'Sources &amp; Checks'!$B$7)/'Sources &amp; Checks'!$B$9</f>
        <v>26.3036266825938</v>
      </c>
      <c r="J99" s="80" t="n">
        <f aca="false">(SUMPRODUCT(Calc!$F$276:$O$276/(1+$B99)^$O$71:$X$71)+(Calc!$O$272*(1+J$92)*(1-J$92/$B99)/($B99-J$92))/(1+$B99)^$X$71+'Sources &amp; Checks'!$B$6-'Sources &amp; Checks'!$B$7)/'Sources &amp; Checks'!$B$9</f>
        <v>26.8298601179179</v>
      </c>
      <c r="L99" s="80" t="n">
        <f aca="false">(SUMPRODUCT(Calc!$F$295:$O$295/(1+$B99)^$O$71:$X$71)+(Calc!$O$291*(1+L$92)*(1-L$92/$B99)/($B99-L$92))/(1+$B99)^$X$71+'Sources &amp; Checks'!$B$6-'Sources &amp; Checks'!$B$7)/'Sources &amp; Checks'!$B$9</f>
        <v>27.3685142514194</v>
      </c>
    </row>
    <row r="101" customFormat="false" ht="15" hidden="false" customHeight="true" outlineLevel="0" collapsed="false">
      <c r="B101" s="82" t="str">
        <f aca="false">"⬛ = base case (WACC "&amp;TEXT(WACC!$F$22,"0.00%")&amp;", TGR "&amp;TEXT(DCF!$L$17,"0.0%")&amp;"). Each TGR column uses its own growth path, fading to that rate by FY35. Current price: €"&amp;TEXT('Sources &amp; Checks'!$B$5,"0.00")&amp;"."</f>
        <v>⬛ = base case (WACC 8.58%, TGR 1.5%). Each TGR column uses its own growth path, fading to that rate by FY35. Current price: €26.19.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4"/>
    <col collapsed="false" customWidth="true" hidden="false" outlineLevel="0" max="3" min="3" style="1" width="17"/>
    <col collapsed="false" customWidth="true" hidden="false" outlineLevel="0" max="5" min="4" style="1" width="15"/>
    <col collapsed="false" customWidth="true" hidden="false" outlineLevel="0" max="6" min="6" style="1" width="12"/>
    <col collapsed="false" customWidth="true" hidden="false" outlineLevel="0" max="7" min="7" style="1" width="3"/>
  </cols>
  <sheetData>
    <row r="1" customFormat="false" ht="15" hidden="false" customHeight="true" outlineLevel="0" collapsed="false">
      <c r="B1" s="83" t="s">
        <v>68</v>
      </c>
    </row>
    <row r="2" customFormat="false" ht="15" hidden="false" customHeight="true" outlineLevel="0" collapsed="false">
      <c r="B2" s="84" t="s">
        <v>69</v>
      </c>
    </row>
    <row r="4" customFormat="false" ht="15" hidden="false" customHeight="true" outlineLevel="0" collapsed="false">
      <c r="B4" s="85" t="s">
        <v>70</v>
      </c>
      <c r="C4" s="85"/>
      <c r="D4" s="85"/>
      <c r="E4" s="85"/>
      <c r="F4" s="85"/>
    </row>
    <row r="5" customFormat="false" ht="15" hidden="false" customHeight="true" outlineLevel="0" collapsed="false">
      <c r="B5" s="86" t="s">
        <v>71</v>
      </c>
      <c r="C5" s="87" t="s">
        <v>72</v>
      </c>
      <c r="D5" s="88" t="s">
        <v>73</v>
      </c>
      <c r="E5" s="88"/>
      <c r="F5" s="88"/>
    </row>
    <row r="6" customFormat="false" ht="15" hidden="false" customHeight="true" outlineLevel="0" collapsed="false">
      <c r="B6" s="89" t="s">
        <v>74</v>
      </c>
      <c r="C6" s="90" t="s">
        <v>75</v>
      </c>
      <c r="D6" s="90" t="s">
        <v>76</v>
      </c>
    </row>
    <row r="7" customFormat="false" ht="15" hidden="false" customHeight="true" outlineLevel="0" collapsed="false">
      <c r="B7" s="89" t="s">
        <v>77</v>
      </c>
      <c r="C7" s="90" t="s">
        <v>78</v>
      </c>
      <c r="D7" s="90" t="s">
        <v>79</v>
      </c>
    </row>
    <row r="8" customFormat="false" ht="15" hidden="false" customHeight="true" outlineLevel="0" collapsed="false">
      <c r="B8" s="89" t="s">
        <v>80</v>
      </c>
      <c r="C8" s="90" t="s">
        <v>81</v>
      </c>
      <c r="D8" s="90" t="s">
        <v>82</v>
      </c>
    </row>
    <row r="10" customFormat="false" ht="15" hidden="false" customHeight="true" outlineLevel="0" collapsed="false">
      <c r="B10" s="85" t="s">
        <v>83</v>
      </c>
      <c r="C10" s="85"/>
      <c r="D10" s="85"/>
      <c r="E10" s="85"/>
      <c r="F10" s="85"/>
    </row>
    <row r="11" customFormat="false" ht="15" hidden="false" customHeight="true" outlineLevel="0" collapsed="false">
      <c r="B11" s="86"/>
      <c r="C11" s="87" t="s">
        <v>84</v>
      </c>
      <c r="D11" s="87" t="s">
        <v>85</v>
      </c>
      <c r="E11" s="87" t="s">
        <v>71</v>
      </c>
      <c r="F11" s="87"/>
    </row>
    <row r="12" customFormat="false" ht="15" hidden="false" customHeight="true" outlineLevel="0" collapsed="false">
      <c r="B12" s="90" t="s">
        <v>86</v>
      </c>
      <c r="C12" s="91" t="n">
        <f aca="false">WACC!$F$12</f>
        <v>1.01</v>
      </c>
      <c r="D12" s="91" t="n">
        <f aca="false">WACC!$F$14</f>
        <v>1.00666666666667</v>
      </c>
      <c r="E12" s="91" t="n">
        <f aca="false">D12-C12</f>
        <v>-0.00333333333333341</v>
      </c>
    </row>
    <row r="13" customFormat="false" ht="15" hidden="false" customHeight="true" outlineLevel="0" collapsed="false">
      <c r="B13" s="90" t="s">
        <v>87</v>
      </c>
      <c r="C13" s="92" t="n">
        <f aca="false">Calc!$C$13</f>
        <v>0.089243</v>
      </c>
      <c r="D13" s="92" t="n">
        <f aca="false">WACC!$F$10</f>
        <v>0.089043</v>
      </c>
      <c r="E13" s="93" t="n">
        <f aca="false">D13-C13</f>
        <v>-0.000200000000000006</v>
      </c>
    </row>
    <row r="14" customFormat="false" ht="15" hidden="false" customHeight="true" outlineLevel="0" collapsed="false">
      <c r="B14" s="90" t="s">
        <v>21</v>
      </c>
      <c r="C14" s="92" t="n">
        <f aca="false">Calc!$C$14</f>
        <v>0.0860234789737754</v>
      </c>
      <c r="D14" s="92" t="n">
        <f aca="false">WACC!$F$22</f>
        <v>0.0858338239797238</v>
      </c>
      <c r="E14" s="93" t="n">
        <f aca="false">D14-C14</f>
        <v>-0.00018965499405163</v>
      </c>
    </row>
    <row r="15" customFormat="false" ht="15" hidden="false" customHeight="true" outlineLevel="0" collapsed="false">
      <c r="B15" s="90" t="s">
        <v>88</v>
      </c>
      <c r="C15" s="94" t="n">
        <f aca="false">Calc!$F$21</f>
        <v>0.0909</v>
      </c>
      <c r="D15" s="94" t="n">
        <f aca="false">DCF!$O$40</f>
        <v>0.0909</v>
      </c>
      <c r="E15" s="93" t="n">
        <f aca="false">D15-C15</f>
        <v>0</v>
      </c>
    </row>
    <row r="16" customFormat="false" ht="15" hidden="false" customHeight="true" outlineLevel="0" collapsed="false">
      <c r="B16" s="90" t="s">
        <v>89</v>
      </c>
      <c r="C16" s="94" t="n">
        <f aca="false">Calc!$O$21</f>
        <v>0.0909</v>
      </c>
      <c r="D16" s="94" t="n">
        <f aca="false">DCF!$X$40</f>
        <v>0.015</v>
      </c>
      <c r="E16" s="93" t="n">
        <f aca="false">D16-C16</f>
        <v>-0.0759</v>
      </c>
    </row>
    <row r="17" customFormat="false" ht="15" hidden="false" customHeight="true" outlineLevel="0" collapsed="false">
      <c r="B17" s="90" t="s">
        <v>90</v>
      </c>
      <c r="C17" s="95" t="n">
        <f aca="false">Calc!$O$23</f>
        <v>5160.03420926302</v>
      </c>
      <c r="D17" s="95" t="n">
        <f aca="false">DCF!$X$54</f>
        <v>3611.86012830646</v>
      </c>
      <c r="E17" s="95" t="n">
        <f aca="false">D17-C17</f>
        <v>-1548.17408095656</v>
      </c>
    </row>
    <row r="18" customFormat="false" ht="15" hidden="false" customHeight="true" outlineLevel="0" collapsed="false">
      <c r="B18" s="90" t="s">
        <v>91</v>
      </c>
      <c r="C18" s="95" t="n">
        <f aca="false">Calc!$O$27</f>
        <v>2709.53402987369</v>
      </c>
      <c r="D18" s="95" t="n">
        <f aca="false">DCF!$X$66</f>
        <v>1896.58779998439</v>
      </c>
      <c r="E18" s="95" t="n">
        <f aca="false">D18-C18</f>
        <v>-812.946229889307</v>
      </c>
    </row>
    <row r="19" customFormat="false" ht="15" hidden="false" customHeight="true" outlineLevel="0" collapsed="false">
      <c r="B19" s="90" t="s">
        <v>92</v>
      </c>
      <c r="C19" s="95" t="n">
        <f aca="false">Calc!$P$27</f>
        <v>2750.1770403218</v>
      </c>
      <c r="D19" s="95" t="n">
        <f aca="false">DCF!$Y$66</f>
        <v>3025.37485219933</v>
      </c>
      <c r="E19" s="95" t="n">
        <f aca="false">D19-C19</f>
        <v>275.197811877533</v>
      </c>
    </row>
    <row r="20" customFormat="false" ht="15" hidden="false" customHeight="true" outlineLevel="0" collapsed="false">
      <c r="B20" s="90" t="s">
        <v>93</v>
      </c>
      <c r="C20" s="96" t="n">
        <f aca="false">Calc!$C$34</f>
        <v>0.474899987095109</v>
      </c>
      <c r="D20" s="96" t="n">
        <f aca="false">DCF!$Y$64</f>
        <v>0.174756282599543</v>
      </c>
      <c r="E20" s="93" t="n">
        <f aca="false">D20-C20</f>
        <v>-0.300143704495567</v>
      </c>
    </row>
    <row r="21" customFormat="false" ht="15" hidden="false" customHeight="true" outlineLevel="0" collapsed="false">
      <c r="B21" s="90" t="s">
        <v>94</v>
      </c>
      <c r="C21" s="95" t="n">
        <f aca="false">Calc!$C$29</f>
        <v>38722.0828951123</v>
      </c>
      <c r="D21" s="95" t="n">
        <f aca="false">DCF!$X$73</f>
        <v>42710.8785354486</v>
      </c>
      <c r="E21" s="95" t="n">
        <f aca="false">D21-C21</f>
        <v>3988.79564033631</v>
      </c>
    </row>
    <row r="22" customFormat="false" ht="15" hidden="false" customHeight="true" outlineLevel="0" collapsed="false">
      <c r="B22" s="90" t="s">
        <v>95</v>
      </c>
      <c r="C22" s="95" t="n">
        <f aca="false">Calc!$C$30</f>
        <v>19091.346197994</v>
      </c>
      <c r="D22" s="95" t="n">
        <f aca="false">DCF!$X$74</f>
        <v>21089.5021367536</v>
      </c>
      <c r="E22" s="95" t="n">
        <f aca="false">D22-C22</f>
        <v>1998.15593875969</v>
      </c>
    </row>
    <row r="23" customFormat="false" ht="15" hidden="false" customHeight="true" outlineLevel="0" collapsed="false">
      <c r="B23" s="90" t="s">
        <v>96</v>
      </c>
      <c r="C23" s="95" t="n">
        <f aca="false">Calc!$C$28</f>
        <v>13045.07390491</v>
      </c>
      <c r="D23" s="95" t="n">
        <f aca="false">SUM(DCF!$O$67:$X$67)</f>
        <v>11516.4871200723</v>
      </c>
      <c r="E23" s="95" t="n">
        <f aca="false">D23-C23</f>
        <v>-1528.58678483771</v>
      </c>
    </row>
    <row r="24" customFormat="false" ht="15" hidden="false" customHeight="true" outlineLevel="0" collapsed="false">
      <c r="B24" s="90" t="s">
        <v>97</v>
      </c>
      <c r="C24" s="95" t="n">
        <f aca="false">Calc!$C$31</f>
        <v>32136.420102904</v>
      </c>
      <c r="D24" s="95" t="n">
        <f aca="false">DCF!$S$75</f>
        <v>32605.9892568259</v>
      </c>
      <c r="E24" s="95" t="n">
        <f aca="false">D24-C24</f>
        <v>469.569153921981</v>
      </c>
    </row>
    <row r="25" customFormat="false" ht="15" hidden="false" customHeight="true" outlineLevel="0" collapsed="false">
      <c r="B25" s="90" t="s">
        <v>98</v>
      </c>
      <c r="C25" s="95" t="n">
        <f aca="false">Calc!$C$32</f>
        <v>33036.420102904</v>
      </c>
      <c r="D25" s="95" t="n">
        <f aca="false">DCF!$S$78</f>
        <v>33505.9892568259</v>
      </c>
      <c r="E25" s="95" t="n">
        <f aca="false">D25-C25</f>
        <v>469.569153921977</v>
      </c>
    </row>
    <row r="26" customFormat="false" ht="15" hidden="false" customHeight="true" outlineLevel="0" collapsed="false">
      <c r="B26" s="89" t="s">
        <v>99</v>
      </c>
      <c r="C26" s="97" t="n">
        <f aca="false">Calc!$C$33</f>
        <v>30.9677728748631</v>
      </c>
      <c r="D26" s="97" t="n">
        <f aca="false">DCF!$S$81</f>
        <v>31.4079389359073</v>
      </c>
      <c r="E26" s="97" t="n">
        <f aca="false">D26-C26</f>
        <v>0.440166061044224</v>
      </c>
    </row>
    <row r="27" customFormat="false" ht="15" hidden="false" customHeight="true" outlineLevel="0" collapsed="false">
      <c r="B27" s="90" t="s">
        <v>100</v>
      </c>
      <c r="C27" s="96" t="n">
        <f aca="false">C26/'Sources &amp; Checks'!$B$5-1</f>
        <v>0.182427372083356</v>
      </c>
      <c r="D27" s="96" t="n">
        <f aca="false">DCF!$I$7</f>
        <v>0.199234018171337</v>
      </c>
      <c r="E27" s="93" t="n">
        <f aca="false">D27-C27</f>
        <v>0.016806646087981</v>
      </c>
    </row>
    <row r="28" customFormat="false" ht="15" hidden="false" customHeight="true" outlineLevel="0" collapsed="false">
      <c r="B28" s="90" t="s">
        <v>101</v>
      </c>
      <c r="C28" s="97" t="n">
        <f aca="false">Calc!$C$186</f>
        <v>20.6438563144044</v>
      </c>
      <c r="D28" s="97" t="n">
        <f aca="false">DCF!$L$87</f>
        <v>23.6738362380063</v>
      </c>
      <c r="E28" s="97" t="n">
        <f aca="false">D28-C28</f>
        <v>3.02997992360195</v>
      </c>
    </row>
    <row r="29" customFormat="false" ht="15" hidden="false" customHeight="true" outlineLevel="0" collapsed="false">
      <c r="B29" s="90" t="s">
        <v>102</v>
      </c>
      <c r="C29" s="97" t="n">
        <f aca="false">Calc!$C$205</f>
        <v>45.3628089830702</v>
      </c>
      <c r="D29" s="97" t="n">
        <f aca="false">DCF!$L$89</f>
        <v>40.0421864094923</v>
      </c>
      <c r="E29" s="97" t="n">
        <f aca="false">D29-C29</f>
        <v>-5.32062257357797</v>
      </c>
    </row>
    <row r="31" customFormat="false" ht="15" hidden="false" customHeight="true" outlineLevel="0" collapsed="false">
      <c r="B31" s="85" t="s">
        <v>103</v>
      </c>
      <c r="C31" s="85"/>
      <c r="D31" s="85"/>
      <c r="E31" s="85"/>
      <c r="F31" s="85"/>
    </row>
    <row r="32" customFormat="false" ht="15" hidden="false" customHeight="true" outlineLevel="0" collapsed="false">
      <c r="B32" s="86" t="s">
        <v>104</v>
      </c>
      <c r="C32" s="87" t="s">
        <v>105</v>
      </c>
      <c r="D32" s="87" t="s">
        <v>106</v>
      </c>
      <c r="E32" s="87" t="s">
        <v>107</v>
      </c>
      <c r="F32" s="87" t="s">
        <v>108</v>
      </c>
    </row>
    <row r="33" customFormat="false" ht="15" hidden="false" customHeight="true" outlineLevel="0" collapsed="false">
      <c r="B33" s="90" t="s">
        <v>109</v>
      </c>
      <c r="C33" s="97" t="n">
        <f aca="false">Calc!$C$33</f>
        <v>30.9677728748631</v>
      </c>
      <c r="D33" s="98" t="n">
        <v>30.97</v>
      </c>
      <c r="E33" s="99" t="n">
        <f aca="false">C33-D33</f>
        <v>-0.00222712513689061</v>
      </c>
      <c r="F33" s="100" t="str">
        <f aca="false">IF(ABS(E33)&lt;=$C$38,"OK","CHECK")</f>
        <v>OK</v>
      </c>
    </row>
    <row r="34" customFormat="false" ht="15" hidden="false" customHeight="true" outlineLevel="0" collapsed="false">
      <c r="B34" s="90" t="s">
        <v>110</v>
      </c>
      <c r="C34" s="97" t="n">
        <f aca="false">Calc!$C$52</f>
        <v>31.0514683562557</v>
      </c>
      <c r="D34" s="98" t="n">
        <v>31.1</v>
      </c>
      <c r="E34" s="99" t="n">
        <f aca="false">C34-D34</f>
        <v>-0.0485316437443224</v>
      </c>
      <c r="F34" s="100" t="str">
        <f aca="false">IF(ABS(E34)&lt;=$C$38,"OK","CHECK")</f>
        <v>OK</v>
      </c>
    </row>
    <row r="35" customFormat="false" ht="15" hidden="false" customHeight="true" outlineLevel="0" collapsed="false">
      <c r="B35" s="90" t="s">
        <v>111</v>
      </c>
      <c r="C35" s="97" t="n">
        <f aca="false">Calc!$C$71</f>
        <v>41.2100821508055</v>
      </c>
      <c r="D35" s="98" t="n">
        <v>41.2</v>
      </c>
      <c r="E35" s="99" t="n">
        <f aca="false">C35-D35</f>
        <v>0.0100821508055233</v>
      </c>
      <c r="F35" s="100" t="str">
        <f aca="false">IF(ABS(E35)&lt;=$C$38,"OK","CHECK")</f>
        <v>OK</v>
      </c>
    </row>
    <row r="36" customFormat="false" ht="15" hidden="false" customHeight="true" outlineLevel="0" collapsed="false">
      <c r="B36" s="90" t="s">
        <v>112</v>
      </c>
      <c r="C36" s="97" t="n">
        <f aca="false">Calc!$C$90</f>
        <v>41.3233968950614</v>
      </c>
      <c r="D36" s="98" t="n">
        <v>41.4</v>
      </c>
      <c r="E36" s="99" t="n">
        <f aca="false">C36-D36</f>
        <v>-0.0766031049386484</v>
      </c>
      <c r="F36" s="100" t="str">
        <f aca="false">IF(ABS(E36)&lt;=$C$38,"OK","CHECK")</f>
        <v>OK</v>
      </c>
    </row>
    <row r="37" customFormat="false" ht="15" hidden="false" customHeight="true" outlineLevel="0" collapsed="false">
      <c r="B37" s="89" t="s">
        <v>113</v>
      </c>
      <c r="C37" s="97" t="n">
        <f aca="false">Calc!$C$109</f>
        <v>31.4079389359073</v>
      </c>
      <c r="D37" s="98" t="n">
        <v>31.4</v>
      </c>
      <c r="E37" s="99" t="n">
        <f aca="false">C37-D37</f>
        <v>0.00793893590733319</v>
      </c>
      <c r="F37" s="100" t="str">
        <f aca="false">IF(ABS(E37)&lt;=$C$38,"OK","CHECK")</f>
        <v>OK</v>
      </c>
    </row>
    <row r="38" customFormat="false" ht="15" hidden="false" customHeight="true" outlineLevel="0" collapsed="false">
      <c r="B38" s="90" t="s">
        <v>114</v>
      </c>
      <c r="C38" s="101" t="n">
        <v>0.3</v>
      </c>
    </row>
    <row r="40" customFormat="false" ht="15" hidden="false" customHeight="true" outlineLevel="0" collapsed="false">
      <c r="B40" s="85" t="s">
        <v>115</v>
      </c>
      <c r="C40" s="85"/>
      <c r="D40" s="85"/>
      <c r="E40" s="85"/>
      <c r="F40" s="85"/>
    </row>
    <row r="41" customFormat="false" ht="15" hidden="false" customHeight="true" outlineLevel="0" collapsed="false">
      <c r="B41" s="90" t="s">
        <v>116</v>
      </c>
    </row>
    <row r="42" customFormat="false" ht="15" hidden="false" customHeight="true" outlineLevel="0" collapsed="false">
      <c r="B42" s="90" t="s">
        <v>117</v>
      </c>
    </row>
    <row r="43" customFormat="false" ht="15" hidden="false" customHeight="true" outlineLevel="0" collapsed="false">
      <c r="B43" s="90" t="s">
        <v>118</v>
      </c>
    </row>
    <row r="44" customFormat="false" ht="15" hidden="false" customHeight="true" outlineLevel="0" collapsed="false">
      <c r="B44" s="90" t="s">
        <v>119</v>
      </c>
    </row>
  </sheetData>
  <mergeCells count="1">
    <mergeCell ref="D5:F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Z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3.67"/>
    <col collapsed="false" customWidth="true" hidden="false" outlineLevel="0" max="2" min="2" style="1" width="19.83"/>
    <col collapsed="false" customWidth="true" hidden="false" outlineLevel="0" max="3" min="3" style="1" width="28.83"/>
    <col collapsed="false" customWidth="true" hidden="false" outlineLevel="0" max="4" min="4" style="1" width="26"/>
    <col collapsed="false" customWidth="true" hidden="false" outlineLevel="0" max="5" min="5" style="1" width="23.33"/>
    <col collapsed="false" customWidth="true" hidden="false" outlineLevel="0" max="7" min="6" style="1" width="14"/>
    <col collapsed="false" customWidth="true" hidden="false" outlineLevel="0" max="8" min="8" style="1" width="23.16"/>
    <col collapsed="false" customWidth="true" hidden="false" outlineLevel="0" max="24" min="9" style="1" width="14"/>
    <col collapsed="false" customWidth="true" hidden="false" outlineLevel="0" max="25" min="25" style="1" width="20.33"/>
    <col collapsed="false" customWidth="true" hidden="false" outlineLevel="0" max="26" min="26" style="1" width="14"/>
  </cols>
  <sheetData>
    <row r="2" s="2" customFormat="true" ht="21" hidden="false" customHeight="true" outlineLevel="0" collapsed="false">
      <c r="B2" s="102" t="s">
        <v>120</v>
      </c>
    </row>
    <row r="4" customFormat="false" ht="15.75" hidden="false" customHeight="true" outlineLevel="0" collapsed="false"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03" t="s">
        <v>121</v>
      </c>
      <c r="O4" s="103"/>
      <c r="P4" s="103"/>
      <c r="Q4" s="103"/>
      <c r="R4" s="103"/>
      <c r="S4" s="15"/>
      <c r="T4" s="103" t="s">
        <v>122</v>
      </c>
      <c r="U4" s="103"/>
      <c r="V4" s="103"/>
      <c r="W4" s="103"/>
      <c r="X4" s="103"/>
      <c r="Y4" s="104" t="s">
        <v>123</v>
      </c>
      <c r="Z4" s="104"/>
    </row>
    <row r="5" customFormat="false" ht="15.75" hidden="false" customHeight="true" outlineLevel="0" collapsed="false">
      <c r="B5" s="34"/>
      <c r="C5" s="34"/>
      <c r="D5" s="34"/>
      <c r="E5" s="34"/>
      <c r="F5" s="34"/>
      <c r="G5" s="34"/>
      <c r="H5" s="105" t="s">
        <v>124</v>
      </c>
      <c r="I5" s="106"/>
      <c r="J5" s="105" t="s">
        <v>125</v>
      </c>
      <c r="K5" s="106"/>
      <c r="L5" s="105" t="s">
        <v>126</v>
      </c>
      <c r="M5" s="107"/>
      <c r="N5" s="105" t="s">
        <v>127</v>
      </c>
      <c r="O5" s="105" t="s">
        <v>128</v>
      </c>
      <c r="P5" s="106"/>
      <c r="Q5" s="105" t="s">
        <v>129</v>
      </c>
      <c r="R5" s="105" t="s">
        <v>130</v>
      </c>
      <c r="S5" s="106"/>
      <c r="T5" s="105" t="s">
        <v>131</v>
      </c>
      <c r="U5" s="105" t="s">
        <v>132</v>
      </c>
      <c r="V5" s="106"/>
      <c r="W5" s="105" t="s">
        <v>133</v>
      </c>
      <c r="X5" s="105" t="s">
        <v>134</v>
      </c>
      <c r="Y5" s="105" t="s">
        <v>135</v>
      </c>
      <c r="Z5" s="105" t="s">
        <v>136</v>
      </c>
    </row>
    <row r="6" customFormat="false" ht="15" hidden="false" customHeight="true" outlineLevel="0" collapsed="false">
      <c r="B6" s="108" t="s">
        <v>1</v>
      </c>
      <c r="C6" s="106"/>
      <c r="D6" s="109" t="s">
        <v>137</v>
      </c>
      <c r="E6" s="109"/>
      <c r="F6" s="109"/>
      <c r="G6" s="106"/>
      <c r="H6" s="108" t="s">
        <v>138</v>
      </c>
      <c r="I6" s="106"/>
      <c r="J6" s="108" t="s">
        <v>139</v>
      </c>
      <c r="K6" s="106"/>
      <c r="L6" s="108" t="s">
        <v>139</v>
      </c>
      <c r="M6" s="15"/>
      <c r="N6" s="108" t="s">
        <v>140</v>
      </c>
      <c r="O6" s="108" t="s">
        <v>140</v>
      </c>
      <c r="P6" s="106"/>
      <c r="Q6" s="108" t="s">
        <v>140</v>
      </c>
      <c r="R6" s="108" t="s">
        <v>140</v>
      </c>
      <c r="S6" s="15"/>
      <c r="T6" s="108" t="s">
        <v>141</v>
      </c>
      <c r="U6" s="108" t="s">
        <v>141</v>
      </c>
      <c r="V6" s="108" t="s">
        <v>141</v>
      </c>
      <c r="W6" s="108" t="s">
        <v>141</v>
      </c>
      <c r="X6" s="108" t="s">
        <v>141</v>
      </c>
      <c r="Y6" s="108" t="s">
        <v>141</v>
      </c>
      <c r="Z6" s="108" t="s">
        <v>141</v>
      </c>
    </row>
    <row r="7" customFormat="false" ht="15" hidden="false" customHeight="true" outlineLevel="0" collapsed="false">
      <c r="H7" s="110" t="s">
        <v>142</v>
      </c>
      <c r="J7" s="110" t="s">
        <v>143</v>
      </c>
      <c r="L7" s="110" t="s">
        <v>143</v>
      </c>
    </row>
    <row r="8" customFormat="false" ht="15" hidden="false" customHeight="true" outlineLevel="0" collapsed="false">
      <c r="B8" s="111" t="s">
        <v>2</v>
      </c>
      <c r="C8" s="112"/>
      <c r="D8" s="113" t="s">
        <v>144</v>
      </c>
      <c r="E8" s="113"/>
      <c r="F8" s="113"/>
      <c r="G8" s="112"/>
      <c r="H8" s="114" t="n">
        <f aca="false">'Sources &amp; Checks'!$B$5</f>
        <v>26.19</v>
      </c>
      <c r="I8" s="112"/>
      <c r="J8" s="115" t="n">
        <f aca="false">'Sources &amp; Checks'!$B$8*H8</f>
        <v>27499.5</v>
      </c>
      <c r="K8" s="112"/>
      <c r="L8" s="115" t="n">
        <f aca="false">J8-'Sources &amp; Checks'!$B$6+'Sources &amp; Checks'!$B$7</f>
        <v>26599.5</v>
      </c>
      <c r="M8" s="112"/>
      <c r="N8" s="116" t="n">
        <f aca="false">DCF!M21</f>
        <v>0.247661296310045</v>
      </c>
      <c r="O8" s="116" t="n">
        <f aca="false">DCF!N21</f>
        <v>0.0375414689299156</v>
      </c>
      <c r="P8" s="112"/>
      <c r="Q8" s="116" t="n">
        <f aca="false">DCF!M24</f>
        <v>0.15328255403978</v>
      </c>
      <c r="R8" s="116" t="n">
        <f aca="false">DCF!N24</f>
        <v>0.111696598200523</v>
      </c>
      <c r="S8" s="112"/>
      <c r="T8" s="117" t="n">
        <f aca="false">L8/DCF!M22</f>
        <v>8.52493429908339</v>
      </c>
      <c r="U8" s="117" t="n">
        <f aca="false">L8/DCF!N22</f>
        <v>9.59439474823258</v>
      </c>
      <c r="V8" s="112"/>
      <c r="W8" s="118" t="n">
        <f aca="false">L8/DCF!M20</f>
        <v>1.97857004715929</v>
      </c>
      <c r="X8" s="118" t="n">
        <f aca="false">L8/DCF!N20</f>
        <v>1.90697924508012</v>
      </c>
      <c r="Y8" s="119" t="n">
        <f aca="false">L8/DCF!M23</f>
        <v>12.9079924297569</v>
      </c>
      <c r="Z8" s="119" t="n">
        <f aca="false">L8/DCF!N23</f>
        <v>17.0728498074454</v>
      </c>
    </row>
    <row r="9" customFormat="false" ht="15" hidden="false" customHeight="true" outlineLevel="0" collapsed="false">
      <c r="B9" s="120"/>
      <c r="C9" s="120"/>
      <c r="D9" s="120"/>
      <c r="E9" s="120"/>
      <c r="F9" s="120"/>
      <c r="G9" s="120"/>
      <c r="H9" s="121"/>
      <c r="I9" s="120"/>
      <c r="J9" s="122"/>
      <c r="K9" s="120"/>
      <c r="L9" s="122"/>
      <c r="M9" s="120"/>
      <c r="N9" s="123"/>
      <c r="O9" s="123"/>
      <c r="P9" s="120"/>
      <c r="Q9" s="123"/>
      <c r="R9" s="123"/>
      <c r="S9" s="120"/>
      <c r="T9" s="124"/>
      <c r="U9" s="124"/>
      <c r="V9" s="120"/>
      <c r="W9" s="123"/>
      <c r="X9" s="123"/>
    </row>
    <row r="10" customFormat="false" ht="15" hidden="false" customHeight="true" outlineLevel="0" collapsed="false">
      <c r="B10" s="125" t="s">
        <v>145</v>
      </c>
      <c r="C10" s="120"/>
      <c r="D10" s="126" t="s">
        <v>146</v>
      </c>
      <c r="E10" s="126"/>
      <c r="F10" s="126"/>
      <c r="G10" s="120"/>
      <c r="H10" s="127" t="n">
        <v>4.089</v>
      </c>
      <c r="I10" s="120"/>
      <c r="J10" s="128" t="n">
        <v>3287.49</v>
      </c>
      <c r="K10" s="120"/>
      <c r="L10" s="128" t="n">
        <v>2450</v>
      </c>
      <c r="M10" s="120"/>
      <c r="N10" s="129" t="n">
        <v>0.1393</v>
      </c>
      <c r="O10" s="129" t="n">
        <v>0.0856</v>
      </c>
      <c r="P10" s="120"/>
      <c r="Q10" s="129" t="n">
        <v>0.0641314856590396</v>
      </c>
      <c r="R10" s="129" t="n">
        <v>0.0695626360577875</v>
      </c>
      <c r="S10" s="120"/>
      <c r="T10" s="130" t="n">
        <v>1.79224579370885</v>
      </c>
      <c r="U10" s="130" t="n">
        <v>1.69432918395574</v>
      </c>
      <c r="V10" s="120"/>
      <c r="W10" s="131" t="n">
        <v>0.263186163927382</v>
      </c>
      <c r="X10" s="131" t="n">
        <v>0.242430239461706</v>
      </c>
      <c r="Y10" s="132" t="n">
        <v>4.1039</v>
      </c>
      <c r="Z10" s="132" t="n">
        <v>3.485</v>
      </c>
    </row>
    <row r="11" customFormat="false" ht="15" hidden="false" customHeight="true" outlineLevel="0" collapsed="false">
      <c r="B11" s="125" t="s">
        <v>147</v>
      </c>
      <c r="C11" s="120"/>
      <c r="D11" s="126" t="s">
        <v>148</v>
      </c>
      <c r="E11" s="126"/>
      <c r="F11" s="126"/>
      <c r="G11" s="120"/>
      <c r="H11" s="127" t="n">
        <v>9.275</v>
      </c>
      <c r="I11" s="120"/>
      <c r="J11" s="128" t="n">
        <v>1166.6</v>
      </c>
      <c r="K11" s="120"/>
      <c r="L11" s="128" t="n">
        <v>5950.1</v>
      </c>
      <c r="M11" s="120"/>
      <c r="N11" s="129" t="n">
        <v>0.3</v>
      </c>
      <c r="O11" s="129" t="n">
        <v>0.0454</v>
      </c>
      <c r="P11" s="120"/>
      <c r="Q11" s="129" t="n">
        <v>0.086370808678501</v>
      </c>
      <c r="R11" s="129" t="n">
        <v>0.0316037735849057</v>
      </c>
      <c r="S11" s="120"/>
      <c r="T11" s="130" t="n">
        <v>4.9866744887697</v>
      </c>
      <c r="U11" s="130" t="n">
        <v>5.24561403508772</v>
      </c>
      <c r="V11" s="120"/>
      <c r="W11" s="131" t="n">
        <v>1.17358974358974</v>
      </c>
      <c r="X11" s="131" t="n">
        <v>1.12266037735849</v>
      </c>
      <c r="Y11" s="132" t="n">
        <v>13.5878</v>
      </c>
      <c r="Z11" s="132" t="n">
        <v>35.5227</v>
      </c>
    </row>
    <row r="12" customFormat="false" ht="15" hidden="false" customHeight="true" outlineLevel="0" collapsed="false">
      <c r="B12" s="125" t="s">
        <v>149</v>
      </c>
      <c r="C12" s="120"/>
      <c r="D12" s="126" t="s">
        <v>150</v>
      </c>
      <c r="E12" s="126"/>
      <c r="F12" s="126"/>
      <c r="G12" s="120"/>
      <c r="H12" s="127" t="n">
        <v>4.464</v>
      </c>
      <c r="I12" s="120"/>
      <c r="J12" s="128" t="n">
        <v>19080</v>
      </c>
      <c r="K12" s="120"/>
      <c r="L12" s="128" t="n">
        <v>25060</v>
      </c>
      <c r="M12" s="120"/>
      <c r="N12" s="129" t="n">
        <v>0.0898719994567616</v>
      </c>
      <c r="O12" s="129" t="n">
        <v>0.0346728971962618</v>
      </c>
      <c r="P12" s="120"/>
      <c r="Q12" s="129" t="n">
        <v>0.138411214953271</v>
      </c>
      <c r="R12" s="129" t="n">
        <v>0.151266070514558</v>
      </c>
      <c r="S12" s="120"/>
      <c r="T12" s="130" t="n">
        <v>3.68150433377406</v>
      </c>
      <c r="U12" s="130" t="n">
        <v>3.29780234241348</v>
      </c>
      <c r="V12" s="120"/>
      <c r="W12" s="131" t="n">
        <v>0.780685358255452</v>
      </c>
      <c r="X12" s="131" t="n">
        <v>0.754523831030018</v>
      </c>
      <c r="Y12" s="132" t="n">
        <v>5.6403</v>
      </c>
      <c r="Z12" s="132" t="n">
        <v>4.9881</v>
      </c>
    </row>
    <row r="13" customFormat="false" ht="15" hidden="false" customHeight="true" outlineLevel="0" collapsed="false">
      <c r="B13" s="125" t="s">
        <v>151</v>
      </c>
      <c r="C13" s="120"/>
      <c r="D13" s="126" t="s">
        <v>152</v>
      </c>
      <c r="E13" s="126"/>
      <c r="F13" s="126"/>
      <c r="G13" s="120"/>
      <c r="H13" s="127" t="n">
        <v>8.12</v>
      </c>
      <c r="I13" s="120"/>
      <c r="J13" s="128" t="n">
        <v>9740</v>
      </c>
      <c r="K13" s="120"/>
      <c r="L13" s="128" t="n">
        <v>17780</v>
      </c>
      <c r="M13" s="120"/>
      <c r="N13" s="129" t="n">
        <v>0.0603521245979346</v>
      </c>
      <c r="O13" s="129" t="n">
        <v>0.0536441286820468</v>
      </c>
      <c r="P13" s="120"/>
      <c r="Q13" s="129" t="n">
        <v>0.0437721188898646</v>
      </c>
      <c r="R13" s="129" t="n">
        <v>0.0494986993964189</v>
      </c>
      <c r="S13" s="120"/>
      <c r="T13" s="130" t="n">
        <v>4.46509291813159</v>
      </c>
      <c r="U13" s="130" t="n">
        <v>4.10718410718411</v>
      </c>
      <c r="V13" s="120"/>
      <c r="W13" s="131" t="n">
        <v>0.47311141268194</v>
      </c>
      <c r="X13" s="131" t="n">
        <v>0.449023915953229</v>
      </c>
      <c r="Y13" s="132" t="n">
        <v>10.8085</v>
      </c>
      <c r="Z13" s="132" t="n">
        <v>9.0714</v>
      </c>
    </row>
    <row r="14" customFormat="false" ht="15" hidden="false" customHeight="true" outlineLevel="0" collapsed="false">
      <c r="B14" s="125" t="s">
        <v>153</v>
      </c>
      <c r="C14" s="120"/>
      <c r="D14" s="126" t="s">
        <v>154</v>
      </c>
      <c r="E14" s="126"/>
      <c r="F14" s="126"/>
      <c r="G14" s="120"/>
      <c r="H14" s="127" t="n">
        <v>10.09</v>
      </c>
      <c r="I14" s="120"/>
      <c r="J14" s="128" t="n">
        <v>2650</v>
      </c>
      <c r="K14" s="120"/>
      <c r="L14" s="128" t="n">
        <v>3020</v>
      </c>
      <c r="M14" s="120"/>
      <c r="N14" s="129" t="n">
        <v>0.0479696192411472</v>
      </c>
      <c r="O14" s="129" t="n">
        <v>0.0492069042245462</v>
      </c>
      <c r="P14" s="120"/>
      <c r="Q14" s="129" t="n">
        <v>0.051</v>
      </c>
      <c r="R14" s="129" t="n">
        <v>0.061</v>
      </c>
      <c r="S14" s="120"/>
      <c r="T14" s="130" t="n">
        <v>0.711592836946277</v>
      </c>
      <c r="U14" s="130" t="n">
        <v>0.597073942269672</v>
      </c>
      <c r="V14" s="120"/>
      <c r="W14" s="131" t="n">
        <v>0.0959979656060269</v>
      </c>
      <c r="X14" s="131" t="n">
        <v>0.091495743327173</v>
      </c>
      <c r="Y14" s="132" t="n">
        <v>1.8822</v>
      </c>
      <c r="Z14" s="132" t="n">
        <v>1.5</v>
      </c>
    </row>
    <row r="15" customFormat="false" ht="15" hidden="false" customHeight="true" outlineLevel="0" collapsed="false">
      <c r="B15" s="120"/>
      <c r="C15" s="120"/>
      <c r="D15" s="120"/>
      <c r="E15" s="120"/>
      <c r="F15" s="120"/>
      <c r="G15" s="120"/>
      <c r="H15" s="120"/>
      <c r="I15" s="120"/>
      <c r="J15" s="133"/>
      <c r="K15" s="120"/>
      <c r="L15" s="133"/>
      <c r="M15" s="120"/>
      <c r="N15" s="134"/>
      <c r="O15" s="134"/>
      <c r="P15" s="120"/>
      <c r="Q15" s="134"/>
      <c r="R15" s="134"/>
      <c r="S15" s="120"/>
      <c r="T15" s="120"/>
      <c r="U15" s="120"/>
      <c r="V15" s="120"/>
      <c r="W15" s="120"/>
      <c r="X15" s="120"/>
    </row>
    <row r="16" customFormat="false" ht="15" hidden="false" customHeight="true" outlineLevel="0" collapsed="false">
      <c r="B16" s="120"/>
      <c r="C16" s="120"/>
      <c r="D16" s="120"/>
      <c r="E16" s="120"/>
      <c r="F16" s="120"/>
      <c r="G16" s="120"/>
      <c r="H16" s="120"/>
      <c r="I16" s="120"/>
      <c r="J16" s="133"/>
      <c r="K16" s="120"/>
      <c r="L16" s="133"/>
      <c r="M16" s="120"/>
      <c r="N16" s="134"/>
      <c r="O16" s="134"/>
      <c r="P16" s="120"/>
      <c r="Q16" s="134"/>
      <c r="R16" s="134"/>
      <c r="S16" s="120"/>
      <c r="T16" s="120"/>
      <c r="U16" s="120"/>
      <c r="V16" s="120"/>
      <c r="W16" s="120"/>
      <c r="X16" s="120"/>
    </row>
    <row r="17" customFormat="false" ht="15" hidden="false" customHeight="true" outlineLevel="0" collapsed="false">
      <c r="B17" s="120"/>
      <c r="C17" s="120"/>
      <c r="D17" s="120"/>
      <c r="E17" s="120"/>
      <c r="F17" s="120"/>
      <c r="G17" s="120"/>
      <c r="H17" s="120"/>
      <c r="I17" s="120"/>
      <c r="J17" s="133"/>
      <c r="K17" s="120"/>
      <c r="L17" s="133"/>
      <c r="M17" s="120"/>
      <c r="N17" s="134"/>
      <c r="O17" s="134"/>
      <c r="P17" s="120"/>
      <c r="Q17" s="134"/>
      <c r="R17" s="134"/>
      <c r="S17" s="120"/>
      <c r="T17" s="120"/>
      <c r="U17" s="120"/>
      <c r="V17" s="120"/>
      <c r="W17" s="120"/>
      <c r="X17" s="120"/>
    </row>
    <row r="18" customFormat="false" ht="15" hidden="false" customHeight="true" outlineLevel="0" collapsed="false">
      <c r="B18" s="120"/>
      <c r="C18" s="120"/>
      <c r="D18" s="120"/>
      <c r="E18" s="120"/>
      <c r="F18" s="120"/>
      <c r="G18" s="120"/>
      <c r="H18" s="120"/>
      <c r="I18" s="120"/>
      <c r="J18" s="133"/>
      <c r="K18" s="120"/>
      <c r="L18" s="133"/>
      <c r="M18" s="120"/>
      <c r="N18" s="134"/>
      <c r="O18" s="134"/>
      <c r="P18" s="120"/>
      <c r="Q18" s="134"/>
      <c r="R18" s="134"/>
      <c r="S18" s="120"/>
      <c r="T18" s="120"/>
      <c r="U18" s="120"/>
      <c r="V18" s="120"/>
      <c r="W18" s="120"/>
      <c r="X18" s="120"/>
    </row>
    <row r="19" customFormat="false" ht="15" hidden="false" customHeight="true" outlineLevel="0" collapsed="false">
      <c r="N19" s="120"/>
      <c r="O19" s="120"/>
      <c r="Q19" s="120"/>
      <c r="R19" s="120"/>
    </row>
    <row r="20" customFormat="false" ht="15" hidden="false" customHeight="true" outlineLevel="0" collapsed="false">
      <c r="B20" s="135" t="s">
        <v>155</v>
      </c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 t="n">
        <f aca="false">IF(COUNT(N10:N17)=0,"",AVERAGE(N10:N17))</f>
        <v>0.127498748659169</v>
      </c>
      <c r="O20" s="137" t="n">
        <f aca="false">IF(COUNT(O10:O17)=0,"",AVERAGE(O10:O17))</f>
        <v>0.053704786020571</v>
      </c>
      <c r="P20" s="135" t="str">
        <f aca="false">IF(COUNT(P8:P17)=0,"",AVERAGE(P8:P17))</f>
        <v/>
      </c>
      <c r="Q20" s="137" t="n">
        <f aca="false">IF(COUNT(Q10:Q17)=0,"",AVERAGE(Q10:Q17))</f>
        <v>0.0767371256361352</v>
      </c>
      <c r="R20" s="137" t="n">
        <f aca="false">IF(COUNT(R10:R17)=0,"",AVERAGE(R10:R17))</f>
        <v>0.072586235910734</v>
      </c>
      <c r="S20" s="135" t="str">
        <f aca="false">IF(COUNT(S8:S17)=0,"",AVERAGE(S8:S17))</f>
        <v/>
      </c>
      <c r="T20" s="138" t="n">
        <f aca="false">IF(COUNT(T10:T17)=0,"",AVERAGE(T10:T17))</f>
        <v>3.1274220742661</v>
      </c>
      <c r="U20" s="138" t="n">
        <f aca="false">IF(COUNT(U10:U17)=0,"",AVERAGE(U10:U17))</f>
        <v>2.98840072218214</v>
      </c>
      <c r="V20" s="135" t="str">
        <f aca="false">IF(COUNT(V8:V17)=0,"",AVERAGE(V8:V17))</f>
        <v/>
      </c>
      <c r="W20" s="139" t="n">
        <f aca="false">IF(COUNT(W10:W17)=0,"",AVERAGE(W10:W17))</f>
        <v>0.557314128812108</v>
      </c>
      <c r="X20" s="139" t="n">
        <f aca="false">IF(COUNT(X10:X17)=0,"",AVERAGE(X10:X17))</f>
        <v>0.532026821426123</v>
      </c>
      <c r="Y20" s="140" t="n">
        <f aca="false">IF(COUNT(Y10:Y17)=0,"",AVERAGE(Y10:Y17))</f>
        <v>7.20454</v>
      </c>
      <c r="Z20" s="140" t="n">
        <f aca="false">IF(COUNT(Z10:Z17)=0,"",AVERAGE(Z10:Z17))</f>
        <v>10.91344</v>
      </c>
    </row>
    <row r="21" customFormat="false" ht="15" hidden="false" customHeight="true" outlineLevel="0" collapsed="false">
      <c r="B21" s="135" t="s">
        <v>156</v>
      </c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7" t="n">
        <f aca="false">IF(COUNT(N10:N17)=0,"",MEDIAN(N10:N17))</f>
        <v>0.0898719994567616</v>
      </c>
      <c r="O21" s="137" t="n">
        <f aca="false">IF(COUNT(O10:O17)=0,"",MEDIAN(O10:O17))</f>
        <v>0.0492069042245462</v>
      </c>
      <c r="P21" s="135" t="str">
        <f aca="false">IF(COUNT(P8:P17)=0,"",MEDIAN(P8:P17))</f>
        <v/>
      </c>
      <c r="Q21" s="137" t="n">
        <f aca="false">IF(COUNT(Q10:Q17)=0,"",MEDIAN(Q10:Q17))</f>
        <v>0.0641314856590396</v>
      </c>
      <c r="R21" s="137" t="n">
        <f aca="false">IF(COUNT(R10:R17)=0,"",MEDIAN(R10:R17))</f>
        <v>0.061</v>
      </c>
      <c r="S21" s="135" t="str">
        <f aca="false">IF(COUNT(S8:S17)=0,"",MEDIAN(S8:S17))</f>
        <v/>
      </c>
      <c r="T21" s="138" t="n">
        <f aca="false">IF(COUNT(T10:T17)=0,"",MEDIAN(T10:T17))</f>
        <v>3.68150433377406</v>
      </c>
      <c r="U21" s="138" t="n">
        <f aca="false">IF(COUNT(U10:U17)=0,"",MEDIAN(U10:U17))</f>
        <v>3.29780234241348</v>
      </c>
      <c r="V21" s="135" t="str">
        <f aca="false">IF(COUNT(V8:V17)=0,"",MEDIAN(V8:V17))</f>
        <v/>
      </c>
      <c r="W21" s="139" t="n">
        <f aca="false">IF(COUNT(W10:W17)=0,"",MEDIAN(W10:W17))</f>
        <v>0.47311141268194</v>
      </c>
      <c r="X21" s="139" t="n">
        <f aca="false">IF(COUNT(X10:X17)=0,"",MEDIAN(X10:X17))</f>
        <v>0.449023915953229</v>
      </c>
      <c r="Y21" s="140" t="n">
        <f aca="false">IF(COUNT(Y10:Y17)=0,"",MEDIAN(Y10:Y17))</f>
        <v>5.6403</v>
      </c>
      <c r="Z21" s="140" t="n">
        <f aca="false">IF(COUNT(Z10:Z17)=0,"",MEDIAN(Z10:Z17))</f>
        <v>4.9881</v>
      </c>
    </row>
    <row r="24" customFormat="false" ht="15" hidden="false" customHeight="true" outlineLevel="0" collapsed="false">
      <c r="B24" s="141" t="s">
        <v>157</v>
      </c>
      <c r="C24" s="67"/>
      <c r="D24" s="67"/>
      <c r="E24" s="67"/>
      <c r="F24" s="67"/>
      <c r="G24" s="67"/>
      <c r="H24" s="67"/>
      <c r="I24" s="67"/>
      <c r="J24" s="67"/>
    </row>
    <row r="25" customFormat="false" ht="15" hidden="false" customHeight="true" outlineLevel="0" collapsed="false">
      <c r="B25" s="105" t="s">
        <v>158</v>
      </c>
      <c r="C25" s="105" t="s">
        <v>159</v>
      </c>
      <c r="D25" s="105" t="s">
        <v>160</v>
      </c>
      <c r="E25" s="105" t="s">
        <v>161</v>
      </c>
      <c r="F25" s="105" t="s">
        <v>53</v>
      </c>
      <c r="G25" s="105" t="s">
        <v>54</v>
      </c>
      <c r="H25" s="105" t="s">
        <v>162</v>
      </c>
      <c r="I25" s="105" t="s">
        <v>163</v>
      </c>
      <c r="J25" s="105" t="s">
        <v>164</v>
      </c>
    </row>
    <row r="26" customFormat="false" ht="15" hidden="false" customHeight="true" outlineLevel="0" collapsed="false">
      <c r="B26" s="142" t="s">
        <v>165</v>
      </c>
      <c r="C26" s="143" t="n">
        <f aca="false">U21</f>
        <v>3.29780234241348</v>
      </c>
      <c r="D26" s="144" t="n">
        <f aca="false">DCF!N22</f>
        <v>2772.4</v>
      </c>
      <c r="E26" s="144" t="n">
        <f aca="false">C26*D26</f>
        <v>9142.82721410713</v>
      </c>
      <c r="F26" s="144" t="n">
        <f aca="false">'Sources &amp; Checks'!$B$6</f>
        <v>2400</v>
      </c>
      <c r="G26" s="144" t="n">
        <f aca="false">'Sources &amp; Checks'!$B$7</f>
        <v>1500</v>
      </c>
      <c r="H26" s="144" t="n">
        <f aca="false">E26+F26-G26</f>
        <v>10042.8272141071</v>
      </c>
      <c r="I26" s="145" t="n">
        <f aca="false">H26/'Sources &amp; Checks'!$B$9</f>
        <v>9.41397376650462</v>
      </c>
      <c r="J26" s="146" t="n">
        <f aca="false">I26/'Sources &amp; Checks'!$B$5-1</f>
        <v>-0.640550829839457</v>
      </c>
    </row>
    <row r="27" customFormat="false" ht="15" hidden="false" customHeight="true" outlineLevel="0" collapsed="false">
      <c r="B27" s="147" t="s">
        <v>166</v>
      </c>
      <c r="C27" s="148" t="n">
        <f aca="false">X21</f>
        <v>0.449023915953229</v>
      </c>
      <c r="D27" s="149" t="n">
        <f aca="false">DCF!N20</f>
        <v>13948.5</v>
      </c>
      <c r="E27" s="149" t="n">
        <f aca="false">C27*D27</f>
        <v>6263.21009167361</v>
      </c>
      <c r="F27" s="149" t="n">
        <f aca="false">'Sources &amp; Checks'!$B$6</f>
        <v>2400</v>
      </c>
      <c r="G27" s="149" t="n">
        <f aca="false">'Sources &amp; Checks'!$B$7</f>
        <v>1500</v>
      </c>
      <c r="H27" s="149" t="n">
        <f aca="false">E27+F27-G27</f>
        <v>7163.21009167361</v>
      </c>
      <c r="I27" s="150" t="n">
        <f aca="false">H27/'Sources &amp; Checks'!$B$9</f>
        <v>6.71467012717812</v>
      </c>
      <c r="J27" s="151" t="n">
        <f aca="false">I27/'Sources &amp; Checks'!$B$5-1</f>
        <v>-0.743617024544555</v>
      </c>
    </row>
    <row r="28" customFormat="false" ht="15" hidden="false" customHeight="true" outlineLevel="0" collapsed="false">
      <c r="B28" s="142" t="s">
        <v>167</v>
      </c>
      <c r="C28" s="143" t="n">
        <f aca="false">Z21</f>
        <v>4.9881</v>
      </c>
      <c r="D28" s="144" t="n">
        <f aca="false">DCF!N23</f>
        <v>1558</v>
      </c>
      <c r="E28" s="144" t="n">
        <f aca="false">C28*D28</f>
        <v>7771.4598</v>
      </c>
      <c r="F28" s="144" t="n">
        <f aca="false">'Sources &amp; Checks'!$B$6</f>
        <v>2400</v>
      </c>
      <c r="G28" s="144" t="n">
        <f aca="false">'Sources &amp; Checks'!$B$7</f>
        <v>1500</v>
      </c>
      <c r="H28" s="144" t="n">
        <f aca="false">E28+F28-G28</f>
        <v>8671.4598</v>
      </c>
      <c r="I28" s="145" t="n">
        <f aca="false">H28/'Sources &amp; Checks'!$B$9</f>
        <v>8.12847750281215</v>
      </c>
      <c r="J28" s="146" t="n">
        <f aca="false">I28/'Sources &amp; Checks'!$B$5-1</f>
        <v>-0.689634306880025</v>
      </c>
    </row>
    <row r="30" customFormat="false" ht="15" hidden="false" customHeight="true" outlineLevel="0" collapsed="false">
      <c r="B30" s="152" t="s">
        <v>168</v>
      </c>
    </row>
  </sheetData>
  <mergeCells count="10">
    <mergeCell ref="N4:R4"/>
    <mergeCell ref="T4:X4"/>
    <mergeCell ref="Y4:Z4"/>
    <mergeCell ref="D6:F6"/>
    <mergeCell ref="D8:F8"/>
    <mergeCell ref="D10:F10"/>
    <mergeCell ref="D11:F11"/>
    <mergeCell ref="D12:F12"/>
    <mergeCell ref="D13:F13"/>
    <mergeCell ref="D14:F14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3.67"/>
    <col collapsed="false" customWidth="true" hidden="false" outlineLevel="0" max="2" min="2" style="1" width="52"/>
    <col collapsed="false" customWidth="true" hidden="false" outlineLevel="0" max="6" min="6" style="1" width="16"/>
  </cols>
  <sheetData>
    <row r="2" s="2" customFormat="true" ht="21" hidden="false" customHeight="true" outlineLevel="0" collapsed="false">
      <c r="B2" s="3" t="s">
        <v>21</v>
      </c>
    </row>
    <row r="4" customFormat="false" ht="15" hidden="false" customHeight="true" outlineLevel="0" collapsed="false">
      <c r="B4" s="8" t="s">
        <v>169</v>
      </c>
    </row>
    <row r="5" customFormat="false" ht="15" hidden="false" customHeight="true" outlineLevel="0" collapsed="false">
      <c r="B5" s="8" t="s">
        <v>170</v>
      </c>
    </row>
    <row r="6" customFormat="false" ht="15" hidden="false" customHeight="true" outlineLevel="0" collapsed="false">
      <c r="J6" s="153"/>
    </row>
    <row r="7" customFormat="false" ht="15" hidden="false" customHeight="true" outlineLevel="0" collapsed="false">
      <c r="A7" s="141" t="s">
        <v>10</v>
      </c>
      <c r="B7" s="77" t="s">
        <v>21</v>
      </c>
      <c r="C7" s="34"/>
      <c r="D7" s="34"/>
      <c r="E7" s="34"/>
      <c r="F7" s="34"/>
    </row>
    <row r="8" customFormat="false" ht="15" hidden="false" customHeight="true" outlineLevel="0" collapsed="false">
      <c r="B8" s="8" t="s">
        <v>125</v>
      </c>
      <c r="F8" s="60" t="n">
        <f aca="false">'Sources &amp; Checks'!$B$8*'Sources &amp; Checks'!$B$5</f>
        <v>27499.5</v>
      </c>
    </row>
    <row r="9" customFormat="false" ht="15" hidden="false" customHeight="true" outlineLevel="0" collapsed="false">
      <c r="B9" s="8" t="s">
        <v>171</v>
      </c>
      <c r="F9" s="28" t="n">
        <f aca="false">F8/(F8+F15)</f>
        <v>0.948274970258108</v>
      </c>
    </row>
    <row r="10" customFormat="false" ht="15" hidden="false" customHeight="true" outlineLevel="0" collapsed="false">
      <c r="B10" s="8" t="s">
        <v>172</v>
      </c>
      <c r="F10" s="37" t="n">
        <f aca="false">F11+F14*F13</f>
        <v>0.089043</v>
      </c>
    </row>
    <row r="11" customFormat="false" ht="15" hidden="false" customHeight="true" outlineLevel="0" collapsed="false">
      <c r="B11" s="8" t="s">
        <v>173</v>
      </c>
      <c r="F11" s="39" t="n">
        <f aca="false">'Sources &amp; Checks'!$B$10</f>
        <v>0.028643</v>
      </c>
    </row>
    <row r="12" customFormat="false" ht="15" hidden="false" customHeight="true" outlineLevel="0" collapsed="false">
      <c r="B12" s="8" t="s">
        <v>174</v>
      </c>
      <c r="F12" s="154" t="n">
        <f aca="false">'Sources &amp; Checks'!$B$11</f>
        <v>1.01</v>
      </c>
    </row>
    <row r="13" customFormat="false" ht="15" hidden="false" customHeight="true" outlineLevel="0" collapsed="false">
      <c r="B13" s="8" t="s">
        <v>175</v>
      </c>
      <c r="F13" s="39" t="n">
        <f aca="false">'Sources &amp; Checks'!$B$12</f>
        <v>0.06</v>
      </c>
    </row>
    <row r="14" customFormat="false" ht="15" hidden="false" customHeight="true" outlineLevel="0" collapsed="false">
      <c r="B14" s="8" t="s">
        <v>176</v>
      </c>
      <c r="F14" s="155" t="n">
        <f aca="false">1/3*1+2/3*F12</f>
        <v>1.00666666666667</v>
      </c>
    </row>
    <row r="15" customFormat="false" ht="15" hidden="false" customHeight="true" outlineLevel="0" collapsed="false">
      <c r="A15" s="141" t="s">
        <v>10</v>
      </c>
      <c r="B15" s="77" t="s">
        <v>177</v>
      </c>
      <c r="F15" s="156" t="n">
        <f aca="false">'Sources &amp; Checks'!$B$7</f>
        <v>1500</v>
      </c>
    </row>
    <row r="16" customFormat="false" ht="15" hidden="false" customHeight="true" outlineLevel="0" collapsed="false">
      <c r="B16" s="8" t="s">
        <v>178</v>
      </c>
      <c r="F16" s="40" t="n">
        <f aca="false">F15/(F15+F8)</f>
        <v>0.0517250297418921</v>
      </c>
    </row>
    <row r="17" customFormat="false" ht="15" hidden="false" customHeight="true" outlineLevel="0" collapsed="false">
      <c r="B17" s="8" t="s">
        <v>179</v>
      </c>
      <c r="F17" s="40" t="n">
        <f aca="false">'Sources &amp; Checks'!$B$13</f>
        <v>0.03</v>
      </c>
    </row>
    <row r="18" customFormat="false" ht="15" hidden="false" customHeight="true" outlineLevel="0" collapsed="false">
      <c r="B18" s="8" t="s">
        <v>180</v>
      </c>
      <c r="F18" s="40" t="n">
        <f aca="false">'Sources &amp; Checks'!$B$14</f>
        <v>0.1</v>
      </c>
    </row>
    <row r="20" customFormat="false" ht="15" hidden="false" customHeight="true" outlineLevel="0" collapsed="false">
      <c r="A20" s="141" t="s">
        <v>10</v>
      </c>
      <c r="B20" s="77" t="s">
        <v>181</v>
      </c>
      <c r="F20" s="60" t="n">
        <f aca="false">F15+F8</f>
        <v>28999.5</v>
      </c>
    </row>
    <row r="22" customFormat="false" ht="15" hidden="false" customHeight="true" outlineLevel="0" collapsed="false">
      <c r="A22" s="141" t="s">
        <v>10</v>
      </c>
      <c r="B22" s="77" t="s">
        <v>21</v>
      </c>
      <c r="F22" s="157" t="n">
        <f aca="false">F9*F10+(F16*F17*(1-F18))</f>
        <v>0.0858338239797238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3.5"/>
    <col collapsed="false" customWidth="true" hidden="false" outlineLevel="0" max="3" min="3" style="1" width="12"/>
    <col collapsed="false" customWidth="true" hidden="false" outlineLevel="0" max="4" min="4" style="1" width="90"/>
  </cols>
  <sheetData>
    <row r="1" customFormat="false" ht="18.75" hidden="false" customHeight="true" outlineLevel="0" collapsed="false">
      <c r="A1" s="158" t="s">
        <v>182</v>
      </c>
      <c r="B1" s="158"/>
      <c r="C1" s="158"/>
      <c r="D1" s="158"/>
    </row>
    <row r="3" customFormat="false" ht="15.75" hidden="false" customHeight="true" outlineLevel="0" collapsed="false">
      <c r="A3" s="105" t="s">
        <v>158</v>
      </c>
      <c r="B3" s="105" t="s">
        <v>183</v>
      </c>
      <c r="C3" s="105" t="s">
        <v>184</v>
      </c>
      <c r="D3" s="105" t="s">
        <v>185</v>
      </c>
    </row>
    <row r="4" customFormat="false" ht="15" hidden="false" customHeight="true" outlineLevel="0" collapsed="false">
      <c r="A4" s="159" t="s">
        <v>186</v>
      </c>
      <c r="B4" s="160" t="n">
        <v>46087</v>
      </c>
      <c r="C4" s="159" t="s">
        <v>187</v>
      </c>
      <c r="D4" s="159" t="s">
        <v>188</v>
      </c>
    </row>
    <row r="5" customFormat="false" ht="15" hidden="false" customHeight="true" outlineLevel="0" collapsed="false">
      <c r="A5" s="159" t="s">
        <v>189</v>
      </c>
      <c r="B5" s="161" t="n">
        <v>26.19</v>
      </c>
      <c r="C5" s="159" t="s">
        <v>190</v>
      </c>
      <c r="D5" s="159" t="s">
        <v>191</v>
      </c>
    </row>
    <row r="6" customFormat="false" ht="15" hidden="false" customHeight="true" outlineLevel="0" collapsed="false">
      <c r="A6" s="159" t="s">
        <v>192</v>
      </c>
      <c r="B6" s="162" t="n">
        <v>2400</v>
      </c>
      <c r="C6" s="159" t="s">
        <v>193</v>
      </c>
      <c r="D6" s="159" t="s">
        <v>194</v>
      </c>
    </row>
    <row r="7" customFormat="false" ht="15" hidden="false" customHeight="true" outlineLevel="0" collapsed="false">
      <c r="A7" s="159" t="s">
        <v>195</v>
      </c>
      <c r="B7" s="162" t="n">
        <v>1500</v>
      </c>
      <c r="C7" s="159" t="s">
        <v>193</v>
      </c>
      <c r="D7" s="159" t="s">
        <v>196</v>
      </c>
    </row>
    <row r="8" customFormat="false" ht="15" hidden="false" customHeight="true" outlineLevel="0" collapsed="false">
      <c r="A8" s="159" t="s">
        <v>197</v>
      </c>
      <c r="B8" s="162" t="n">
        <v>1050</v>
      </c>
      <c r="C8" s="159" t="s">
        <v>198</v>
      </c>
      <c r="D8" s="159" t="s">
        <v>199</v>
      </c>
    </row>
    <row r="9" customFormat="false" ht="15" hidden="false" customHeight="true" outlineLevel="0" collapsed="false">
      <c r="A9" s="159" t="s">
        <v>200</v>
      </c>
      <c r="B9" s="162" t="n">
        <v>1066.8</v>
      </c>
      <c r="C9" s="159" t="s">
        <v>198</v>
      </c>
      <c r="D9" s="159" t="s">
        <v>201</v>
      </c>
    </row>
    <row r="10" customFormat="false" ht="15" hidden="false" customHeight="true" outlineLevel="0" collapsed="false">
      <c r="A10" s="159" t="s">
        <v>202</v>
      </c>
      <c r="B10" s="163" t="n">
        <v>0.028643</v>
      </c>
      <c r="C10" s="159" t="s">
        <v>203</v>
      </c>
      <c r="D10" s="159" t="s">
        <v>204</v>
      </c>
    </row>
    <row r="11" customFormat="false" ht="15" hidden="false" customHeight="true" outlineLevel="0" collapsed="false">
      <c r="A11" s="159" t="s">
        <v>205</v>
      </c>
      <c r="B11" s="164" t="n">
        <v>1.01</v>
      </c>
      <c r="C11" s="159" t="s">
        <v>206</v>
      </c>
      <c r="D11" s="159" t="s">
        <v>207</v>
      </c>
    </row>
    <row r="12" customFormat="false" ht="15" hidden="false" customHeight="true" outlineLevel="0" collapsed="false">
      <c r="A12" s="159" t="s">
        <v>208</v>
      </c>
      <c r="B12" s="163" t="n">
        <v>0.06</v>
      </c>
      <c r="C12" s="159" t="s">
        <v>203</v>
      </c>
      <c r="D12" s="159" t="s">
        <v>207</v>
      </c>
    </row>
    <row r="13" customFormat="false" ht="15" hidden="false" customHeight="true" outlineLevel="0" collapsed="false">
      <c r="A13" s="159" t="s">
        <v>209</v>
      </c>
      <c r="B13" s="163" t="n">
        <v>0.03</v>
      </c>
      <c r="C13" s="159" t="s">
        <v>203</v>
      </c>
      <c r="D13" s="159" t="s">
        <v>207</v>
      </c>
    </row>
    <row r="14" customFormat="false" ht="15" hidden="false" customHeight="true" outlineLevel="0" collapsed="false">
      <c r="A14" s="159" t="s">
        <v>33</v>
      </c>
      <c r="B14" s="163" t="n">
        <v>0.1</v>
      </c>
      <c r="C14" s="159" t="s">
        <v>203</v>
      </c>
      <c r="D14" s="159" t="s">
        <v>210</v>
      </c>
    </row>
    <row r="16" customFormat="false" ht="15" hidden="false" customHeight="true" outlineLevel="0" collapsed="false">
      <c r="A16" s="165" t="s">
        <v>211</v>
      </c>
      <c r="B16" s="165" t="s">
        <v>212</v>
      </c>
    </row>
    <row r="18" customFormat="false" ht="15" hidden="false" customHeight="true" outlineLevel="0" collapsed="false">
      <c r="A18" s="165" t="s">
        <v>213</v>
      </c>
      <c r="B18" s="165" t="s">
        <v>214</v>
      </c>
      <c r="C18" s="165" t="s">
        <v>215</v>
      </c>
      <c r="D18" s="165" t="s">
        <v>216</v>
      </c>
    </row>
    <row r="19" customFormat="false" ht="15" hidden="false" customHeight="true" outlineLevel="0" collapsed="false">
      <c r="A19" s="165" t="s">
        <v>217</v>
      </c>
      <c r="B19" s="166" t="n">
        <v>0.0909</v>
      </c>
      <c r="C19" s="165" t="s">
        <v>203</v>
      </c>
      <c r="D19" s="165" t="s">
        <v>218</v>
      </c>
    </row>
    <row r="20" customFormat="false" ht="15" hidden="false" customHeight="true" outlineLevel="0" collapsed="false">
      <c r="A20" s="165" t="s">
        <v>219</v>
      </c>
      <c r="B20" s="166" t="n">
        <v>0.1722</v>
      </c>
      <c r="C20" s="165" t="s">
        <v>203</v>
      </c>
      <c r="D20" s="165" t="s">
        <v>220</v>
      </c>
    </row>
    <row r="21" customFormat="false" ht="15" hidden="false" customHeight="true" outlineLevel="0" collapsed="false">
      <c r="A21" s="165" t="s">
        <v>221</v>
      </c>
      <c r="B21" s="166" t="n">
        <v>0.0805</v>
      </c>
      <c r="C21" s="165" t="s">
        <v>203</v>
      </c>
      <c r="D21" s="165" t="s">
        <v>222</v>
      </c>
    </row>
    <row r="22" customFormat="false" ht="15" hidden="false" customHeight="true" outlineLevel="0" collapsed="false">
      <c r="A22" s="165" t="s">
        <v>223</v>
      </c>
      <c r="B22" s="166" t="n">
        <v>0.1828</v>
      </c>
      <c r="C22" s="165" t="s">
        <v>203</v>
      </c>
      <c r="D22" s="165" t="s">
        <v>224</v>
      </c>
    </row>
    <row r="23" customFormat="false" ht="15" hidden="false" customHeight="true" outlineLevel="0" collapsed="false">
      <c r="A23" s="165" t="s">
        <v>225</v>
      </c>
      <c r="B23" s="166" t="n">
        <v>-0.0287</v>
      </c>
      <c r="C23" s="165" t="s">
        <v>203</v>
      </c>
      <c r="D23" s="165" t="s">
        <v>226</v>
      </c>
    </row>
    <row r="25" customFormat="false" ht="15" hidden="false" customHeight="true" outlineLevel="0" collapsed="false">
      <c r="A25" s="167" t="s">
        <v>227</v>
      </c>
      <c r="B25" s="168" t="s">
        <v>228</v>
      </c>
    </row>
  </sheetData>
  <mergeCells count="1">
    <mergeCell ref="A1:D1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3203125" defaultRowHeight="15.75" customHeight="false" zeroHeight="false" outlineLevelRow="0" outlineLevelCol="0"/>
  <cols>
    <col collapsed="false" customWidth="false" hidden="false" outlineLevel="0" max="1" min="1" style="169" width="10.83"/>
    <col collapsed="false" customWidth="true" hidden="false" outlineLevel="0" max="2" min="2" style="169" width="30.67"/>
    <col collapsed="false" customWidth="true" hidden="false" outlineLevel="0" max="5" min="3" style="169" width="8.83"/>
    <col collapsed="false" customWidth="false" hidden="false" outlineLevel="0" max="16384" min="6" style="169" width="10.83"/>
  </cols>
  <sheetData>
    <row r="2" customFormat="false" ht="18.75" hidden="false" customHeight="true" outlineLevel="0" collapsed="false">
      <c r="B2" s="170"/>
      <c r="C2" s="170"/>
    </row>
    <row r="3" customFormat="false" ht="15.75" hidden="false" customHeight="true" outlineLevel="0" collapsed="false">
      <c r="B3" s="171" t="s">
        <v>229</v>
      </c>
      <c r="C3" s="172" t="s">
        <v>230</v>
      </c>
      <c r="D3" s="173" t="s">
        <v>231</v>
      </c>
      <c r="E3" s="174" t="s">
        <v>232</v>
      </c>
    </row>
    <row r="4" customFormat="false" ht="18.75" hidden="false" customHeight="true" outlineLevel="0" collapsed="false">
      <c r="B4" s="175" t="s">
        <v>233</v>
      </c>
      <c r="C4" s="176" t="n">
        <v>10775</v>
      </c>
      <c r="D4" s="177" t="n">
        <v>13444</v>
      </c>
      <c r="E4" s="178" t="n">
        <v>13949</v>
      </c>
    </row>
    <row r="5" customFormat="false" ht="18.75" hidden="false" customHeight="true" outlineLevel="0" collapsed="false">
      <c r="B5" s="179" t="s">
        <v>234</v>
      </c>
      <c r="C5" s="180" t="n">
        <v>9332</v>
      </c>
      <c r="D5" s="181" t="n">
        <v>11383</v>
      </c>
      <c r="E5" s="182" t="n">
        <v>12391</v>
      </c>
    </row>
    <row r="6" customFormat="false" ht="18.75" hidden="false" customHeight="true" outlineLevel="0" collapsed="false">
      <c r="B6" s="179" t="s">
        <v>235</v>
      </c>
      <c r="C6" s="180" t="n">
        <v>1443</v>
      </c>
      <c r="D6" s="181" t="n">
        <v>2128</v>
      </c>
      <c r="E6" s="182" t="n">
        <v>1785</v>
      </c>
    </row>
    <row r="7" customFormat="false" ht="18.75" hidden="false" customHeight="true" outlineLevel="0" collapsed="false">
      <c r="B7" s="183" t="s">
        <v>236</v>
      </c>
      <c r="C7" s="184" t="n">
        <v>1314</v>
      </c>
      <c r="D7" s="185" t="n">
        <v>1917</v>
      </c>
      <c r="E7" s="186" t="n">
        <v>1612</v>
      </c>
    </row>
    <row r="10" customFormat="false" ht="15.75" hidden="false" customHeight="true" outlineLevel="0" collapsed="false">
      <c r="B10" s="171" t="s">
        <v>237</v>
      </c>
      <c r="C10" s="172" t="s">
        <v>230</v>
      </c>
      <c r="D10" s="173" t="s">
        <v>231</v>
      </c>
      <c r="E10" s="174" t="s">
        <v>232</v>
      </c>
    </row>
    <row r="11" customFormat="false" ht="18.75" hidden="false" customHeight="true" outlineLevel="0" collapsed="false">
      <c r="B11" s="175" t="s">
        <v>238</v>
      </c>
      <c r="C11" s="176" t="n">
        <v>16406</v>
      </c>
      <c r="D11" s="177" t="n">
        <v>17176</v>
      </c>
      <c r="E11" s="178" t="n">
        <v>17507</v>
      </c>
    </row>
    <row r="12" customFormat="false" ht="18.75" hidden="false" customHeight="true" outlineLevel="0" collapsed="false">
      <c r="B12" s="179" t="s">
        <v>239</v>
      </c>
      <c r="C12" s="180" t="n">
        <v>5643</v>
      </c>
      <c r="D12" s="181" t="n">
        <v>7614</v>
      </c>
      <c r="E12" s="182" t="n">
        <v>7037</v>
      </c>
    </row>
    <row r="13" customFormat="false" ht="18.75" hidden="false" customHeight="true" outlineLevel="0" collapsed="false">
      <c r="B13" s="183" t="s">
        <v>240</v>
      </c>
      <c r="C13" s="184" t="n">
        <v>4675</v>
      </c>
      <c r="D13" s="185" t="n">
        <v>4120</v>
      </c>
      <c r="E13" s="186" t="n">
        <v>3987</v>
      </c>
    </row>
    <row r="16" customFormat="false" ht="15.75" hidden="false" customHeight="true" outlineLevel="0" collapsed="false">
      <c r="B16" s="171" t="s">
        <v>177</v>
      </c>
      <c r="C16" s="172" t="s">
        <v>230</v>
      </c>
      <c r="D16" s="173" t="s">
        <v>231</v>
      </c>
      <c r="E16" s="174" t="s">
        <v>232</v>
      </c>
    </row>
    <row r="17" customFormat="false" ht="18.75" hidden="false" customHeight="true" outlineLevel="0" collapsed="false">
      <c r="B17" s="175" t="s">
        <v>241</v>
      </c>
      <c r="C17" s="176" t="n">
        <v>7422</v>
      </c>
      <c r="D17" s="177" t="n">
        <v>6401</v>
      </c>
      <c r="E17" s="178" t="n">
        <v>8153</v>
      </c>
    </row>
    <row r="18" customFormat="false" ht="18.75" hidden="false" customHeight="true" outlineLevel="0" collapsed="false">
      <c r="B18" s="179" t="s">
        <v>242</v>
      </c>
      <c r="C18" s="180" t="n">
        <v>3341</v>
      </c>
      <c r="D18" s="181" t="n">
        <v>3161</v>
      </c>
      <c r="E18" s="182" t="n">
        <v>2317</v>
      </c>
    </row>
    <row r="19" customFormat="false" ht="15.75" hidden="false" customHeight="true" outlineLevel="0" collapsed="false">
      <c r="B19" s="187" t="s">
        <v>243</v>
      </c>
      <c r="C19" s="188" t="n">
        <f aca="false">C17+C18</f>
        <v>10763</v>
      </c>
      <c r="D19" s="189" t="n">
        <f aca="false">D17+D18</f>
        <v>9562</v>
      </c>
      <c r="E19" s="190" t="n">
        <f aca="false">E17+E18</f>
        <v>10470</v>
      </c>
    </row>
    <row r="22" customFormat="false" ht="15.75" hidden="false" customHeight="true" outlineLevel="0" collapsed="false">
      <c r="B22" s="171" t="s">
        <v>244</v>
      </c>
      <c r="C22" s="172" t="s">
        <v>230</v>
      </c>
      <c r="D22" s="173" t="s">
        <v>231</v>
      </c>
      <c r="E22" s="174" t="s">
        <v>232</v>
      </c>
    </row>
    <row r="23" customFormat="false" ht="15.75" hidden="false" customHeight="true" outlineLevel="0" collapsed="false">
      <c r="B23" s="175" t="s">
        <v>245</v>
      </c>
      <c r="C23" s="191" t="n">
        <f aca="false">(C4-4800.9)/4800.9</f>
        <v>1.24437084713283</v>
      </c>
      <c r="D23" s="191" t="n">
        <f aca="false">(D4-C4)/C4</f>
        <v>0.247703016241299</v>
      </c>
      <c r="E23" s="192" t="n">
        <f aca="false">(E4-D4)/D4</f>
        <v>0.0375632252305861</v>
      </c>
    </row>
    <row r="24" customFormat="false" ht="15.75" hidden="false" customHeight="true" outlineLevel="0" collapsed="false">
      <c r="B24" s="179" t="s">
        <v>246</v>
      </c>
      <c r="C24" s="193" t="s">
        <v>247</v>
      </c>
      <c r="D24" s="194" t="n">
        <f aca="false">(D7-C7)/C7</f>
        <v>0.458904109589041</v>
      </c>
      <c r="E24" s="195" t="n">
        <f aca="false">(E7-D7)/D7</f>
        <v>-0.159102764736568</v>
      </c>
    </row>
    <row r="25" customFormat="false" ht="15.75" hidden="false" customHeight="true" outlineLevel="0" collapsed="false">
      <c r="B25" s="179" t="s">
        <v>248</v>
      </c>
      <c r="C25" s="196" t="n">
        <f aca="false">C7/C4</f>
        <v>0.121948955916473</v>
      </c>
      <c r="D25" s="194" t="n">
        <f aca="false">D7/D4</f>
        <v>0.142591490627789</v>
      </c>
      <c r="E25" s="195" t="n">
        <f aca="false">E7/E4</f>
        <v>0.115563839701771</v>
      </c>
    </row>
    <row r="26" customFormat="false" ht="15.75" hidden="false" customHeight="true" outlineLevel="0" collapsed="false">
      <c r="B26" s="179" t="s">
        <v>249</v>
      </c>
      <c r="C26" s="196" t="n">
        <f aca="false">(C4-C5)/C4</f>
        <v>0.133921113689095</v>
      </c>
      <c r="D26" s="194" t="n">
        <f aca="false">(D4-D5)/D4</f>
        <v>0.153302588515323</v>
      </c>
      <c r="E26" s="195" t="n">
        <f aca="false">(E4-E5)/E4</f>
        <v>0.111692594451215</v>
      </c>
    </row>
    <row r="27" customFormat="false" ht="15.75" hidden="false" customHeight="true" outlineLevel="0" collapsed="false">
      <c r="B27" s="179" t="s">
        <v>250</v>
      </c>
      <c r="C27" s="196" t="n">
        <f aca="false">C5/C4</f>
        <v>0.866078886310905</v>
      </c>
      <c r="D27" s="194" t="n">
        <f aca="false">D5/D4</f>
        <v>0.846697411484677</v>
      </c>
      <c r="E27" s="195" t="n">
        <f aca="false">E5/E4</f>
        <v>0.888307405548785</v>
      </c>
    </row>
    <row r="28" customFormat="false" ht="15.75" hidden="false" customHeight="true" outlineLevel="0" collapsed="false">
      <c r="B28" s="179" t="s">
        <v>251</v>
      </c>
      <c r="C28" s="196" t="n">
        <f aca="false">C7/C11</f>
        <v>0.0800926490308424</v>
      </c>
      <c r="D28" s="194" t="n">
        <f aca="false">D7/D11</f>
        <v>0.11160922217047</v>
      </c>
      <c r="E28" s="195" t="n">
        <f aca="false">E7/E11</f>
        <v>0.0920774547323928</v>
      </c>
    </row>
    <row r="29" customFormat="false" ht="15.75" hidden="false" customHeight="true" outlineLevel="0" collapsed="false">
      <c r="B29" s="179" t="s">
        <v>252</v>
      </c>
      <c r="C29" s="196" t="n">
        <f aca="false">C7/C12</f>
        <v>0.232854864433812</v>
      </c>
      <c r="D29" s="194" t="n">
        <f aca="false">D7/D12</f>
        <v>0.25177304964539</v>
      </c>
      <c r="E29" s="195" t="n">
        <f aca="false">E7/E12</f>
        <v>0.229074889867841</v>
      </c>
    </row>
    <row r="30" customFormat="false" ht="15.75" hidden="false" customHeight="true" outlineLevel="0" collapsed="false">
      <c r="B30" s="179" t="s">
        <v>253</v>
      </c>
      <c r="C30" s="196" t="n">
        <f aca="false">C19/C11</f>
        <v>0.656040472997684</v>
      </c>
      <c r="D30" s="194" t="n">
        <f aca="false">D19/D11</f>
        <v>0.556707033069399</v>
      </c>
      <c r="E30" s="195" t="n">
        <f aca="false">E19/E11</f>
        <v>0.598046495687439</v>
      </c>
    </row>
    <row r="31" customFormat="false" ht="15.75" hidden="false" customHeight="true" outlineLevel="0" collapsed="false">
      <c r="B31" s="183" t="s">
        <v>254</v>
      </c>
      <c r="C31" s="197" t="n">
        <f aca="false">C12/C11</f>
        <v>0.343959527002316</v>
      </c>
      <c r="D31" s="198" t="n">
        <f aca="false">D12/D11</f>
        <v>0.443292966930601</v>
      </c>
      <c r="E31" s="199" t="n">
        <f aca="false">E12/E11</f>
        <v>0.401953504312561</v>
      </c>
    </row>
    <row r="33" customFormat="false" ht="15.75" hidden="false" customHeight="true" outlineLevel="0" collapsed="false">
      <c r="B33" s="169" t="s">
        <v>255</v>
      </c>
    </row>
    <row r="35" customFormat="false" ht="15.75" hidden="false" customHeight="true" outlineLevel="0" collapsed="false">
      <c r="B35" s="169" t="s">
        <v>256</v>
      </c>
    </row>
    <row r="36" customFormat="false" ht="15.75" hidden="false" customHeight="true" outlineLevel="0" collapsed="false">
      <c r="B36" s="169" t="s">
        <v>257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3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3"/>
    <col collapsed="false" customWidth="true" hidden="false" outlineLevel="0" max="4" min="4" style="1" width="3"/>
    <col collapsed="false" customWidth="true" hidden="false" outlineLevel="0" max="5" min="5" style="1" width="24"/>
    <col collapsed="false" customWidth="true" hidden="false" outlineLevel="0" max="16" min="6" style="1" width="11"/>
  </cols>
  <sheetData>
    <row r="1" customFormat="false" ht="15" hidden="false" customHeight="true" outlineLevel="0" collapsed="false">
      <c r="B1" s="83" t="s">
        <v>258</v>
      </c>
    </row>
    <row r="3" customFormat="false" ht="15" hidden="false" customHeight="true" outlineLevel="0" collapsed="false">
      <c r="B3" s="85" t="s">
        <v>259</v>
      </c>
      <c r="C3" s="85"/>
    </row>
    <row r="4" customFormat="false" ht="15" hidden="false" customHeight="true" outlineLevel="0" collapsed="false">
      <c r="B4" s="90" t="s">
        <v>33</v>
      </c>
      <c r="C4" s="96" t="n">
        <f aca="false">'Sources &amp; Checks'!$B$14</f>
        <v>0.1</v>
      </c>
    </row>
    <row r="5" customFormat="false" ht="15" hidden="false" customHeight="true" outlineLevel="0" collapsed="false">
      <c r="B5" s="90" t="s">
        <v>260</v>
      </c>
      <c r="C5" s="94" t="n">
        <f aca="false">'Sources &amp; Checks'!$B$21</f>
        <v>0.0805</v>
      </c>
    </row>
    <row r="6" customFormat="false" ht="15" hidden="false" customHeight="true" outlineLevel="0" collapsed="false">
      <c r="B6" s="90" t="s">
        <v>261</v>
      </c>
      <c r="C6" s="94" t="n">
        <f aca="false">'Sources &amp; Checks'!$B$22</f>
        <v>0.1828</v>
      </c>
    </row>
    <row r="7" customFormat="false" ht="15" hidden="false" customHeight="true" outlineLevel="0" collapsed="false">
      <c r="B7" s="90" t="s">
        <v>262</v>
      </c>
      <c r="C7" s="94" t="n">
        <f aca="false">'Sources &amp; Checks'!$B$23</f>
        <v>-0.0287</v>
      </c>
    </row>
    <row r="8" customFormat="false" ht="15" hidden="false" customHeight="true" outlineLevel="0" collapsed="false">
      <c r="B8" s="90" t="s">
        <v>263</v>
      </c>
      <c r="C8" s="95" t="n">
        <f aca="false">DCF!$N$20</f>
        <v>13948.5</v>
      </c>
    </row>
    <row r="9" customFormat="false" ht="15" hidden="false" customHeight="true" outlineLevel="0" collapsed="false">
      <c r="B9" s="90" t="s">
        <v>264</v>
      </c>
      <c r="C9" s="95" t="n">
        <f aca="false">'Sources &amp; Checks'!$B$6</f>
        <v>2400</v>
      </c>
    </row>
    <row r="10" customFormat="false" ht="15" hidden="false" customHeight="true" outlineLevel="0" collapsed="false">
      <c r="B10" s="90" t="s">
        <v>265</v>
      </c>
      <c r="C10" s="95" t="n">
        <f aca="false">'Sources &amp; Checks'!$B$7</f>
        <v>1500</v>
      </c>
    </row>
    <row r="11" customFormat="false" ht="15" hidden="false" customHeight="true" outlineLevel="0" collapsed="false">
      <c r="B11" s="90" t="s">
        <v>266</v>
      </c>
      <c r="C11" s="95" t="n">
        <f aca="false">'Sources &amp; Checks'!$B$9</f>
        <v>1066.8</v>
      </c>
    </row>
    <row r="12" customFormat="false" ht="15" hidden="false" customHeight="true" outlineLevel="0" collapsed="false">
      <c r="B12" s="90" t="s">
        <v>26</v>
      </c>
      <c r="C12" s="200" t="n">
        <f aca="false">DCF!$D$18</f>
        <v>9</v>
      </c>
    </row>
    <row r="13" customFormat="false" ht="15" hidden="false" customHeight="true" outlineLevel="0" collapsed="false">
      <c r="B13" s="90" t="s">
        <v>267</v>
      </c>
      <c r="C13" s="92" t="n">
        <f aca="false">WACC!$F$11+WACC!$F$12*WACC!$F$13</f>
        <v>0.089243</v>
      </c>
    </row>
    <row r="14" customFormat="false" ht="15" hidden="false" customHeight="true" outlineLevel="0" collapsed="false">
      <c r="B14" s="90" t="s">
        <v>268</v>
      </c>
      <c r="C14" s="92" t="n">
        <f aca="false">WACC!$F$9*C13+WACC!$F$16*WACC!$F$17*(1-WACC!$F$18)</f>
        <v>0.0860234789737754</v>
      </c>
    </row>
    <row r="15" customFormat="false" ht="15" hidden="false" customHeight="true" outlineLevel="0" collapsed="false">
      <c r="B15" s="90" t="s">
        <v>269</v>
      </c>
      <c r="C15" s="92" t="n">
        <f aca="false">WACC!$F$22</f>
        <v>0.0858338239797238</v>
      </c>
    </row>
    <row r="18" customFormat="false" ht="15" hidden="false" customHeight="true" outlineLevel="0" collapsed="false">
      <c r="B18" s="201" t="s">
        <v>270</v>
      </c>
    </row>
    <row r="19" customFormat="false" ht="15" hidden="false" customHeight="true" outlineLevel="0" collapsed="false">
      <c r="B19" s="85" t="s">
        <v>271</v>
      </c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</row>
    <row r="20" customFormat="false" ht="15" hidden="false" customHeight="true" outlineLevel="0" collapsed="false">
      <c r="B20" s="202" t="s">
        <v>272</v>
      </c>
      <c r="C20" s="202" t="s">
        <v>183</v>
      </c>
      <c r="E20" s="202" t="s">
        <v>273</v>
      </c>
      <c r="F20" s="203" t="str">
        <f aca="false">"FY"&amp;RIGHT(DCF!O$38,2)</f>
        <v>FY26</v>
      </c>
      <c r="G20" s="203" t="str">
        <f aca="false">"FY"&amp;RIGHT(DCF!P$38,2)</f>
        <v>FY27</v>
      </c>
      <c r="H20" s="203" t="str">
        <f aca="false">"FY"&amp;RIGHT(DCF!Q$38,2)</f>
        <v>FY28</v>
      </c>
      <c r="I20" s="203" t="str">
        <f aca="false">"FY"&amp;RIGHT(DCF!R$38,2)</f>
        <v>FY29</v>
      </c>
      <c r="J20" s="203" t="str">
        <f aca="false">"FY"&amp;RIGHT(DCF!S$38,2)</f>
        <v>FY30</v>
      </c>
      <c r="K20" s="203" t="str">
        <f aca="false">"FY"&amp;RIGHT(DCF!T$38,2)</f>
        <v>FY31</v>
      </c>
      <c r="L20" s="203" t="str">
        <f aca="false">"FY"&amp;RIGHT(DCF!U$38,2)</f>
        <v>FY32</v>
      </c>
      <c r="M20" s="203" t="str">
        <f aca="false">"FY"&amp;RIGHT(DCF!V$38,2)</f>
        <v>FY33</v>
      </c>
      <c r="N20" s="203" t="str">
        <f aca="false">"FY"&amp;RIGHT(DCF!W$38,2)</f>
        <v>FY34</v>
      </c>
      <c r="O20" s="203" t="str">
        <f aca="false">"FY"&amp;RIGHT(DCF!X$38,2)</f>
        <v>FY35</v>
      </c>
      <c r="P20" s="203" t="s">
        <v>40</v>
      </c>
    </row>
    <row r="21" customFormat="false" ht="15" hidden="false" customHeight="true" outlineLevel="0" collapsed="false">
      <c r="B21" s="204" t="s">
        <v>274</v>
      </c>
      <c r="C21" s="94" t="n">
        <f aca="false">DCF!$L$11</f>
        <v>0.0909</v>
      </c>
      <c r="E21" s="90" t="s">
        <v>275</v>
      </c>
      <c r="F21" s="205" t="n">
        <f aca="false">$C$21</f>
        <v>0.0909</v>
      </c>
      <c r="G21" s="205" t="n">
        <f aca="false">IF($C$25=1,F21-($C$21-$C$24)/$C$12,$C$21)</f>
        <v>0.0909</v>
      </c>
      <c r="H21" s="205" t="n">
        <f aca="false">IF($C$25=1,G21-($C$21-$C$24)/$C$12,$C$21)</f>
        <v>0.0909</v>
      </c>
      <c r="I21" s="205" t="n">
        <f aca="false">IF($C$25=1,H21-($C$21-$C$24)/$C$12,$C$21)</f>
        <v>0.0909</v>
      </c>
      <c r="J21" s="205" t="n">
        <f aca="false">IF($C$25=1,I21-($C$21-$C$24)/$C$12,$C$21)</f>
        <v>0.0909</v>
      </c>
      <c r="K21" s="205" t="n">
        <f aca="false">IF($C$25=1,J21-($C$21-$C$24)/$C$12,$C$21)</f>
        <v>0.0909</v>
      </c>
      <c r="L21" s="205" t="n">
        <f aca="false">IF($C$25=1,K21-($C$21-$C$24)/$C$12,$C$21)</f>
        <v>0.0909</v>
      </c>
      <c r="M21" s="205" t="n">
        <f aca="false">IF($C$25=1,L21-($C$21-$C$24)/$C$12,$C$21)</f>
        <v>0.0909</v>
      </c>
      <c r="N21" s="205" t="n">
        <f aca="false">IF($C$25=1,M21-($C$21-$C$24)/$C$12,$C$21)</f>
        <v>0.0909</v>
      </c>
      <c r="O21" s="205" t="n">
        <f aca="false">IF($C$25=1,N21-($C$21-$C$24)/$C$12,$C$21)</f>
        <v>0.0909</v>
      </c>
    </row>
    <row r="22" customFormat="false" ht="15" hidden="false" customHeight="true" outlineLevel="0" collapsed="false">
      <c r="B22" s="204" t="s">
        <v>276</v>
      </c>
      <c r="C22" s="94" t="n">
        <f aca="false">DCF!$L$13</f>
        <v>0.1722</v>
      </c>
      <c r="E22" s="90" t="s">
        <v>16</v>
      </c>
      <c r="F22" s="206" t="n">
        <f aca="false">$C$8*(1+F21)</f>
        <v>15216.41865</v>
      </c>
      <c r="G22" s="206" t="n">
        <f aca="false">F22*(1+G21)</f>
        <v>16599.591105285</v>
      </c>
      <c r="H22" s="206" t="n">
        <f aca="false">G22*(1+H21)</f>
        <v>18108.4939367554</v>
      </c>
      <c r="I22" s="206" t="n">
        <f aca="false">H22*(1+I21)</f>
        <v>19754.5560356065</v>
      </c>
      <c r="J22" s="206" t="n">
        <f aca="false">I22*(1+J21)</f>
        <v>21550.2451792431</v>
      </c>
      <c r="K22" s="206" t="n">
        <f aca="false">J22*(1+K21)</f>
        <v>23509.1624660363</v>
      </c>
      <c r="L22" s="206" t="n">
        <f aca="false">K22*(1+L21)</f>
        <v>25646.145334199</v>
      </c>
      <c r="M22" s="206" t="n">
        <f aca="false">L22*(1+M21)</f>
        <v>27977.3799450777</v>
      </c>
      <c r="N22" s="206" t="n">
        <f aca="false">M22*(1+N21)</f>
        <v>30520.5237820852</v>
      </c>
      <c r="O22" s="206" t="n">
        <f aca="false">N22*(1+O21)</f>
        <v>33294.8393938768</v>
      </c>
    </row>
    <row r="23" customFormat="false" ht="15" hidden="false" customHeight="true" outlineLevel="0" collapsed="false">
      <c r="B23" s="204" t="s">
        <v>21</v>
      </c>
      <c r="C23" s="92" t="n">
        <f aca="false">$C$14</f>
        <v>0.0860234789737754</v>
      </c>
      <c r="E23" s="90" t="s">
        <v>277</v>
      </c>
      <c r="F23" s="206" t="n">
        <f aca="false">F22*$C$22*(1-$C$4)</f>
        <v>2358.240562377</v>
      </c>
      <c r="G23" s="206" t="n">
        <f aca="false">G22*$C$22*(1-$C$4)</f>
        <v>2572.60462949707</v>
      </c>
      <c r="H23" s="206" t="n">
        <f aca="false">H22*$C$22*(1-$C$4)</f>
        <v>2806.45439031835</v>
      </c>
      <c r="I23" s="206" t="n">
        <f aca="false">I22*$C$22*(1-$C$4)</f>
        <v>3061.56109439829</v>
      </c>
      <c r="J23" s="206" t="n">
        <f aca="false">J22*$C$22*(1-$C$4)</f>
        <v>3339.8569978791</v>
      </c>
      <c r="K23" s="206" t="n">
        <f aca="false">K22*$C$22*(1-$C$4)</f>
        <v>3643.4499989863</v>
      </c>
      <c r="L23" s="206" t="n">
        <f aca="false">L22*$C$22*(1-$C$4)</f>
        <v>3974.63960389416</v>
      </c>
      <c r="M23" s="206" t="n">
        <f aca="false">M22*$C$22*(1-$C$4)</f>
        <v>4335.93434388814</v>
      </c>
      <c r="N23" s="206" t="n">
        <f aca="false">N22*$C$22*(1-$C$4)</f>
        <v>4730.07077574757</v>
      </c>
      <c r="O23" s="206" t="n">
        <f aca="false">O22*$C$22*(1-$C$4)</f>
        <v>5160.03420926302</v>
      </c>
      <c r="P23" s="206" t="n">
        <f aca="false">O23*(1+$C$24)</f>
        <v>5237.43472240197</v>
      </c>
    </row>
    <row r="24" customFormat="false" ht="15" hidden="false" customHeight="true" outlineLevel="0" collapsed="false">
      <c r="B24" s="204" t="s">
        <v>278</v>
      </c>
      <c r="C24" s="94" t="n">
        <f aca="false">DCF!$L$17</f>
        <v>0.015</v>
      </c>
      <c r="E24" s="90" t="s">
        <v>35</v>
      </c>
      <c r="F24" s="206" t="n">
        <f aca="false">F22*$C$5</f>
        <v>1224.921701325</v>
      </c>
      <c r="G24" s="206" t="n">
        <f aca="false">G22*$C$5</f>
        <v>1336.26708397544</v>
      </c>
      <c r="H24" s="206" t="n">
        <f aca="false">H22*$C$5</f>
        <v>1457.73376190881</v>
      </c>
      <c r="I24" s="206" t="n">
        <f aca="false">I22*$C$5</f>
        <v>1590.24176086632</v>
      </c>
      <c r="J24" s="206" t="n">
        <f aca="false">J22*$C$5</f>
        <v>1734.79473692907</v>
      </c>
      <c r="K24" s="206" t="n">
        <f aca="false">K22*$C$5</f>
        <v>1892.48757851592</v>
      </c>
      <c r="L24" s="206" t="n">
        <f aca="false">L22*$C$5</f>
        <v>2064.51469940302</v>
      </c>
      <c r="M24" s="206" t="n">
        <f aca="false">M22*$C$5</f>
        <v>2252.17908557875</v>
      </c>
      <c r="N24" s="206" t="n">
        <f aca="false">N22*$C$5</f>
        <v>2456.90216445786</v>
      </c>
      <c r="O24" s="206" t="n">
        <f aca="false">O22*$C$5</f>
        <v>2680.23457120708</v>
      </c>
    </row>
    <row r="25" customFormat="false" ht="15" hidden="false" customHeight="true" outlineLevel="0" collapsed="false">
      <c r="B25" s="204" t="s">
        <v>279</v>
      </c>
      <c r="C25" s="207" t="n">
        <v>0</v>
      </c>
      <c r="E25" s="90" t="s">
        <v>36</v>
      </c>
      <c r="F25" s="206" t="n">
        <f aca="false">F22*$C$6</f>
        <v>2781.56132922</v>
      </c>
      <c r="G25" s="206" t="n">
        <f aca="false">G22*$C$6</f>
        <v>3034.4052540461</v>
      </c>
      <c r="H25" s="206" t="n">
        <f aca="false">H22*$C$6</f>
        <v>3310.23269163889</v>
      </c>
      <c r="I25" s="206" t="n">
        <f aca="false">I22*$C$6</f>
        <v>3611.13284330886</v>
      </c>
      <c r="J25" s="206" t="n">
        <f aca="false">J22*$C$6</f>
        <v>3939.38481876564</v>
      </c>
      <c r="K25" s="206" t="n">
        <f aca="false">K22*$C$6</f>
        <v>4297.47489879143</v>
      </c>
      <c r="L25" s="206" t="n">
        <f aca="false">L22*$C$6</f>
        <v>4688.11536709158</v>
      </c>
      <c r="M25" s="206" t="n">
        <f aca="false">M22*$C$6</f>
        <v>5114.2650539602</v>
      </c>
      <c r="N25" s="206" t="n">
        <f aca="false">N22*$C$6</f>
        <v>5579.15174736518</v>
      </c>
      <c r="O25" s="206" t="n">
        <f aca="false">O22*$C$6</f>
        <v>6086.29664120068</v>
      </c>
    </row>
    <row r="26" customFormat="false" ht="21.75" hidden="false" customHeight="true" outlineLevel="0" collapsed="false">
      <c r="B26" s="204" t="s">
        <v>280</v>
      </c>
      <c r="C26" s="207" t="n">
        <v>0</v>
      </c>
      <c r="E26" s="90" t="s">
        <v>281</v>
      </c>
      <c r="F26" s="206" t="n">
        <f aca="false">F22*$C$7</f>
        <v>-436.711215255</v>
      </c>
      <c r="G26" s="206" t="n">
        <f aca="false">G22*$C$7</f>
        <v>-476.40826472168</v>
      </c>
      <c r="H26" s="206" t="n">
        <f aca="false">H22*$C$7</f>
        <v>-519.71377598488</v>
      </c>
      <c r="I26" s="206" t="n">
        <f aca="false">I22*$C$7</f>
        <v>-566.955758221906</v>
      </c>
      <c r="J26" s="206" t="n">
        <f aca="false">J22*$C$7</f>
        <v>-618.492036644277</v>
      </c>
      <c r="K26" s="206" t="n">
        <f aca="false">K22*$C$7</f>
        <v>-674.712962775242</v>
      </c>
      <c r="L26" s="206" t="n">
        <f aca="false">L22*$C$7</f>
        <v>-736.044371091511</v>
      </c>
      <c r="M26" s="206" t="n">
        <f aca="false">M22*$C$7</f>
        <v>-802.950804423729</v>
      </c>
      <c r="N26" s="206" t="n">
        <f aca="false">N22*$C$7</f>
        <v>-875.939032545846</v>
      </c>
      <c r="O26" s="206" t="n">
        <f aca="false">O22*$C$7</f>
        <v>-955.561890604264</v>
      </c>
    </row>
    <row r="27" customFormat="false" ht="15" hidden="false" customHeight="true" outlineLevel="0" collapsed="false">
      <c r="E27" s="89" t="s">
        <v>46</v>
      </c>
      <c r="F27" s="208" t="n">
        <f aca="false">F23+F24-F25-F26</f>
        <v>1238.312149737</v>
      </c>
      <c r="G27" s="208" t="n">
        <f aca="false">G23+G24-G25-G26</f>
        <v>1350.87472414809</v>
      </c>
      <c r="H27" s="208" t="n">
        <f aca="false">H23+H24-H25-H26</f>
        <v>1473.66923657316</v>
      </c>
      <c r="I27" s="208" t="n">
        <f aca="false">I23+I24-I25-I26</f>
        <v>1607.62577017766</v>
      </c>
      <c r="J27" s="208" t="n">
        <f aca="false">J23+J24-J25-J26</f>
        <v>1753.7589526868</v>
      </c>
      <c r="K27" s="208" t="n">
        <f aca="false">K23+K24-K25-K26</f>
        <v>1913.17564148603</v>
      </c>
      <c r="L27" s="208" t="n">
        <f aca="false">L23+L24-L25-L26</f>
        <v>2087.08330729711</v>
      </c>
      <c r="M27" s="208" t="n">
        <f aca="false">M23+M24-M25-M26</f>
        <v>2276.79917993042</v>
      </c>
      <c r="N27" s="208" t="n">
        <f aca="false">N23+N24-N25-N26</f>
        <v>2483.7602253861</v>
      </c>
      <c r="O27" s="208" t="n">
        <f aca="false">O23+O24-O25-O26</f>
        <v>2709.53402987369</v>
      </c>
      <c r="P27" s="208" t="n">
        <f aca="false">IF($C$26=1,P23*(1-$C$24/$C$23),O27*(1+$C$24))</f>
        <v>2750.1770403218</v>
      </c>
    </row>
    <row r="28" customFormat="false" ht="15" hidden="false" customHeight="true" outlineLevel="0" collapsed="false">
      <c r="B28" s="90" t="s">
        <v>96</v>
      </c>
      <c r="C28" s="95" t="n">
        <f aca="false">SUM(F29:O29)</f>
        <v>13045.07390491</v>
      </c>
      <c r="E28" s="90" t="s">
        <v>282</v>
      </c>
      <c r="F28" s="209" t="n">
        <f aca="false">DCF!O$71</f>
        <v>0.0347222222222222</v>
      </c>
      <c r="G28" s="209" t="n">
        <f aca="false">DCF!P$71</f>
        <v>0.569444444444444</v>
      </c>
      <c r="H28" s="209" t="n">
        <f aca="false">DCF!Q$71</f>
        <v>1.56944444444444</v>
      </c>
      <c r="I28" s="209" t="n">
        <f aca="false">DCF!R$71</f>
        <v>2.56944444444444</v>
      </c>
      <c r="J28" s="209" t="n">
        <f aca="false">DCF!S$71</f>
        <v>3.56944444444444</v>
      </c>
      <c r="K28" s="209" t="n">
        <f aca="false">DCF!T$71</f>
        <v>4.56944444444445</v>
      </c>
      <c r="L28" s="209" t="n">
        <f aca="false">DCF!U$71</f>
        <v>5.56944444444445</v>
      </c>
      <c r="M28" s="209" t="n">
        <f aca="false">DCF!V$71</f>
        <v>6.56944444444445</v>
      </c>
      <c r="N28" s="209" t="n">
        <f aca="false">DCF!W$71</f>
        <v>7.56944444444445</v>
      </c>
      <c r="O28" s="209" t="n">
        <f aca="false">DCF!X$71</f>
        <v>8.56944444444445</v>
      </c>
    </row>
    <row r="29" customFormat="false" ht="15" hidden="false" customHeight="true" outlineLevel="0" collapsed="false">
      <c r="B29" s="90" t="s">
        <v>94</v>
      </c>
      <c r="C29" s="95" t="n">
        <f aca="false">P27/($C$23-$C$24)</f>
        <v>38722.0828951123</v>
      </c>
      <c r="E29" s="90" t="s">
        <v>283</v>
      </c>
      <c r="F29" s="206" t="n">
        <f aca="false">F27/(1+$C$23)^F28</f>
        <v>1234.76899795583</v>
      </c>
      <c r="G29" s="206" t="n">
        <f aca="false">G27/(1+$C$23)^G28</f>
        <v>1288.86263750385</v>
      </c>
      <c r="H29" s="206" t="n">
        <f aca="false">H27/(1+$C$23)^H28</f>
        <v>1294.64995782739</v>
      </c>
      <c r="I29" s="206" t="n">
        <f aca="false">I27/(1+$C$23)^I28</f>
        <v>1300.46326468785</v>
      </c>
      <c r="J29" s="206" t="n">
        <f aca="false">J27/(1+$C$23)^J28</f>
        <v>1306.30267477139</v>
      </c>
      <c r="K29" s="206" t="n">
        <f aca="false">K27/(1+$C$23)^K28</f>
        <v>1312.16830528811</v>
      </c>
      <c r="L29" s="206" t="n">
        <f aca="false">L27/(1+$C$23)^L28</f>
        <v>1318.06027397439</v>
      </c>
      <c r="M29" s="206" t="n">
        <f aca="false">M27/(1+$C$23)^M28</f>
        <v>1323.97869909531</v>
      </c>
      <c r="N29" s="206" t="n">
        <f aca="false">N27/(1+$C$23)^N28</f>
        <v>1329.92369944697</v>
      </c>
      <c r="O29" s="206" t="n">
        <f aca="false">O27/(1+$C$23)^O28</f>
        <v>1335.89539435891</v>
      </c>
    </row>
    <row r="30" customFormat="false" ht="15" hidden="false" customHeight="true" outlineLevel="0" collapsed="false">
      <c r="B30" s="90" t="s">
        <v>95</v>
      </c>
      <c r="C30" s="95" t="n">
        <f aca="false">C29/(1+$C$23)^O28</f>
        <v>19091.346197994</v>
      </c>
    </row>
    <row r="31" customFormat="false" ht="15" hidden="false" customHeight="true" outlineLevel="0" collapsed="false">
      <c r="B31" s="90" t="s">
        <v>97</v>
      </c>
      <c r="C31" s="95" t="n">
        <f aca="false">C28+C30</f>
        <v>32136.420102904</v>
      </c>
    </row>
    <row r="32" customFormat="false" ht="15" hidden="false" customHeight="true" outlineLevel="0" collapsed="false">
      <c r="B32" s="90" t="s">
        <v>284</v>
      </c>
      <c r="C32" s="95" t="n">
        <f aca="false">C31+$C$9-$C$10</f>
        <v>33036.420102904</v>
      </c>
    </row>
    <row r="33" customFormat="false" ht="15" hidden="false" customHeight="true" outlineLevel="0" collapsed="false">
      <c r="B33" s="202" t="s">
        <v>99</v>
      </c>
      <c r="C33" s="210" t="n">
        <f aca="false">C32/$C$11</f>
        <v>30.9677728748631</v>
      </c>
    </row>
    <row r="34" customFormat="false" ht="15" hidden="false" customHeight="true" outlineLevel="0" collapsed="false">
      <c r="B34" s="90" t="s">
        <v>93</v>
      </c>
      <c r="C34" s="96" t="n">
        <f aca="false">1-P27/P23</f>
        <v>0.474899987095109</v>
      </c>
    </row>
    <row r="35" customFormat="false" ht="15" hidden="false" customHeight="true" outlineLevel="0" collapsed="false">
      <c r="B35" s="90" t="s">
        <v>285</v>
      </c>
      <c r="C35" s="96" t="n">
        <f aca="false">C30/C31</f>
        <v>0.594071963736521</v>
      </c>
    </row>
    <row r="38" customFormat="false" ht="15" hidden="false" customHeight="true" outlineLevel="0" collapsed="false">
      <c r="B38" s="85" t="s">
        <v>286</v>
      </c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</row>
    <row r="39" customFormat="false" ht="15" hidden="false" customHeight="true" outlineLevel="0" collapsed="false">
      <c r="B39" s="202" t="s">
        <v>272</v>
      </c>
      <c r="C39" s="202" t="s">
        <v>183</v>
      </c>
      <c r="E39" s="202" t="s">
        <v>273</v>
      </c>
      <c r="F39" s="203" t="str">
        <f aca="false">"FY"&amp;RIGHT(DCF!O$38,2)</f>
        <v>FY26</v>
      </c>
      <c r="G39" s="203" t="str">
        <f aca="false">"FY"&amp;RIGHT(DCF!P$38,2)</f>
        <v>FY27</v>
      </c>
      <c r="H39" s="203" t="str">
        <f aca="false">"FY"&amp;RIGHT(DCF!Q$38,2)</f>
        <v>FY28</v>
      </c>
      <c r="I39" s="203" t="str">
        <f aca="false">"FY"&amp;RIGHT(DCF!R$38,2)</f>
        <v>FY29</v>
      </c>
      <c r="J39" s="203" t="str">
        <f aca="false">"FY"&amp;RIGHT(DCF!S$38,2)</f>
        <v>FY30</v>
      </c>
      <c r="K39" s="203" t="str">
        <f aca="false">"FY"&amp;RIGHT(DCF!T$38,2)</f>
        <v>FY31</v>
      </c>
      <c r="L39" s="203" t="str">
        <f aca="false">"FY"&amp;RIGHT(DCF!U$38,2)</f>
        <v>FY32</v>
      </c>
      <c r="M39" s="203" t="str">
        <f aca="false">"FY"&amp;RIGHT(DCF!V$38,2)</f>
        <v>FY33</v>
      </c>
      <c r="N39" s="203" t="str">
        <f aca="false">"FY"&amp;RIGHT(DCF!W$38,2)</f>
        <v>FY34</v>
      </c>
      <c r="O39" s="203" t="str">
        <f aca="false">"FY"&amp;RIGHT(DCF!X$38,2)</f>
        <v>FY35</v>
      </c>
      <c r="P39" s="203" t="s">
        <v>40</v>
      </c>
    </row>
    <row r="40" customFormat="false" ht="15" hidden="false" customHeight="true" outlineLevel="0" collapsed="false">
      <c r="B40" s="204" t="s">
        <v>274</v>
      </c>
      <c r="C40" s="94" t="n">
        <f aca="false">DCF!$L$11</f>
        <v>0.0909</v>
      </c>
      <c r="E40" s="90" t="s">
        <v>275</v>
      </c>
      <c r="F40" s="205" t="n">
        <f aca="false">$C$40</f>
        <v>0.0909</v>
      </c>
      <c r="G40" s="205" t="n">
        <f aca="false">IF($C$44=1,F40-($C$40-$C$43)/$C$12,$C$40)</f>
        <v>0.0909</v>
      </c>
      <c r="H40" s="205" t="n">
        <f aca="false">IF($C$44=1,G40-($C$40-$C$43)/$C$12,$C$40)</f>
        <v>0.0909</v>
      </c>
      <c r="I40" s="205" t="n">
        <f aca="false">IF($C$44=1,H40-($C$40-$C$43)/$C$12,$C$40)</f>
        <v>0.0909</v>
      </c>
      <c r="J40" s="205" t="n">
        <f aca="false">IF($C$44=1,I40-($C$40-$C$43)/$C$12,$C$40)</f>
        <v>0.0909</v>
      </c>
      <c r="K40" s="205" t="n">
        <f aca="false">IF($C$44=1,J40-($C$40-$C$43)/$C$12,$C$40)</f>
        <v>0.0909</v>
      </c>
      <c r="L40" s="205" t="n">
        <f aca="false">IF($C$44=1,K40-($C$40-$C$43)/$C$12,$C$40)</f>
        <v>0.0909</v>
      </c>
      <c r="M40" s="205" t="n">
        <f aca="false">IF($C$44=1,L40-($C$40-$C$43)/$C$12,$C$40)</f>
        <v>0.0909</v>
      </c>
      <c r="N40" s="205" t="n">
        <f aca="false">IF($C$44=1,M40-($C$40-$C$43)/$C$12,$C$40)</f>
        <v>0.0909</v>
      </c>
      <c r="O40" s="205" t="n">
        <f aca="false">IF($C$44=1,N40-($C$40-$C$43)/$C$12,$C$40)</f>
        <v>0.0909</v>
      </c>
    </row>
    <row r="41" customFormat="false" ht="15" hidden="false" customHeight="true" outlineLevel="0" collapsed="false">
      <c r="B41" s="204" t="s">
        <v>276</v>
      </c>
      <c r="C41" s="94" t="n">
        <f aca="false">DCF!$L$13</f>
        <v>0.1722</v>
      </c>
      <c r="E41" s="90" t="s">
        <v>16</v>
      </c>
      <c r="F41" s="206" t="n">
        <f aca="false">$C$8*(1+F40)</f>
        <v>15216.41865</v>
      </c>
      <c r="G41" s="206" t="n">
        <f aca="false">F41*(1+G40)</f>
        <v>16599.591105285</v>
      </c>
      <c r="H41" s="206" t="n">
        <f aca="false">G41*(1+H40)</f>
        <v>18108.4939367554</v>
      </c>
      <c r="I41" s="206" t="n">
        <f aca="false">H41*(1+I40)</f>
        <v>19754.5560356065</v>
      </c>
      <c r="J41" s="206" t="n">
        <f aca="false">I41*(1+J40)</f>
        <v>21550.2451792431</v>
      </c>
      <c r="K41" s="206" t="n">
        <f aca="false">J41*(1+K40)</f>
        <v>23509.1624660363</v>
      </c>
      <c r="L41" s="206" t="n">
        <f aca="false">K41*(1+L40)</f>
        <v>25646.145334199</v>
      </c>
      <c r="M41" s="206" t="n">
        <f aca="false">L41*(1+M40)</f>
        <v>27977.3799450777</v>
      </c>
      <c r="N41" s="206" t="n">
        <f aca="false">M41*(1+N40)</f>
        <v>30520.5237820852</v>
      </c>
      <c r="O41" s="206" t="n">
        <f aca="false">N41*(1+O40)</f>
        <v>33294.8393938768</v>
      </c>
    </row>
    <row r="42" customFormat="false" ht="15" hidden="false" customHeight="true" outlineLevel="0" collapsed="false">
      <c r="B42" s="204" t="s">
        <v>21</v>
      </c>
      <c r="C42" s="92" t="n">
        <f aca="false">$C$15</f>
        <v>0.0858338239797238</v>
      </c>
      <c r="E42" s="90" t="s">
        <v>277</v>
      </c>
      <c r="F42" s="206" t="n">
        <f aca="false">F41*$C$41*(1-$C$4)</f>
        <v>2358.240562377</v>
      </c>
      <c r="G42" s="206" t="n">
        <f aca="false">G41*$C$41*(1-$C$4)</f>
        <v>2572.60462949707</v>
      </c>
      <c r="H42" s="206" t="n">
        <f aca="false">H41*$C$41*(1-$C$4)</f>
        <v>2806.45439031835</v>
      </c>
      <c r="I42" s="206" t="n">
        <f aca="false">I41*$C$41*(1-$C$4)</f>
        <v>3061.56109439829</v>
      </c>
      <c r="J42" s="206" t="n">
        <f aca="false">J41*$C$41*(1-$C$4)</f>
        <v>3339.8569978791</v>
      </c>
      <c r="K42" s="206" t="n">
        <f aca="false">K41*$C$41*(1-$C$4)</f>
        <v>3643.4499989863</v>
      </c>
      <c r="L42" s="206" t="n">
        <f aca="false">L41*$C$41*(1-$C$4)</f>
        <v>3974.63960389416</v>
      </c>
      <c r="M42" s="206" t="n">
        <f aca="false">M41*$C$41*(1-$C$4)</f>
        <v>4335.93434388814</v>
      </c>
      <c r="N42" s="206" t="n">
        <f aca="false">N41*$C$41*(1-$C$4)</f>
        <v>4730.07077574757</v>
      </c>
      <c r="O42" s="206" t="n">
        <f aca="false">O41*$C$41*(1-$C$4)</f>
        <v>5160.03420926302</v>
      </c>
      <c r="P42" s="206" t="n">
        <f aca="false">O42*(1+$C$43)</f>
        <v>5237.43472240197</v>
      </c>
    </row>
    <row r="43" customFormat="false" ht="15" hidden="false" customHeight="true" outlineLevel="0" collapsed="false">
      <c r="B43" s="204" t="s">
        <v>278</v>
      </c>
      <c r="C43" s="94" t="n">
        <f aca="false">DCF!$L$17</f>
        <v>0.015</v>
      </c>
      <c r="E43" s="90" t="s">
        <v>35</v>
      </c>
      <c r="F43" s="206" t="n">
        <f aca="false">F41*$C$5</f>
        <v>1224.921701325</v>
      </c>
      <c r="G43" s="206" t="n">
        <f aca="false">G41*$C$5</f>
        <v>1336.26708397544</v>
      </c>
      <c r="H43" s="206" t="n">
        <f aca="false">H41*$C$5</f>
        <v>1457.73376190881</v>
      </c>
      <c r="I43" s="206" t="n">
        <f aca="false">I41*$C$5</f>
        <v>1590.24176086632</v>
      </c>
      <c r="J43" s="206" t="n">
        <f aca="false">J41*$C$5</f>
        <v>1734.79473692907</v>
      </c>
      <c r="K43" s="206" t="n">
        <f aca="false">K41*$C$5</f>
        <v>1892.48757851592</v>
      </c>
      <c r="L43" s="206" t="n">
        <f aca="false">L41*$C$5</f>
        <v>2064.51469940302</v>
      </c>
      <c r="M43" s="206" t="n">
        <f aca="false">M41*$C$5</f>
        <v>2252.17908557875</v>
      </c>
      <c r="N43" s="206" t="n">
        <f aca="false">N41*$C$5</f>
        <v>2456.90216445786</v>
      </c>
      <c r="O43" s="206" t="n">
        <f aca="false">O41*$C$5</f>
        <v>2680.23457120708</v>
      </c>
    </row>
    <row r="44" customFormat="false" ht="15" hidden="false" customHeight="true" outlineLevel="0" collapsed="false">
      <c r="B44" s="204" t="s">
        <v>279</v>
      </c>
      <c r="C44" s="207" t="n">
        <v>0</v>
      </c>
      <c r="E44" s="90" t="s">
        <v>36</v>
      </c>
      <c r="F44" s="206" t="n">
        <f aca="false">F41*$C$6</f>
        <v>2781.56132922</v>
      </c>
      <c r="G44" s="206" t="n">
        <f aca="false">G41*$C$6</f>
        <v>3034.4052540461</v>
      </c>
      <c r="H44" s="206" t="n">
        <f aca="false">H41*$C$6</f>
        <v>3310.23269163889</v>
      </c>
      <c r="I44" s="206" t="n">
        <f aca="false">I41*$C$6</f>
        <v>3611.13284330886</v>
      </c>
      <c r="J44" s="206" t="n">
        <f aca="false">J41*$C$6</f>
        <v>3939.38481876564</v>
      </c>
      <c r="K44" s="206" t="n">
        <f aca="false">K41*$C$6</f>
        <v>4297.47489879143</v>
      </c>
      <c r="L44" s="206" t="n">
        <f aca="false">L41*$C$6</f>
        <v>4688.11536709158</v>
      </c>
      <c r="M44" s="206" t="n">
        <f aca="false">M41*$C$6</f>
        <v>5114.2650539602</v>
      </c>
      <c r="N44" s="206" t="n">
        <f aca="false">N41*$C$6</f>
        <v>5579.15174736518</v>
      </c>
      <c r="O44" s="206" t="n">
        <f aca="false">O41*$C$6</f>
        <v>6086.29664120068</v>
      </c>
    </row>
    <row r="45" customFormat="false" ht="21.75" hidden="false" customHeight="true" outlineLevel="0" collapsed="false">
      <c r="B45" s="204" t="s">
        <v>280</v>
      </c>
      <c r="C45" s="207" t="n">
        <v>0</v>
      </c>
      <c r="E45" s="90" t="s">
        <v>281</v>
      </c>
      <c r="F45" s="206" t="n">
        <f aca="false">F41*$C$7</f>
        <v>-436.711215255</v>
      </c>
      <c r="G45" s="206" t="n">
        <f aca="false">G41*$C$7</f>
        <v>-476.40826472168</v>
      </c>
      <c r="H45" s="206" t="n">
        <f aca="false">H41*$C$7</f>
        <v>-519.71377598488</v>
      </c>
      <c r="I45" s="206" t="n">
        <f aca="false">I41*$C$7</f>
        <v>-566.955758221906</v>
      </c>
      <c r="J45" s="206" t="n">
        <f aca="false">J41*$C$7</f>
        <v>-618.492036644277</v>
      </c>
      <c r="K45" s="206" t="n">
        <f aca="false">K41*$C$7</f>
        <v>-674.712962775242</v>
      </c>
      <c r="L45" s="206" t="n">
        <f aca="false">L41*$C$7</f>
        <v>-736.044371091511</v>
      </c>
      <c r="M45" s="206" t="n">
        <f aca="false">M41*$C$7</f>
        <v>-802.950804423729</v>
      </c>
      <c r="N45" s="206" t="n">
        <f aca="false">N41*$C$7</f>
        <v>-875.939032545846</v>
      </c>
      <c r="O45" s="206" t="n">
        <f aca="false">O41*$C$7</f>
        <v>-955.561890604264</v>
      </c>
    </row>
    <row r="46" customFormat="false" ht="15" hidden="false" customHeight="true" outlineLevel="0" collapsed="false">
      <c r="E46" s="89" t="s">
        <v>46</v>
      </c>
      <c r="F46" s="208" t="n">
        <f aca="false">F42+F43-F44-F45</f>
        <v>1238.312149737</v>
      </c>
      <c r="G46" s="208" t="n">
        <f aca="false">G42+G43-G44-G45</f>
        <v>1350.87472414809</v>
      </c>
      <c r="H46" s="208" t="n">
        <f aca="false">H42+H43-H44-H45</f>
        <v>1473.66923657316</v>
      </c>
      <c r="I46" s="208" t="n">
        <f aca="false">I42+I43-I44-I45</f>
        <v>1607.62577017766</v>
      </c>
      <c r="J46" s="208" t="n">
        <f aca="false">J42+J43-J44-J45</f>
        <v>1753.7589526868</v>
      </c>
      <c r="K46" s="208" t="n">
        <f aca="false">K42+K43-K44-K45</f>
        <v>1913.17564148603</v>
      </c>
      <c r="L46" s="208" t="n">
        <f aca="false">L42+L43-L44-L45</f>
        <v>2087.08330729711</v>
      </c>
      <c r="M46" s="208" t="n">
        <f aca="false">M42+M43-M44-M45</f>
        <v>2276.79917993042</v>
      </c>
      <c r="N46" s="208" t="n">
        <f aca="false">N42+N43-N44-N45</f>
        <v>2483.7602253861</v>
      </c>
      <c r="O46" s="208" t="n">
        <f aca="false">O42+O43-O44-O45</f>
        <v>2709.53402987369</v>
      </c>
      <c r="P46" s="208" t="n">
        <f aca="false">IF($C$45=1,P42*(1-$C$43/$C$42),O46*(1+$C$43))</f>
        <v>2750.1770403218</v>
      </c>
    </row>
    <row r="47" customFormat="false" ht="15" hidden="false" customHeight="true" outlineLevel="0" collapsed="false">
      <c r="B47" s="90" t="s">
        <v>96</v>
      </c>
      <c r="C47" s="95" t="n">
        <f aca="false">SUM(F48:O48)</f>
        <v>13054.5731443257</v>
      </c>
      <c r="E47" s="90" t="s">
        <v>282</v>
      </c>
      <c r="F47" s="209" t="n">
        <f aca="false">DCF!O$71</f>
        <v>0.0347222222222222</v>
      </c>
      <c r="G47" s="209" t="n">
        <f aca="false">DCF!P$71</f>
        <v>0.569444444444444</v>
      </c>
      <c r="H47" s="209" t="n">
        <f aca="false">DCF!Q$71</f>
        <v>1.56944444444444</v>
      </c>
      <c r="I47" s="209" t="n">
        <f aca="false">DCF!R$71</f>
        <v>2.56944444444444</v>
      </c>
      <c r="J47" s="209" t="n">
        <f aca="false">DCF!S$71</f>
        <v>3.56944444444444</v>
      </c>
      <c r="K47" s="209" t="n">
        <f aca="false">DCF!T$71</f>
        <v>4.56944444444445</v>
      </c>
      <c r="L47" s="209" t="n">
        <f aca="false">DCF!U$71</f>
        <v>5.56944444444445</v>
      </c>
      <c r="M47" s="209" t="n">
        <f aca="false">DCF!V$71</f>
        <v>6.56944444444445</v>
      </c>
      <c r="N47" s="209" t="n">
        <f aca="false">DCF!W$71</f>
        <v>7.56944444444445</v>
      </c>
      <c r="O47" s="209" t="n">
        <f aca="false">DCF!X$71</f>
        <v>8.56944444444445</v>
      </c>
    </row>
    <row r="48" customFormat="false" ht="15" hidden="false" customHeight="true" outlineLevel="0" collapsed="false">
      <c r="B48" s="90" t="s">
        <v>94</v>
      </c>
      <c r="C48" s="95" t="n">
        <f aca="false">P46/($C$42-$C$43)</f>
        <v>38825.7598673345</v>
      </c>
      <c r="E48" s="90" t="s">
        <v>283</v>
      </c>
      <c r="F48" s="206" t="n">
        <f aca="false">F46/(1+$C$42)^F47</f>
        <v>1234.77648581277</v>
      </c>
      <c r="G48" s="206" t="n">
        <f aca="false">G46/(1+$C$42)^G47</f>
        <v>1288.99082409038</v>
      </c>
      <c r="H48" s="206" t="n">
        <f aca="false">H46/(1+$C$42)^H47</f>
        <v>1295.00486994081</v>
      </c>
      <c r="I48" s="206" t="n">
        <f aca="false">I46/(1+$C$42)^I47</f>
        <v>1301.04697553132</v>
      </c>
      <c r="J48" s="206" t="n">
        <f aca="false">J46/(1+$C$42)^J47</f>
        <v>1307.11727178027</v>
      </c>
      <c r="K48" s="206" t="n">
        <f aca="false">K46/(1+$C$42)^K47</f>
        <v>1313.21589021685</v>
      </c>
      <c r="L48" s="206" t="n">
        <f aca="false">L46/(1+$C$42)^L47</f>
        <v>1319.34296298391</v>
      </c>
      <c r="M48" s="206" t="n">
        <f aca="false">M46/(1+$C$42)^M47</f>
        <v>1325.49862284086</v>
      </c>
      <c r="N48" s="206" t="n">
        <f aca="false">N46/(1+$C$42)^N47</f>
        <v>1331.68300316651</v>
      </c>
      <c r="O48" s="206" t="n">
        <f aca="false">O46/(1+$C$42)^O47</f>
        <v>1337.89623796198</v>
      </c>
    </row>
    <row r="49" customFormat="false" ht="15" hidden="false" customHeight="true" outlineLevel="0" collapsed="false">
      <c r="B49" s="90" t="s">
        <v>95</v>
      </c>
      <c r="C49" s="95" t="n">
        <f aca="false">C48/(1+$C$42)^O47</f>
        <v>19171.1332981279</v>
      </c>
    </row>
    <row r="50" customFormat="false" ht="15" hidden="false" customHeight="true" outlineLevel="0" collapsed="false">
      <c r="B50" s="90" t="s">
        <v>97</v>
      </c>
      <c r="C50" s="95" t="n">
        <f aca="false">C47+C49</f>
        <v>32225.7064424536</v>
      </c>
    </row>
    <row r="51" customFormat="false" ht="15" hidden="false" customHeight="true" outlineLevel="0" collapsed="false">
      <c r="B51" s="90" t="s">
        <v>284</v>
      </c>
      <c r="C51" s="95" t="n">
        <f aca="false">C50+$C$9-$C$10</f>
        <v>33125.7064424536</v>
      </c>
    </row>
    <row r="52" customFormat="false" ht="15" hidden="false" customHeight="true" outlineLevel="0" collapsed="false">
      <c r="B52" s="202" t="s">
        <v>99</v>
      </c>
      <c r="C52" s="210" t="n">
        <f aca="false">C51/$C$11</f>
        <v>31.0514683562557</v>
      </c>
    </row>
    <row r="53" customFormat="false" ht="15" hidden="false" customHeight="true" outlineLevel="0" collapsed="false">
      <c r="B53" s="90" t="s">
        <v>93</v>
      </c>
      <c r="C53" s="96" t="n">
        <f aca="false">1-P46/P42</f>
        <v>0.474899987095109</v>
      </c>
    </row>
    <row r="54" customFormat="false" ht="15" hidden="false" customHeight="true" outlineLevel="0" collapsed="false">
      <c r="B54" s="90" t="s">
        <v>285</v>
      </c>
      <c r="C54" s="96" t="n">
        <f aca="false">C49/C50</f>
        <v>0.59490187848519</v>
      </c>
    </row>
    <row r="57" customFormat="false" ht="15" hidden="false" customHeight="true" outlineLevel="0" collapsed="false">
      <c r="B57" s="85" t="s">
        <v>287</v>
      </c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</row>
    <row r="58" customFormat="false" ht="15" hidden="false" customHeight="true" outlineLevel="0" collapsed="false">
      <c r="B58" s="202" t="s">
        <v>272</v>
      </c>
      <c r="C58" s="202" t="s">
        <v>183</v>
      </c>
      <c r="E58" s="202" t="s">
        <v>273</v>
      </c>
      <c r="F58" s="203" t="str">
        <f aca="false">"FY"&amp;RIGHT(DCF!O$38,2)</f>
        <v>FY26</v>
      </c>
      <c r="G58" s="203" t="str">
        <f aca="false">"FY"&amp;RIGHT(DCF!P$38,2)</f>
        <v>FY27</v>
      </c>
      <c r="H58" s="203" t="str">
        <f aca="false">"FY"&amp;RIGHT(DCF!Q$38,2)</f>
        <v>FY28</v>
      </c>
      <c r="I58" s="203" t="str">
        <f aca="false">"FY"&amp;RIGHT(DCF!R$38,2)</f>
        <v>FY29</v>
      </c>
      <c r="J58" s="203" t="str">
        <f aca="false">"FY"&amp;RIGHT(DCF!S$38,2)</f>
        <v>FY30</v>
      </c>
      <c r="K58" s="203" t="str">
        <f aca="false">"FY"&amp;RIGHT(DCF!T$38,2)</f>
        <v>FY31</v>
      </c>
      <c r="L58" s="203" t="str">
        <f aca="false">"FY"&amp;RIGHT(DCF!U$38,2)</f>
        <v>FY32</v>
      </c>
      <c r="M58" s="203" t="str">
        <f aca="false">"FY"&amp;RIGHT(DCF!V$38,2)</f>
        <v>FY33</v>
      </c>
      <c r="N58" s="203" t="str">
        <f aca="false">"FY"&amp;RIGHT(DCF!W$38,2)</f>
        <v>FY34</v>
      </c>
      <c r="O58" s="203" t="str">
        <f aca="false">"FY"&amp;RIGHT(DCF!X$38,2)</f>
        <v>FY35</v>
      </c>
      <c r="P58" s="203" t="s">
        <v>40</v>
      </c>
    </row>
    <row r="59" customFormat="false" ht="15" hidden="false" customHeight="true" outlineLevel="0" collapsed="false">
      <c r="B59" s="204" t="s">
        <v>274</v>
      </c>
      <c r="C59" s="94" t="n">
        <f aca="false">DCF!$L$11</f>
        <v>0.0909</v>
      </c>
      <c r="E59" s="90" t="s">
        <v>275</v>
      </c>
      <c r="F59" s="205" t="n">
        <f aca="false">$C$59</f>
        <v>0.0909</v>
      </c>
      <c r="G59" s="205" t="n">
        <f aca="false">IF($C$63=1,F59-($C$59-$C$62)/$C$12,$C$59)</f>
        <v>0.0909</v>
      </c>
      <c r="H59" s="205" t="n">
        <f aca="false">IF($C$63=1,G59-($C$59-$C$62)/$C$12,$C$59)</f>
        <v>0.0909</v>
      </c>
      <c r="I59" s="205" t="n">
        <f aca="false">IF($C$63=1,H59-($C$59-$C$62)/$C$12,$C$59)</f>
        <v>0.0909</v>
      </c>
      <c r="J59" s="205" t="n">
        <f aca="false">IF($C$63=1,I59-($C$59-$C$62)/$C$12,$C$59)</f>
        <v>0.0909</v>
      </c>
      <c r="K59" s="205" t="n">
        <f aca="false">IF($C$63=1,J59-($C$59-$C$62)/$C$12,$C$59)</f>
        <v>0.0909</v>
      </c>
      <c r="L59" s="205" t="n">
        <f aca="false">IF($C$63=1,K59-($C$59-$C$62)/$C$12,$C$59)</f>
        <v>0.0909</v>
      </c>
      <c r="M59" s="205" t="n">
        <f aca="false">IF($C$63=1,L59-($C$59-$C$62)/$C$12,$C$59)</f>
        <v>0.0909</v>
      </c>
      <c r="N59" s="205" t="n">
        <f aca="false">IF($C$63=1,M59-($C$59-$C$62)/$C$12,$C$59)</f>
        <v>0.0909</v>
      </c>
      <c r="O59" s="205" t="n">
        <f aca="false">IF($C$63=1,N59-($C$59-$C$62)/$C$12,$C$59)</f>
        <v>0.0909</v>
      </c>
    </row>
    <row r="60" customFormat="false" ht="15" hidden="false" customHeight="true" outlineLevel="0" collapsed="false">
      <c r="B60" s="204" t="s">
        <v>276</v>
      </c>
      <c r="C60" s="94" t="n">
        <f aca="false">DCF!$L$13</f>
        <v>0.1722</v>
      </c>
      <c r="E60" s="90" t="s">
        <v>16</v>
      </c>
      <c r="F60" s="206" t="n">
        <f aca="false">$C$8*(1+F59)</f>
        <v>15216.41865</v>
      </c>
      <c r="G60" s="206" t="n">
        <f aca="false">F60*(1+G59)</f>
        <v>16599.591105285</v>
      </c>
      <c r="H60" s="206" t="n">
        <f aca="false">G60*(1+H59)</f>
        <v>18108.4939367554</v>
      </c>
      <c r="I60" s="206" t="n">
        <f aca="false">H60*(1+I59)</f>
        <v>19754.5560356065</v>
      </c>
      <c r="J60" s="206" t="n">
        <f aca="false">I60*(1+J59)</f>
        <v>21550.2451792431</v>
      </c>
      <c r="K60" s="206" t="n">
        <f aca="false">J60*(1+K59)</f>
        <v>23509.1624660363</v>
      </c>
      <c r="L60" s="206" t="n">
        <f aca="false">K60*(1+L59)</f>
        <v>25646.145334199</v>
      </c>
      <c r="M60" s="206" t="n">
        <f aca="false">L60*(1+M59)</f>
        <v>27977.3799450777</v>
      </c>
      <c r="N60" s="206" t="n">
        <f aca="false">M60*(1+N59)</f>
        <v>30520.5237820852</v>
      </c>
      <c r="O60" s="206" t="n">
        <f aca="false">N60*(1+O59)</f>
        <v>33294.8393938768</v>
      </c>
    </row>
    <row r="61" customFormat="false" ht="15" hidden="false" customHeight="true" outlineLevel="0" collapsed="false">
      <c r="B61" s="204" t="s">
        <v>21</v>
      </c>
      <c r="C61" s="92" t="n">
        <f aca="false">$C$14</f>
        <v>0.0860234789737754</v>
      </c>
      <c r="E61" s="90" t="s">
        <v>277</v>
      </c>
      <c r="F61" s="206" t="n">
        <f aca="false">F60*$C$60*(1-$C$4)</f>
        <v>2358.240562377</v>
      </c>
      <c r="G61" s="206" t="n">
        <f aca="false">G60*$C$60*(1-$C$4)</f>
        <v>2572.60462949707</v>
      </c>
      <c r="H61" s="206" t="n">
        <f aca="false">H60*$C$60*(1-$C$4)</f>
        <v>2806.45439031835</v>
      </c>
      <c r="I61" s="206" t="n">
        <f aca="false">I60*$C$60*(1-$C$4)</f>
        <v>3061.56109439829</v>
      </c>
      <c r="J61" s="206" t="n">
        <f aca="false">J60*$C$60*(1-$C$4)</f>
        <v>3339.8569978791</v>
      </c>
      <c r="K61" s="206" t="n">
        <f aca="false">K60*$C$60*(1-$C$4)</f>
        <v>3643.4499989863</v>
      </c>
      <c r="L61" s="206" t="n">
        <f aca="false">L60*$C$60*(1-$C$4)</f>
        <v>3974.63960389416</v>
      </c>
      <c r="M61" s="206" t="n">
        <f aca="false">M60*$C$60*(1-$C$4)</f>
        <v>4335.93434388814</v>
      </c>
      <c r="N61" s="206" t="n">
        <f aca="false">N60*$C$60*(1-$C$4)</f>
        <v>4730.07077574757</v>
      </c>
      <c r="O61" s="206" t="n">
        <f aca="false">O60*$C$60*(1-$C$4)</f>
        <v>5160.03420926302</v>
      </c>
      <c r="P61" s="206" t="n">
        <f aca="false">O61*(1+$C$62)</f>
        <v>5237.43472240197</v>
      </c>
    </row>
    <row r="62" customFormat="false" ht="15" hidden="false" customHeight="true" outlineLevel="0" collapsed="false">
      <c r="B62" s="204" t="s">
        <v>278</v>
      </c>
      <c r="C62" s="94" t="n">
        <f aca="false">DCF!$L$17</f>
        <v>0.015</v>
      </c>
      <c r="E62" s="90" t="s">
        <v>35</v>
      </c>
      <c r="F62" s="206" t="n">
        <f aca="false">F60*$C$5</f>
        <v>1224.921701325</v>
      </c>
      <c r="G62" s="206" t="n">
        <f aca="false">G60*$C$5</f>
        <v>1336.26708397544</v>
      </c>
      <c r="H62" s="206" t="n">
        <f aca="false">H60*$C$5</f>
        <v>1457.73376190881</v>
      </c>
      <c r="I62" s="206" t="n">
        <f aca="false">I60*$C$5</f>
        <v>1590.24176086632</v>
      </c>
      <c r="J62" s="206" t="n">
        <f aca="false">J60*$C$5</f>
        <v>1734.79473692907</v>
      </c>
      <c r="K62" s="206" t="n">
        <f aca="false">K60*$C$5</f>
        <v>1892.48757851592</v>
      </c>
      <c r="L62" s="206" t="n">
        <f aca="false">L60*$C$5</f>
        <v>2064.51469940302</v>
      </c>
      <c r="M62" s="206" t="n">
        <f aca="false">M60*$C$5</f>
        <v>2252.17908557875</v>
      </c>
      <c r="N62" s="206" t="n">
        <f aca="false">N60*$C$5</f>
        <v>2456.90216445786</v>
      </c>
      <c r="O62" s="206" t="n">
        <f aca="false">O60*$C$5</f>
        <v>2680.23457120708</v>
      </c>
    </row>
    <row r="63" customFormat="false" ht="15" hidden="false" customHeight="true" outlineLevel="0" collapsed="false">
      <c r="B63" s="204" t="s">
        <v>279</v>
      </c>
      <c r="C63" s="207" t="n">
        <v>0</v>
      </c>
      <c r="E63" s="90" t="s">
        <v>36</v>
      </c>
      <c r="F63" s="206" t="n">
        <f aca="false">F60*$C$6</f>
        <v>2781.56132922</v>
      </c>
      <c r="G63" s="206" t="n">
        <f aca="false">G60*$C$6</f>
        <v>3034.4052540461</v>
      </c>
      <c r="H63" s="206" t="n">
        <f aca="false">H60*$C$6</f>
        <v>3310.23269163889</v>
      </c>
      <c r="I63" s="206" t="n">
        <f aca="false">I60*$C$6</f>
        <v>3611.13284330886</v>
      </c>
      <c r="J63" s="206" t="n">
        <f aca="false">J60*$C$6</f>
        <v>3939.38481876564</v>
      </c>
      <c r="K63" s="206" t="n">
        <f aca="false">K60*$C$6</f>
        <v>4297.47489879143</v>
      </c>
      <c r="L63" s="206" t="n">
        <f aca="false">L60*$C$6</f>
        <v>4688.11536709158</v>
      </c>
      <c r="M63" s="206" t="n">
        <f aca="false">M60*$C$6</f>
        <v>5114.2650539602</v>
      </c>
      <c r="N63" s="206" t="n">
        <f aca="false">N60*$C$6</f>
        <v>5579.15174736518</v>
      </c>
      <c r="O63" s="206" t="n">
        <f aca="false">O60*$C$6</f>
        <v>6086.29664120068</v>
      </c>
    </row>
    <row r="64" customFormat="false" ht="21.75" hidden="false" customHeight="true" outlineLevel="0" collapsed="false">
      <c r="B64" s="204" t="s">
        <v>280</v>
      </c>
      <c r="C64" s="207" t="n">
        <v>1</v>
      </c>
      <c r="E64" s="90" t="s">
        <v>281</v>
      </c>
      <c r="F64" s="206" t="n">
        <f aca="false">F60*$C$7</f>
        <v>-436.711215255</v>
      </c>
      <c r="G64" s="206" t="n">
        <f aca="false">G60*$C$7</f>
        <v>-476.40826472168</v>
      </c>
      <c r="H64" s="206" t="n">
        <f aca="false">H60*$C$7</f>
        <v>-519.71377598488</v>
      </c>
      <c r="I64" s="206" t="n">
        <f aca="false">I60*$C$7</f>
        <v>-566.955758221906</v>
      </c>
      <c r="J64" s="206" t="n">
        <f aca="false">J60*$C$7</f>
        <v>-618.492036644277</v>
      </c>
      <c r="K64" s="206" t="n">
        <f aca="false">K60*$C$7</f>
        <v>-674.712962775242</v>
      </c>
      <c r="L64" s="206" t="n">
        <f aca="false">L60*$C$7</f>
        <v>-736.044371091511</v>
      </c>
      <c r="M64" s="206" t="n">
        <f aca="false">M60*$C$7</f>
        <v>-802.950804423729</v>
      </c>
      <c r="N64" s="206" t="n">
        <f aca="false">N60*$C$7</f>
        <v>-875.939032545846</v>
      </c>
      <c r="O64" s="206" t="n">
        <f aca="false">O60*$C$7</f>
        <v>-955.561890604264</v>
      </c>
    </row>
    <row r="65" customFormat="false" ht="15" hidden="false" customHeight="true" outlineLevel="0" collapsed="false">
      <c r="E65" s="89" t="s">
        <v>46</v>
      </c>
      <c r="F65" s="208" t="n">
        <f aca="false">F61+F62-F63-F64</f>
        <v>1238.312149737</v>
      </c>
      <c r="G65" s="208" t="n">
        <f aca="false">G61+G62-G63-G64</f>
        <v>1350.87472414809</v>
      </c>
      <c r="H65" s="208" t="n">
        <f aca="false">H61+H62-H63-H64</f>
        <v>1473.66923657316</v>
      </c>
      <c r="I65" s="208" t="n">
        <f aca="false">I61+I62-I63-I64</f>
        <v>1607.62577017766</v>
      </c>
      <c r="J65" s="208" t="n">
        <f aca="false">J61+J62-J63-J64</f>
        <v>1753.7589526868</v>
      </c>
      <c r="K65" s="208" t="n">
        <f aca="false">K61+K62-K63-K64</f>
        <v>1913.17564148603</v>
      </c>
      <c r="L65" s="208" t="n">
        <f aca="false">L61+L62-L63-L64</f>
        <v>2087.08330729711</v>
      </c>
      <c r="M65" s="208" t="n">
        <f aca="false">M61+M62-M63-M64</f>
        <v>2276.79917993042</v>
      </c>
      <c r="N65" s="208" t="n">
        <f aca="false">N61+N62-N63-N64</f>
        <v>2483.7602253861</v>
      </c>
      <c r="O65" s="208" t="n">
        <f aca="false">O61+O62-O63-O64</f>
        <v>2709.53402987369</v>
      </c>
      <c r="P65" s="208" t="n">
        <f aca="false">IF($C$64=1,P61*(1-$C$62/$C$61),O65*(1+$C$62))</f>
        <v>4324.17799559626</v>
      </c>
    </row>
    <row r="66" customFormat="false" ht="15" hidden="false" customHeight="true" outlineLevel="0" collapsed="false">
      <c r="B66" s="90" t="s">
        <v>96</v>
      </c>
      <c r="C66" s="95" t="n">
        <f aca="false">SUM(F67:O67)</f>
        <v>13045.07390491</v>
      </c>
      <c r="E66" s="90" t="s">
        <v>282</v>
      </c>
      <c r="F66" s="209" t="n">
        <f aca="false">DCF!O$71</f>
        <v>0.0347222222222222</v>
      </c>
      <c r="G66" s="209" t="n">
        <f aca="false">DCF!P$71</f>
        <v>0.569444444444444</v>
      </c>
      <c r="H66" s="209" t="n">
        <f aca="false">DCF!Q$71</f>
        <v>1.56944444444444</v>
      </c>
      <c r="I66" s="209" t="n">
        <f aca="false">DCF!R$71</f>
        <v>2.56944444444444</v>
      </c>
      <c r="J66" s="209" t="n">
        <f aca="false">DCF!S$71</f>
        <v>3.56944444444444</v>
      </c>
      <c r="K66" s="209" t="n">
        <f aca="false">DCF!T$71</f>
        <v>4.56944444444445</v>
      </c>
      <c r="L66" s="209" t="n">
        <f aca="false">DCF!U$71</f>
        <v>5.56944444444445</v>
      </c>
      <c r="M66" s="209" t="n">
        <f aca="false">DCF!V$71</f>
        <v>6.56944444444445</v>
      </c>
      <c r="N66" s="209" t="n">
        <f aca="false">DCF!W$71</f>
        <v>7.56944444444445</v>
      </c>
      <c r="O66" s="209" t="n">
        <f aca="false">DCF!X$71</f>
        <v>8.56944444444445</v>
      </c>
    </row>
    <row r="67" customFormat="false" ht="15" hidden="false" customHeight="true" outlineLevel="0" collapsed="false">
      <c r="B67" s="90" t="s">
        <v>94</v>
      </c>
      <c r="C67" s="95" t="n">
        <f aca="false">P65/($C$61-$C$62)</f>
        <v>60883.781787047</v>
      </c>
      <c r="E67" s="90" t="s">
        <v>283</v>
      </c>
      <c r="F67" s="206" t="n">
        <f aca="false">F65/(1+$C$61)^F66</f>
        <v>1234.76899795583</v>
      </c>
      <c r="G67" s="206" t="n">
        <f aca="false">G65/(1+$C$61)^G66</f>
        <v>1288.86263750385</v>
      </c>
      <c r="H67" s="206" t="n">
        <f aca="false">H65/(1+$C$61)^H66</f>
        <v>1294.64995782739</v>
      </c>
      <c r="I67" s="206" t="n">
        <f aca="false">I65/(1+$C$61)^I66</f>
        <v>1300.46326468785</v>
      </c>
      <c r="J67" s="206" t="n">
        <f aca="false">J65/(1+$C$61)^J66</f>
        <v>1306.30267477139</v>
      </c>
      <c r="K67" s="206" t="n">
        <f aca="false">K65/(1+$C$61)^K66</f>
        <v>1312.16830528811</v>
      </c>
      <c r="L67" s="206" t="n">
        <f aca="false">L65/(1+$C$61)^L66</f>
        <v>1318.06027397439</v>
      </c>
      <c r="M67" s="206" t="n">
        <f aca="false">M65/(1+$C$61)^M66</f>
        <v>1323.97869909531</v>
      </c>
      <c r="N67" s="206" t="n">
        <f aca="false">N65/(1+$C$61)^N66</f>
        <v>1329.92369944697</v>
      </c>
      <c r="O67" s="206" t="n">
        <f aca="false">O65/(1+$C$61)^O66</f>
        <v>1335.89539435891</v>
      </c>
    </row>
    <row r="68" customFormat="false" ht="15" hidden="false" customHeight="true" outlineLevel="0" collapsed="false">
      <c r="B68" s="90" t="s">
        <v>95</v>
      </c>
      <c r="C68" s="95" t="n">
        <f aca="false">C67/(1+$C$61)^O66</f>
        <v>30017.8417335693</v>
      </c>
    </row>
    <row r="69" customFormat="false" ht="15" hidden="false" customHeight="true" outlineLevel="0" collapsed="false">
      <c r="B69" s="90" t="s">
        <v>97</v>
      </c>
      <c r="C69" s="95" t="n">
        <f aca="false">C66+C68</f>
        <v>43062.9156384793</v>
      </c>
    </row>
    <row r="70" customFormat="false" ht="15" hidden="false" customHeight="true" outlineLevel="0" collapsed="false">
      <c r="B70" s="90" t="s">
        <v>284</v>
      </c>
      <c r="C70" s="95" t="n">
        <f aca="false">C69+$C$9-$C$10</f>
        <v>43962.9156384793</v>
      </c>
    </row>
    <row r="71" customFormat="false" ht="15" hidden="false" customHeight="true" outlineLevel="0" collapsed="false">
      <c r="B71" s="202" t="s">
        <v>99</v>
      </c>
      <c r="C71" s="210" t="n">
        <f aca="false">C70/$C$11</f>
        <v>41.2100821508055</v>
      </c>
    </row>
    <row r="72" customFormat="false" ht="15" hidden="false" customHeight="true" outlineLevel="0" collapsed="false">
      <c r="B72" s="90" t="s">
        <v>93</v>
      </c>
      <c r="C72" s="96" t="n">
        <f aca="false">1-P65/P61</f>
        <v>0.174370999393931</v>
      </c>
    </row>
    <row r="73" customFormat="false" ht="15" hidden="false" customHeight="true" outlineLevel="0" collapsed="false">
      <c r="B73" s="90" t="s">
        <v>285</v>
      </c>
      <c r="C73" s="96" t="n">
        <f aca="false">C68/C69</f>
        <v>0.697069422460252</v>
      </c>
    </row>
    <row r="76" customFormat="false" ht="15" hidden="false" customHeight="true" outlineLevel="0" collapsed="false">
      <c r="B76" s="85" t="s">
        <v>288</v>
      </c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</row>
    <row r="77" customFormat="false" ht="15" hidden="false" customHeight="true" outlineLevel="0" collapsed="false">
      <c r="B77" s="202" t="s">
        <v>272</v>
      </c>
      <c r="C77" s="202" t="s">
        <v>183</v>
      </c>
      <c r="E77" s="202" t="s">
        <v>273</v>
      </c>
      <c r="F77" s="203" t="str">
        <f aca="false">"FY"&amp;RIGHT(DCF!O$38,2)</f>
        <v>FY26</v>
      </c>
      <c r="G77" s="203" t="str">
        <f aca="false">"FY"&amp;RIGHT(DCF!P$38,2)</f>
        <v>FY27</v>
      </c>
      <c r="H77" s="203" t="str">
        <f aca="false">"FY"&amp;RIGHT(DCF!Q$38,2)</f>
        <v>FY28</v>
      </c>
      <c r="I77" s="203" t="str">
        <f aca="false">"FY"&amp;RIGHT(DCF!R$38,2)</f>
        <v>FY29</v>
      </c>
      <c r="J77" s="203" t="str">
        <f aca="false">"FY"&amp;RIGHT(DCF!S$38,2)</f>
        <v>FY30</v>
      </c>
      <c r="K77" s="203" t="str">
        <f aca="false">"FY"&amp;RIGHT(DCF!T$38,2)</f>
        <v>FY31</v>
      </c>
      <c r="L77" s="203" t="str">
        <f aca="false">"FY"&amp;RIGHT(DCF!U$38,2)</f>
        <v>FY32</v>
      </c>
      <c r="M77" s="203" t="str">
        <f aca="false">"FY"&amp;RIGHT(DCF!V$38,2)</f>
        <v>FY33</v>
      </c>
      <c r="N77" s="203" t="str">
        <f aca="false">"FY"&amp;RIGHT(DCF!W$38,2)</f>
        <v>FY34</v>
      </c>
      <c r="O77" s="203" t="str">
        <f aca="false">"FY"&amp;RIGHT(DCF!X$38,2)</f>
        <v>FY35</v>
      </c>
      <c r="P77" s="203" t="s">
        <v>40</v>
      </c>
    </row>
    <row r="78" customFormat="false" ht="15" hidden="false" customHeight="true" outlineLevel="0" collapsed="false">
      <c r="B78" s="204" t="s">
        <v>274</v>
      </c>
      <c r="C78" s="94" t="n">
        <f aca="false">DCF!$L$11</f>
        <v>0.0909</v>
      </c>
      <c r="E78" s="90" t="s">
        <v>275</v>
      </c>
      <c r="F78" s="205" t="n">
        <f aca="false">$C$78</f>
        <v>0.0909</v>
      </c>
      <c r="G78" s="205" t="n">
        <f aca="false">IF($C$82=1,F78-($C$78-$C$81)/$C$12,$C$78)</f>
        <v>0.0909</v>
      </c>
      <c r="H78" s="205" t="n">
        <f aca="false">IF($C$82=1,G78-($C$78-$C$81)/$C$12,$C$78)</f>
        <v>0.0909</v>
      </c>
      <c r="I78" s="205" t="n">
        <f aca="false">IF($C$82=1,H78-($C$78-$C$81)/$C$12,$C$78)</f>
        <v>0.0909</v>
      </c>
      <c r="J78" s="205" t="n">
        <f aca="false">IF($C$82=1,I78-($C$78-$C$81)/$C$12,$C$78)</f>
        <v>0.0909</v>
      </c>
      <c r="K78" s="205" t="n">
        <f aca="false">IF($C$82=1,J78-($C$78-$C$81)/$C$12,$C$78)</f>
        <v>0.0909</v>
      </c>
      <c r="L78" s="205" t="n">
        <f aca="false">IF($C$82=1,K78-($C$78-$C$81)/$C$12,$C$78)</f>
        <v>0.0909</v>
      </c>
      <c r="M78" s="205" t="n">
        <f aca="false">IF($C$82=1,L78-($C$78-$C$81)/$C$12,$C$78)</f>
        <v>0.0909</v>
      </c>
      <c r="N78" s="205" t="n">
        <f aca="false">IF($C$82=1,M78-($C$78-$C$81)/$C$12,$C$78)</f>
        <v>0.0909</v>
      </c>
      <c r="O78" s="205" t="n">
        <f aca="false">IF($C$82=1,N78-($C$78-$C$81)/$C$12,$C$78)</f>
        <v>0.0909</v>
      </c>
    </row>
    <row r="79" customFormat="false" ht="15" hidden="false" customHeight="true" outlineLevel="0" collapsed="false">
      <c r="B79" s="204" t="s">
        <v>276</v>
      </c>
      <c r="C79" s="94" t="n">
        <f aca="false">DCF!$L$13</f>
        <v>0.1722</v>
      </c>
      <c r="E79" s="90" t="s">
        <v>16</v>
      </c>
      <c r="F79" s="206" t="n">
        <f aca="false">$C$8*(1+F78)</f>
        <v>15216.41865</v>
      </c>
      <c r="G79" s="206" t="n">
        <f aca="false">F79*(1+G78)</f>
        <v>16599.591105285</v>
      </c>
      <c r="H79" s="206" t="n">
        <f aca="false">G79*(1+H78)</f>
        <v>18108.4939367554</v>
      </c>
      <c r="I79" s="206" t="n">
        <f aca="false">H79*(1+I78)</f>
        <v>19754.5560356065</v>
      </c>
      <c r="J79" s="206" t="n">
        <f aca="false">I79*(1+J78)</f>
        <v>21550.2451792431</v>
      </c>
      <c r="K79" s="206" t="n">
        <f aca="false">J79*(1+K78)</f>
        <v>23509.1624660363</v>
      </c>
      <c r="L79" s="206" t="n">
        <f aca="false">K79*(1+L78)</f>
        <v>25646.145334199</v>
      </c>
      <c r="M79" s="206" t="n">
        <f aca="false">L79*(1+M78)</f>
        <v>27977.3799450777</v>
      </c>
      <c r="N79" s="206" t="n">
        <f aca="false">M79*(1+N78)</f>
        <v>30520.5237820852</v>
      </c>
      <c r="O79" s="206" t="n">
        <f aca="false">N79*(1+O78)</f>
        <v>33294.8393938768</v>
      </c>
    </row>
    <row r="80" customFormat="false" ht="15" hidden="false" customHeight="true" outlineLevel="0" collapsed="false">
      <c r="B80" s="204" t="s">
        <v>21</v>
      </c>
      <c r="C80" s="92" t="n">
        <f aca="false">$C$15</f>
        <v>0.0858338239797238</v>
      </c>
      <c r="E80" s="90" t="s">
        <v>277</v>
      </c>
      <c r="F80" s="206" t="n">
        <f aca="false">F79*$C$79*(1-$C$4)</f>
        <v>2358.240562377</v>
      </c>
      <c r="G80" s="206" t="n">
        <f aca="false">G79*$C$79*(1-$C$4)</f>
        <v>2572.60462949707</v>
      </c>
      <c r="H80" s="206" t="n">
        <f aca="false">H79*$C$79*(1-$C$4)</f>
        <v>2806.45439031835</v>
      </c>
      <c r="I80" s="206" t="n">
        <f aca="false">I79*$C$79*(1-$C$4)</f>
        <v>3061.56109439829</v>
      </c>
      <c r="J80" s="206" t="n">
        <f aca="false">J79*$C$79*(1-$C$4)</f>
        <v>3339.8569978791</v>
      </c>
      <c r="K80" s="206" t="n">
        <f aca="false">K79*$C$79*(1-$C$4)</f>
        <v>3643.4499989863</v>
      </c>
      <c r="L80" s="206" t="n">
        <f aca="false">L79*$C$79*(1-$C$4)</f>
        <v>3974.63960389416</v>
      </c>
      <c r="M80" s="206" t="n">
        <f aca="false">M79*$C$79*(1-$C$4)</f>
        <v>4335.93434388814</v>
      </c>
      <c r="N80" s="206" t="n">
        <f aca="false">N79*$C$79*(1-$C$4)</f>
        <v>4730.07077574757</v>
      </c>
      <c r="O80" s="206" t="n">
        <f aca="false">O79*$C$79*(1-$C$4)</f>
        <v>5160.03420926302</v>
      </c>
      <c r="P80" s="206" t="n">
        <f aca="false">O80*(1+$C$81)</f>
        <v>5237.43472240197</v>
      </c>
    </row>
    <row r="81" customFormat="false" ht="15" hidden="false" customHeight="true" outlineLevel="0" collapsed="false">
      <c r="B81" s="204" t="s">
        <v>278</v>
      </c>
      <c r="C81" s="94" t="n">
        <f aca="false">DCF!$L$17</f>
        <v>0.015</v>
      </c>
      <c r="E81" s="90" t="s">
        <v>35</v>
      </c>
      <c r="F81" s="206" t="n">
        <f aca="false">F79*$C$5</f>
        <v>1224.921701325</v>
      </c>
      <c r="G81" s="206" t="n">
        <f aca="false">G79*$C$5</f>
        <v>1336.26708397544</v>
      </c>
      <c r="H81" s="206" t="n">
        <f aca="false">H79*$C$5</f>
        <v>1457.73376190881</v>
      </c>
      <c r="I81" s="206" t="n">
        <f aca="false">I79*$C$5</f>
        <v>1590.24176086632</v>
      </c>
      <c r="J81" s="206" t="n">
        <f aca="false">J79*$C$5</f>
        <v>1734.79473692907</v>
      </c>
      <c r="K81" s="206" t="n">
        <f aca="false">K79*$C$5</f>
        <v>1892.48757851592</v>
      </c>
      <c r="L81" s="206" t="n">
        <f aca="false">L79*$C$5</f>
        <v>2064.51469940302</v>
      </c>
      <c r="M81" s="206" t="n">
        <f aca="false">M79*$C$5</f>
        <v>2252.17908557875</v>
      </c>
      <c r="N81" s="206" t="n">
        <f aca="false">N79*$C$5</f>
        <v>2456.90216445786</v>
      </c>
      <c r="O81" s="206" t="n">
        <f aca="false">O79*$C$5</f>
        <v>2680.23457120708</v>
      </c>
    </row>
    <row r="82" customFormat="false" ht="15" hidden="false" customHeight="true" outlineLevel="0" collapsed="false">
      <c r="B82" s="204" t="s">
        <v>279</v>
      </c>
      <c r="C82" s="207" t="n">
        <v>0</v>
      </c>
      <c r="E82" s="90" t="s">
        <v>36</v>
      </c>
      <c r="F82" s="206" t="n">
        <f aca="false">F79*$C$6</f>
        <v>2781.56132922</v>
      </c>
      <c r="G82" s="206" t="n">
        <f aca="false">G79*$C$6</f>
        <v>3034.4052540461</v>
      </c>
      <c r="H82" s="206" t="n">
        <f aca="false">H79*$C$6</f>
        <v>3310.23269163889</v>
      </c>
      <c r="I82" s="206" t="n">
        <f aca="false">I79*$C$6</f>
        <v>3611.13284330886</v>
      </c>
      <c r="J82" s="206" t="n">
        <f aca="false">J79*$C$6</f>
        <v>3939.38481876564</v>
      </c>
      <c r="K82" s="206" t="n">
        <f aca="false">K79*$C$6</f>
        <v>4297.47489879143</v>
      </c>
      <c r="L82" s="206" t="n">
        <f aca="false">L79*$C$6</f>
        <v>4688.11536709158</v>
      </c>
      <c r="M82" s="206" t="n">
        <f aca="false">M79*$C$6</f>
        <v>5114.2650539602</v>
      </c>
      <c r="N82" s="206" t="n">
        <f aca="false">N79*$C$6</f>
        <v>5579.15174736518</v>
      </c>
      <c r="O82" s="206" t="n">
        <f aca="false">O79*$C$6</f>
        <v>6086.29664120068</v>
      </c>
    </row>
    <row r="83" customFormat="false" ht="21.75" hidden="false" customHeight="true" outlineLevel="0" collapsed="false">
      <c r="B83" s="204" t="s">
        <v>280</v>
      </c>
      <c r="C83" s="207" t="n">
        <v>1</v>
      </c>
      <c r="E83" s="90" t="s">
        <v>281</v>
      </c>
      <c r="F83" s="206" t="n">
        <f aca="false">F79*$C$7</f>
        <v>-436.711215255</v>
      </c>
      <c r="G83" s="206" t="n">
        <f aca="false">G79*$C$7</f>
        <v>-476.40826472168</v>
      </c>
      <c r="H83" s="206" t="n">
        <f aca="false">H79*$C$7</f>
        <v>-519.71377598488</v>
      </c>
      <c r="I83" s="206" t="n">
        <f aca="false">I79*$C$7</f>
        <v>-566.955758221906</v>
      </c>
      <c r="J83" s="206" t="n">
        <f aca="false">J79*$C$7</f>
        <v>-618.492036644277</v>
      </c>
      <c r="K83" s="206" t="n">
        <f aca="false">K79*$C$7</f>
        <v>-674.712962775242</v>
      </c>
      <c r="L83" s="206" t="n">
        <f aca="false">L79*$C$7</f>
        <v>-736.044371091511</v>
      </c>
      <c r="M83" s="206" t="n">
        <f aca="false">M79*$C$7</f>
        <v>-802.950804423729</v>
      </c>
      <c r="N83" s="206" t="n">
        <f aca="false">N79*$C$7</f>
        <v>-875.939032545846</v>
      </c>
      <c r="O83" s="206" t="n">
        <f aca="false">O79*$C$7</f>
        <v>-955.561890604264</v>
      </c>
    </row>
    <row r="84" customFormat="false" ht="15" hidden="false" customHeight="true" outlineLevel="0" collapsed="false">
      <c r="E84" s="89" t="s">
        <v>46</v>
      </c>
      <c r="F84" s="208" t="n">
        <f aca="false">F80+F81-F82-F83</f>
        <v>1238.312149737</v>
      </c>
      <c r="G84" s="208" t="n">
        <f aca="false">G80+G81-G82-G83</f>
        <v>1350.87472414809</v>
      </c>
      <c r="H84" s="208" t="n">
        <f aca="false">H80+H81-H82-H83</f>
        <v>1473.66923657316</v>
      </c>
      <c r="I84" s="208" t="n">
        <f aca="false">I80+I81-I82-I83</f>
        <v>1607.62577017766</v>
      </c>
      <c r="J84" s="208" t="n">
        <f aca="false">J80+J81-J82-J83</f>
        <v>1753.7589526868</v>
      </c>
      <c r="K84" s="208" t="n">
        <f aca="false">K80+K81-K82-K83</f>
        <v>1913.17564148603</v>
      </c>
      <c r="L84" s="208" t="n">
        <f aca="false">L80+L81-L82-L83</f>
        <v>2087.08330729711</v>
      </c>
      <c r="M84" s="208" t="n">
        <f aca="false">M80+M81-M82-M83</f>
        <v>2276.79917993042</v>
      </c>
      <c r="N84" s="208" t="n">
        <f aca="false">N80+N81-N82-N83</f>
        <v>2483.7602253861</v>
      </c>
      <c r="O84" s="208" t="n">
        <f aca="false">O80+O81-O82-O83</f>
        <v>2709.53402987369</v>
      </c>
      <c r="P84" s="208" t="n">
        <f aca="false">IF($C$83=1,P80*(1-$C$81/$C$80),O84*(1+$C$81))</f>
        <v>4322.16009995723</v>
      </c>
    </row>
    <row r="85" customFormat="false" ht="15" hidden="false" customHeight="true" outlineLevel="0" collapsed="false">
      <c r="B85" s="90" t="s">
        <v>96</v>
      </c>
      <c r="C85" s="95" t="n">
        <f aca="false">SUM(F86:O86)</f>
        <v>13054.5731443257</v>
      </c>
      <c r="E85" s="90" t="s">
        <v>282</v>
      </c>
      <c r="F85" s="209" t="n">
        <f aca="false">DCF!O$71</f>
        <v>0.0347222222222222</v>
      </c>
      <c r="G85" s="209" t="n">
        <f aca="false">DCF!P$71</f>
        <v>0.569444444444444</v>
      </c>
      <c r="H85" s="209" t="n">
        <f aca="false">DCF!Q$71</f>
        <v>1.56944444444444</v>
      </c>
      <c r="I85" s="209" t="n">
        <f aca="false">DCF!R$71</f>
        <v>2.56944444444444</v>
      </c>
      <c r="J85" s="209" t="n">
        <f aca="false">DCF!S$71</f>
        <v>3.56944444444444</v>
      </c>
      <c r="K85" s="209" t="n">
        <f aca="false">DCF!T$71</f>
        <v>4.56944444444445</v>
      </c>
      <c r="L85" s="209" t="n">
        <f aca="false">DCF!U$71</f>
        <v>5.56944444444445</v>
      </c>
      <c r="M85" s="209" t="n">
        <f aca="false">DCF!V$71</f>
        <v>6.56944444444445</v>
      </c>
      <c r="N85" s="209" t="n">
        <f aca="false">DCF!W$71</f>
        <v>7.56944444444445</v>
      </c>
      <c r="O85" s="209" t="n">
        <f aca="false">DCF!X$71</f>
        <v>8.56944444444445</v>
      </c>
    </row>
    <row r="86" customFormat="false" ht="15" hidden="false" customHeight="true" outlineLevel="0" collapsed="false">
      <c r="B86" s="90" t="s">
        <v>94</v>
      </c>
      <c r="C86" s="95" t="n">
        <f aca="false">P84/($C$80-$C$81)</f>
        <v>61018.3081629823</v>
      </c>
      <c r="E86" s="90" t="s">
        <v>283</v>
      </c>
      <c r="F86" s="206" t="n">
        <f aca="false">F84/(1+$C$80)^F85</f>
        <v>1234.77648581277</v>
      </c>
      <c r="G86" s="206" t="n">
        <f aca="false">G84/(1+$C$80)^G85</f>
        <v>1288.99082409038</v>
      </c>
      <c r="H86" s="206" t="n">
        <f aca="false">H84/(1+$C$80)^H85</f>
        <v>1295.00486994081</v>
      </c>
      <c r="I86" s="206" t="n">
        <f aca="false">I84/(1+$C$80)^I85</f>
        <v>1301.04697553132</v>
      </c>
      <c r="J86" s="206" t="n">
        <f aca="false">J84/(1+$C$80)^J85</f>
        <v>1307.11727178027</v>
      </c>
      <c r="K86" s="206" t="n">
        <f aca="false">K84/(1+$C$80)^K85</f>
        <v>1313.21589021685</v>
      </c>
      <c r="L86" s="206" t="n">
        <f aca="false">L84/(1+$C$80)^L85</f>
        <v>1319.34296298391</v>
      </c>
      <c r="M86" s="206" t="n">
        <f aca="false">M84/(1+$C$80)^M85</f>
        <v>1325.49862284086</v>
      </c>
      <c r="N86" s="206" t="n">
        <f aca="false">N84/(1+$C$80)^N85</f>
        <v>1331.68300316651</v>
      </c>
      <c r="O86" s="206" t="n">
        <f aca="false">O84/(1+$C$80)^O85</f>
        <v>1337.89623796198</v>
      </c>
    </row>
    <row r="87" customFormat="false" ht="15" hidden="false" customHeight="true" outlineLevel="0" collapsed="false">
      <c r="B87" s="90" t="s">
        <v>95</v>
      </c>
      <c r="C87" s="95" t="n">
        <f aca="false">C86/(1+$C$80)^O85</f>
        <v>30129.2266633258</v>
      </c>
    </row>
    <row r="88" customFormat="false" ht="15" hidden="false" customHeight="true" outlineLevel="0" collapsed="false">
      <c r="B88" s="90" t="s">
        <v>97</v>
      </c>
      <c r="C88" s="95" t="n">
        <f aca="false">C85+C87</f>
        <v>43183.7998076515</v>
      </c>
    </row>
    <row r="89" customFormat="false" ht="15" hidden="false" customHeight="true" outlineLevel="0" collapsed="false">
      <c r="B89" s="90" t="s">
        <v>284</v>
      </c>
      <c r="C89" s="95" t="n">
        <f aca="false">C88+$C$9-$C$10</f>
        <v>44083.7998076515</v>
      </c>
    </row>
    <row r="90" customFormat="false" ht="15" hidden="false" customHeight="true" outlineLevel="0" collapsed="false">
      <c r="B90" s="202" t="s">
        <v>99</v>
      </c>
      <c r="C90" s="210" t="n">
        <f aca="false">C89/$C$11</f>
        <v>41.3233968950614</v>
      </c>
    </row>
    <row r="91" customFormat="false" ht="15" hidden="false" customHeight="true" outlineLevel="0" collapsed="false">
      <c r="B91" s="90" t="s">
        <v>93</v>
      </c>
      <c r="C91" s="96" t="n">
        <f aca="false">1-P84/P80</f>
        <v>0.174756282599543</v>
      </c>
    </row>
    <row r="92" customFormat="false" ht="15" hidden="false" customHeight="true" outlineLevel="0" collapsed="false">
      <c r="B92" s="90" t="s">
        <v>285</v>
      </c>
      <c r="C92" s="96" t="n">
        <f aca="false">C87/C88</f>
        <v>0.697697442039072</v>
      </c>
    </row>
    <row r="95" customFormat="false" ht="15" hidden="false" customHeight="true" outlineLevel="0" collapsed="false">
      <c r="B95" s="85" t="s">
        <v>289</v>
      </c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</row>
    <row r="96" customFormat="false" ht="15" hidden="false" customHeight="true" outlineLevel="0" collapsed="false">
      <c r="B96" s="202" t="s">
        <v>272</v>
      </c>
      <c r="C96" s="202" t="s">
        <v>183</v>
      </c>
      <c r="E96" s="202" t="s">
        <v>273</v>
      </c>
      <c r="F96" s="203" t="str">
        <f aca="false">"FY"&amp;RIGHT(DCF!O$38,2)</f>
        <v>FY26</v>
      </c>
      <c r="G96" s="203" t="str">
        <f aca="false">"FY"&amp;RIGHT(DCF!P$38,2)</f>
        <v>FY27</v>
      </c>
      <c r="H96" s="203" t="str">
        <f aca="false">"FY"&amp;RIGHT(DCF!Q$38,2)</f>
        <v>FY28</v>
      </c>
      <c r="I96" s="203" t="str">
        <f aca="false">"FY"&amp;RIGHT(DCF!R$38,2)</f>
        <v>FY29</v>
      </c>
      <c r="J96" s="203" t="str">
        <f aca="false">"FY"&amp;RIGHT(DCF!S$38,2)</f>
        <v>FY30</v>
      </c>
      <c r="K96" s="203" t="str">
        <f aca="false">"FY"&amp;RIGHT(DCF!T$38,2)</f>
        <v>FY31</v>
      </c>
      <c r="L96" s="203" t="str">
        <f aca="false">"FY"&amp;RIGHT(DCF!U$38,2)</f>
        <v>FY32</v>
      </c>
      <c r="M96" s="203" t="str">
        <f aca="false">"FY"&amp;RIGHT(DCF!V$38,2)</f>
        <v>FY33</v>
      </c>
      <c r="N96" s="203" t="str">
        <f aca="false">"FY"&amp;RIGHT(DCF!W$38,2)</f>
        <v>FY34</v>
      </c>
      <c r="O96" s="203" t="str">
        <f aca="false">"FY"&amp;RIGHT(DCF!X$38,2)</f>
        <v>FY35</v>
      </c>
      <c r="P96" s="203" t="s">
        <v>40</v>
      </c>
    </row>
    <row r="97" customFormat="false" ht="15" hidden="false" customHeight="true" outlineLevel="0" collapsed="false">
      <c r="B97" s="204" t="s">
        <v>274</v>
      </c>
      <c r="C97" s="94" t="n">
        <f aca="false">DCF!$L$11</f>
        <v>0.0909</v>
      </c>
      <c r="E97" s="90" t="s">
        <v>275</v>
      </c>
      <c r="F97" s="205" t="n">
        <f aca="false">$C$97</f>
        <v>0.0909</v>
      </c>
      <c r="G97" s="205" t="n">
        <f aca="false">IF($C$101=1,F97-($C$97-$C$100)/$C$12,$C$97)</f>
        <v>0.0824666666666667</v>
      </c>
      <c r="H97" s="205" t="n">
        <f aca="false">IF($C$101=1,G97-($C$97-$C$100)/$C$12,$C$97)</f>
        <v>0.0740333333333333</v>
      </c>
      <c r="I97" s="205" t="n">
        <f aca="false">IF($C$101=1,H97-($C$97-$C$100)/$C$12,$C$97)</f>
        <v>0.0656</v>
      </c>
      <c r="J97" s="205" t="n">
        <f aca="false">IF($C$101=1,I97-($C$97-$C$100)/$C$12,$C$97)</f>
        <v>0.0571666666666667</v>
      </c>
      <c r="K97" s="205" t="n">
        <f aca="false">IF($C$101=1,J97-($C$97-$C$100)/$C$12,$C$97)</f>
        <v>0.0487333333333333</v>
      </c>
      <c r="L97" s="205" t="n">
        <f aca="false">IF($C$101=1,K97-($C$97-$C$100)/$C$12,$C$97)</f>
        <v>0.0403</v>
      </c>
      <c r="M97" s="205" t="n">
        <f aca="false">IF($C$101=1,L97-($C$97-$C$100)/$C$12,$C$97)</f>
        <v>0.0318666666666667</v>
      </c>
      <c r="N97" s="205" t="n">
        <f aca="false">IF($C$101=1,M97-($C$97-$C$100)/$C$12,$C$97)</f>
        <v>0.0234333333333333</v>
      </c>
      <c r="O97" s="205" t="n">
        <f aca="false">IF($C$101=1,N97-($C$97-$C$100)/$C$12,$C$97)</f>
        <v>0.015</v>
      </c>
    </row>
    <row r="98" customFormat="false" ht="15" hidden="false" customHeight="true" outlineLevel="0" collapsed="false">
      <c r="B98" s="204" t="s">
        <v>276</v>
      </c>
      <c r="C98" s="94" t="n">
        <f aca="false">DCF!$L$13</f>
        <v>0.1722</v>
      </c>
      <c r="E98" s="90" t="s">
        <v>16</v>
      </c>
      <c r="F98" s="206" t="n">
        <f aca="false">$C$8*(1+F97)</f>
        <v>15216.41865</v>
      </c>
      <c r="G98" s="206" t="n">
        <f aca="false">F98*(1+G97)</f>
        <v>16471.26597467</v>
      </c>
      <c r="H98" s="206" t="n">
        <f aca="false">G98*(1+H97)</f>
        <v>17690.6886989947</v>
      </c>
      <c r="I98" s="206" t="n">
        <f aca="false">H98*(1+I97)</f>
        <v>18851.1978776488</v>
      </c>
      <c r="J98" s="206" t="n">
        <f aca="false">I98*(1+J97)</f>
        <v>19928.8580229877</v>
      </c>
      <c r="K98" s="206" t="n">
        <f aca="false">J98*(1+K97)</f>
        <v>20900.0577039746</v>
      </c>
      <c r="L98" s="206" t="n">
        <f aca="false">K98*(1+L97)</f>
        <v>21742.3300294448</v>
      </c>
      <c r="M98" s="206" t="n">
        <f aca="false">L98*(1+M97)</f>
        <v>22435.1856130498</v>
      </c>
      <c r="N98" s="206" t="n">
        <f aca="false">M98*(1+N97)</f>
        <v>22960.9167959156</v>
      </c>
      <c r="O98" s="206" t="n">
        <f aca="false">N98*(1+O97)</f>
        <v>23305.3305478543</v>
      </c>
    </row>
    <row r="99" customFormat="false" ht="15" hidden="false" customHeight="true" outlineLevel="0" collapsed="false">
      <c r="B99" s="204" t="s">
        <v>21</v>
      </c>
      <c r="C99" s="92" t="n">
        <f aca="false">$C$15</f>
        <v>0.0858338239797238</v>
      </c>
      <c r="E99" s="90" t="s">
        <v>277</v>
      </c>
      <c r="F99" s="206" t="n">
        <f aca="false">F98*$C$98*(1-$C$4)</f>
        <v>2358.240562377</v>
      </c>
      <c r="G99" s="206" t="n">
        <f aca="false">G98*$C$98*(1-$C$4)</f>
        <v>2552.71680075436</v>
      </c>
      <c r="H99" s="206" t="n">
        <f aca="false">H98*$C$98*(1-$C$4)</f>
        <v>2741.7029345702</v>
      </c>
      <c r="I99" s="206" t="n">
        <f aca="false">I98*$C$98*(1-$C$4)</f>
        <v>2921.55864707801</v>
      </c>
      <c r="J99" s="206" t="n">
        <f aca="false">J98*$C$98*(1-$C$4)</f>
        <v>3088.57441640264</v>
      </c>
      <c r="K99" s="206" t="n">
        <f aca="false">K98*$C$98*(1-$C$4)</f>
        <v>3239.09094296199</v>
      </c>
      <c r="L99" s="206" t="n">
        <f aca="false">L98*$C$98*(1-$C$4)</f>
        <v>3369.62630796336</v>
      </c>
      <c r="M99" s="206" t="n">
        <f aca="false">M98*$C$98*(1-$C$4)</f>
        <v>3477.00506631046</v>
      </c>
      <c r="N99" s="206" t="n">
        <f aca="false">N98*$C$98*(1-$C$4)</f>
        <v>3558.482885031</v>
      </c>
      <c r="O99" s="206" t="n">
        <f aca="false">O98*$C$98*(1-$C$4)</f>
        <v>3611.86012830646</v>
      </c>
      <c r="P99" s="206" t="n">
        <f aca="false">O99*(1+$C$100)</f>
        <v>3666.03803023106</v>
      </c>
    </row>
    <row r="100" customFormat="false" ht="15" hidden="false" customHeight="true" outlineLevel="0" collapsed="false">
      <c r="B100" s="204" t="s">
        <v>278</v>
      </c>
      <c r="C100" s="94" t="n">
        <f aca="false">DCF!$L$17</f>
        <v>0.015</v>
      </c>
      <c r="E100" s="90" t="s">
        <v>35</v>
      </c>
      <c r="F100" s="206" t="n">
        <f aca="false">F98*$C$5</f>
        <v>1224.921701325</v>
      </c>
      <c r="G100" s="206" t="n">
        <f aca="false">G98*$C$5</f>
        <v>1325.93691096094</v>
      </c>
      <c r="H100" s="206" t="n">
        <f aca="false">H98*$C$5</f>
        <v>1424.10044026908</v>
      </c>
      <c r="I100" s="206" t="n">
        <f aca="false">I98*$C$5</f>
        <v>1517.52142915073</v>
      </c>
      <c r="J100" s="206" t="n">
        <f aca="false">J98*$C$5</f>
        <v>1604.27307085051</v>
      </c>
      <c r="K100" s="206" t="n">
        <f aca="false">K98*$C$5</f>
        <v>1682.45464516996</v>
      </c>
      <c r="L100" s="206" t="n">
        <f aca="false">L98*$C$5</f>
        <v>1750.25756737031</v>
      </c>
      <c r="M100" s="206" t="n">
        <f aca="false">M98*$C$5</f>
        <v>1806.03244185051</v>
      </c>
      <c r="N100" s="206" t="n">
        <f aca="false">N98*$C$5</f>
        <v>1848.35380207121</v>
      </c>
      <c r="O100" s="206" t="n">
        <f aca="false">O98*$C$5</f>
        <v>1876.07910910227</v>
      </c>
    </row>
    <row r="101" customFormat="false" ht="15" hidden="false" customHeight="true" outlineLevel="0" collapsed="false">
      <c r="B101" s="204" t="s">
        <v>279</v>
      </c>
      <c r="C101" s="207" t="n">
        <v>1</v>
      </c>
      <c r="E101" s="90" t="s">
        <v>36</v>
      </c>
      <c r="F101" s="206" t="n">
        <f aca="false">F98*$C$6</f>
        <v>2781.56132922</v>
      </c>
      <c r="G101" s="206" t="n">
        <f aca="false">G98*$C$6</f>
        <v>3010.94742016968</v>
      </c>
      <c r="H101" s="206" t="n">
        <f aca="false">H98*$C$6</f>
        <v>3233.85789417624</v>
      </c>
      <c r="I101" s="206" t="n">
        <f aca="false">I98*$C$6</f>
        <v>3445.9989720342</v>
      </c>
      <c r="J101" s="206" t="n">
        <f aca="false">J98*$C$6</f>
        <v>3642.99524660215</v>
      </c>
      <c r="K101" s="206" t="n">
        <f aca="false">K98*$C$6</f>
        <v>3820.53054828657</v>
      </c>
      <c r="L101" s="206" t="n">
        <f aca="false">L98*$C$6</f>
        <v>3974.49792938251</v>
      </c>
      <c r="M101" s="206" t="n">
        <f aca="false">M98*$C$6</f>
        <v>4101.1519300655</v>
      </c>
      <c r="N101" s="206" t="n">
        <f aca="false">N98*$C$6</f>
        <v>4197.25559029337</v>
      </c>
      <c r="O101" s="206" t="n">
        <f aca="false">O98*$C$6</f>
        <v>4260.21442414777</v>
      </c>
    </row>
    <row r="102" customFormat="false" ht="21.75" hidden="false" customHeight="true" outlineLevel="0" collapsed="false">
      <c r="B102" s="204" t="s">
        <v>280</v>
      </c>
      <c r="C102" s="207" t="n">
        <v>1</v>
      </c>
      <c r="E102" s="90" t="s">
        <v>281</v>
      </c>
      <c r="F102" s="206" t="n">
        <f aca="false">F98*$C$7</f>
        <v>-436.711215255</v>
      </c>
      <c r="G102" s="206" t="n">
        <f aca="false">G98*$C$7</f>
        <v>-472.725333473029</v>
      </c>
      <c r="H102" s="206" t="n">
        <f aca="false">H98*$C$7</f>
        <v>-507.722765661149</v>
      </c>
      <c r="I102" s="206" t="n">
        <f aca="false">I98*$C$7</f>
        <v>-541.02937908852</v>
      </c>
      <c r="J102" s="206" t="n">
        <f aca="false">J98*$C$7</f>
        <v>-571.958225259747</v>
      </c>
      <c r="K102" s="206" t="n">
        <f aca="false">K98*$C$7</f>
        <v>-599.831656104072</v>
      </c>
      <c r="L102" s="206" t="n">
        <f aca="false">L98*$C$7</f>
        <v>-624.004871845066</v>
      </c>
      <c r="M102" s="206" t="n">
        <f aca="false">M98*$C$7</f>
        <v>-643.889827094529</v>
      </c>
      <c r="N102" s="206" t="n">
        <f aca="false">N98*$C$7</f>
        <v>-658.978312042778</v>
      </c>
      <c r="O102" s="206" t="n">
        <f aca="false">O98*$C$7</f>
        <v>-668.862986723419</v>
      </c>
    </row>
    <row r="103" customFormat="false" ht="15" hidden="false" customHeight="true" outlineLevel="0" collapsed="false">
      <c r="E103" s="89" t="s">
        <v>46</v>
      </c>
      <c r="F103" s="208" t="n">
        <f aca="false">F99+F100-F101-F102</f>
        <v>1238.312149737</v>
      </c>
      <c r="G103" s="208" t="n">
        <f aca="false">G99+G100-G101-G102</f>
        <v>1340.43162501864</v>
      </c>
      <c r="H103" s="208" t="n">
        <f aca="false">H99+H100-H101-H102</f>
        <v>1439.66824632419</v>
      </c>
      <c r="I103" s="208" t="n">
        <f aca="false">I99+I100-I101-I102</f>
        <v>1534.11048328306</v>
      </c>
      <c r="J103" s="208" t="n">
        <f aca="false">J99+J100-J101-J102</f>
        <v>1621.81046591074</v>
      </c>
      <c r="K103" s="208" t="n">
        <f aca="false">K99+K100-K101-K102</f>
        <v>1700.84669594946</v>
      </c>
      <c r="L103" s="208" t="n">
        <f aca="false">L99+L100-L101-L102</f>
        <v>1769.39081779622</v>
      </c>
      <c r="M103" s="208" t="n">
        <f aca="false">M99+M100-M101-M102</f>
        <v>1825.77540518999</v>
      </c>
      <c r="N103" s="208" t="n">
        <f aca="false">N99+N100-N101-N102</f>
        <v>1868.55940885161</v>
      </c>
      <c r="O103" s="208" t="n">
        <f aca="false">O99+O100-O101-O102</f>
        <v>1896.58779998439</v>
      </c>
      <c r="P103" s="208" t="n">
        <f aca="false">IF($C$102=1,P99*(1-$C$100/$C$99),O103*(1+$C$100))</f>
        <v>3025.37485219933</v>
      </c>
    </row>
    <row r="104" customFormat="false" ht="15" hidden="false" customHeight="true" outlineLevel="0" collapsed="false">
      <c r="B104" s="90" t="s">
        <v>96</v>
      </c>
      <c r="C104" s="95" t="n">
        <f aca="false">SUM(F105:O105)</f>
        <v>11516.4871200723</v>
      </c>
      <c r="E104" s="90" t="s">
        <v>282</v>
      </c>
      <c r="F104" s="209" t="n">
        <f aca="false">DCF!O$71</f>
        <v>0.0347222222222222</v>
      </c>
      <c r="G104" s="209" t="n">
        <f aca="false">DCF!P$71</f>
        <v>0.569444444444444</v>
      </c>
      <c r="H104" s="209" t="n">
        <f aca="false">DCF!Q$71</f>
        <v>1.56944444444444</v>
      </c>
      <c r="I104" s="209" t="n">
        <f aca="false">DCF!R$71</f>
        <v>2.56944444444444</v>
      </c>
      <c r="J104" s="209" t="n">
        <f aca="false">DCF!S$71</f>
        <v>3.56944444444444</v>
      </c>
      <c r="K104" s="209" t="n">
        <f aca="false">DCF!T$71</f>
        <v>4.56944444444445</v>
      </c>
      <c r="L104" s="209" t="n">
        <f aca="false">DCF!U$71</f>
        <v>5.56944444444445</v>
      </c>
      <c r="M104" s="209" t="n">
        <f aca="false">DCF!V$71</f>
        <v>6.56944444444445</v>
      </c>
      <c r="N104" s="209" t="n">
        <f aca="false">DCF!W$71</f>
        <v>7.56944444444445</v>
      </c>
      <c r="O104" s="209" t="n">
        <f aca="false">DCF!X$71</f>
        <v>8.56944444444445</v>
      </c>
    </row>
    <row r="105" customFormat="false" ht="15" hidden="false" customHeight="true" outlineLevel="0" collapsed="false">
      <c r="B105" s="90" t="s">
        <v>94</v>
      </c>
      <c r="C105" s="95" t="n">
        <f aca="false">P103/($C$99-$C$100)</f>
        <v>42710.8785354486</v>
      </c>
      <c r="E105" s="90" t="s">
        <v>283</v>
      </c>
      <c r="F105" s="206" t="n">
        <f aca="false">F103/(1+$C$99)^F104</f>
        <v>1234.77648581277</v>
      </c>
      <c r="G105" s="206" t="n">
        <f aca="false">G103/(1+$C$99)^G104</f>
        <v>1279.02612587499</v>
      </c>
      <c r="H105" s="206" t="n">
        <f aca="false">H103/(1+$C$99)^H104</f>
        <v>1265.12608380451</v>
      </c>
      <c r="I105" s="206" t="n">
        <f aca="false">I103/(1+$C$99)^I104</f>
        <v>1241.55126238475</v>
      </c>
      <c r="J105" s="206" t="n">
        <f aca="false">J103/(1+$C$99)^J104</f>
        <v>1208.77300058723</v>
      </c>
      <c r="K105" s="206" t="n">
        <f aca="false">K103/(1+$C$99)^K104</f>
        <v>1167.47195579427</v>
      </c>
      <c r="L105" s="206" t="n">
        <f aca="false">L103/(1+$C$99)^L104</f>
        <v>1118.51468317813</v>
      </c>
      <c r="M105" s="206" t="n">
        <f aca="false">M103/(1+$C$99)^M104</f>
        <v>1062.92325055651</v>
      </c>
      <c r="N105" s="206" t="n">
        <f aca="false">N103/(1+$C$99)^N104</f>
        <v>1001.8393803644</v>
      </c>
      <c r="O105" s="206" t="n">
        <f aca="false">O103/(1+$C$99)^O104</f>
        <v>936.484891714753</v>
      </c>
    </row>
    <row r="106" customFormat="false" ht="15" hidden="false" customHeight="true" outlineLevel="0" collapsed="false">
      <c r="B106" s="90" t="s">
        <v>95</v>
      </c>
      <c r="C106" s="95" t="n">
        <f aca="false">C105/(1+$C$99)^O104</f>
        <v>21089.5021367536</v>
      </c>
    </row>
    <row r="107" customFormat="false" ht="15" hidden="false" customHeight="true" outlineLevel="0" collapsed="false">
      <c r="B107" s="90" t="s">
        <v>97</v>
      </c>
      <c r="C107" s="95" t="n">
        <f aca="false">C104+C106</f>
        <v>32605.9892568259</v>
      </c>
    </row>
    <row r="108" customFormat="false" ht="15" hidden="false" customHeight="true" outlineLevel="0" collapsed="false">
      <c r="B108" s="90" t="s">
        <v>284</v>
      </c>
      <c r="C108" s="95" t="n">
        <f aca="false">C107+$C$9-$C$10</f>
        <v>33505.9892568259</v>
      </c>
    </row>
    <row r="109" customFormat="false" ht="15" hidden="false" customHeight="true" outlineLevel="0" collapsed="false">
      <c r="B109" s="202" t="s">
        <v>99</v>
      </c>
      <c r="C109" s="210" t="n">
        <f aca="false">C108/$C$11</f>
        <v>31.4079389359073</v>
      </c>
    </row>
    <row r="110" customFormat="false" ht="15" hidden="false" customHeight="true" outlineLevel="0" collapsed="false">
      <c r="B110" s="90" t="s">
        <v>93</v>
      </c>
      <c r="C110" s="96" t="n">
        <f aca="false">1-P103/P99</f>
        <v>0.174756282599543</v>
      </c>
    </row>
    <row r="111" customFormat="false" ht="15" hidden="false" customHeight="true" outlineLevel="0" collapsed="false">
      <c r="B111" s="90" t="s">
        <v>285</v>
      </c>
      <c r="C111" s="96" t="n">
        <f aca="false">C106/C107</f>
        <v>0.646798413955149</v>
      </c>
    </row>
    <row r="114" customFormat="false" ht="15" hidden="false" customHeight="true" outlineLevel="0" collapsed="false">
      <c r="B114" s="201" t="s">
        <v>290</v>
      </c>
    </row>
    <row r="115" customFormat="false" ht="15" hidden="false" customHeight="true" outlineLevel="0" collapsed="false">
      <c r="B115" s="85" t="s">
        <v>291</v>
      </c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</row>
    <row r="116" customFormat="false" ht="15" hidden="false" customHeight="true" outlineLevel="0" collapsed="false">
      <c r="B116" s="202" t="s">
        <v>272</v>
      </c>
      <c r="C116" s="202" t="s">
        <v>183</v>
      </c>
      <c r="E116" s="202" t="s">
        <v>273</v>
      </c>
      <c r="F116" s="203" t="str">
        <f aca="false">"FY"&amp;RIGHT(DCF!O$38,2)</f>
        <v>FY26</v>
      </c>
      <c r="G116" s="203" t="str">
        <f aca="false">"FY"&amp;RIGHT(DCF!P$38,2)</f>
        <v>FY27</v>
      </c>
      <c r="H116" s="203" t="str">
        <f aca="false">"FY"&amp;RIGHT(DCF!Q$38,2)</f>
        <v>FY28</v>
      </c>
      <c r="I116" s="203" t="str">
        <f aca="false">"FY"&amp;RIGHT(DCF!R$38,2)</f>
        <v>FY29</v>
      </c>
      <c r="J116" s="203" t="str">
        <f aca="false">"FY"&amp;RIGHT(DCF!S$38,2)</f>
        <v>FY30</v>
      </c>
      <c r="K116" s="203" t="str">
        <f aca="false">"FY"&amp;RIGHT(DCF!T$38,2)</f>
        <v>FY31</v>
      </c>
      <c r="L116" s="203" t="str">
        <f aca="false">"FY"&amp;RIGHT(DCF!U$38,2)</f>
        <v>FY32</v>
      </c>
      <c r="M116" s="203" t="str">
        <f aca="false">"FY"&amp;RIGHT(DCF!V$38,2)</f>
        <v>FY33</v>
      </c>
      <c r="N116" s="203" t="str">
        <f aca="false">"FY"&amp;RIGHT(DCF!W$38,2)</f>
        <v>FY34</v>
      </c>
      <c r="O116" s="203" t="str">
        <f aca="false">"FY"&amp;RIGHT(DCF!X$38,2)</f>
        <v>FY35</v>
      </c>
      <c r="P116" s="203" t="s">
        <v>40</v>
      </c>
    </row>
    <row r="117" customFormat="false" ht="15" hidden="false" customHeight="true" outlineLevel="0" collapsed="false">
      <c r="B117" s="204" t="s">
        <v>274</v>
      </c>
      <c r="C117" s="94" t="n">
        <f aca="false">DCF!$H$11</f>
        <v>0.07</v>
      </c>
      <c r="E117" s="90" t="s">
        <v>275</v>
      </c>
      <c r="F117" s="205" t="n">
        <f aca="false">$C$117</f>
        <v>0.07</v>
      </c>
      <c r="G117" s="205" t="n">
        <f aca="false">IF($C$121=1,F117-($C$117-$C$120)/$C$12,$C$117)</f>
        <v>0.0633333333333333</v>
      </c>
      <c r="H117" s="205" t="n">
        <f aca="false">IF($C$121=1,G117-($C$117-$C$120)/$C$12,$C$117)</f>
        <v>0.0566666666666667</v>
      </c>
      <c r="I117" s="205" t="n">
        <f aca="false">IF($C$121=1,H117-($C$117-$C$120)/$C$12,$C$117)</f>
        <v>0.05</v>
      </c>
      <c r="J117" s="205" t="n">
        <f aca="false">IF($C$121=1,I117-($C$117-$C$120)/$C$12,$C$117)</f>
        <v>0.0433333333333333</v>
      </c>
      <c r="K117" s="205" t="n">
        <f aca="false">IF($C$121=1,J117-($C$117-$C$120)/$C$12,$C$117)</f>
        <v>0.0366666666666667</v>
      </c>
      <c r="L117" s="205" t="n">
        <f aca="false">IF($C$121=1,K117-($C$117-$C$120)/$C$12,$C$117)</f>
        <v>0.03</v>
      </c>
      <c r="M117" s="205" t="n">
        <f aca="false">IF($C$121=1,L117-($C$117-$C$120)/$C$12,$C$117)</f>
        <v>0.0233333333333333</v>
      </c>
      <c r="N117" s="205" t="n">
        <f aca="false">IF($C$121=1,M117-($C$117-$C$120)/$C$12,$C$117)</f>
        <v>0.0166666666666667</v>
      </c>
      <c r="O117" s="205" t="n">
        <f aca="false">IF($C$121=1,N117-($C$117-$C$120)/$C$12,$C$117)</f>
        <v>0.01</v>
      </c>
    </row>
    <row r="118" customFormat="false" ht="15" hidden="false" customHeight="true" outlineLevel="0" collapsed="false">
      <c r="B118" s="204" t="s">
        <v>276</v>
      </c>
      <c r="C118" s="94" t="n">
        <f aca="false">DCF!$H$13</f>
        <v>0.16</v>
      </c>
      <c r="E118" s="90" t="s">
        <v>16</v>
      </c>
      <c r="F118" s="206" t="n">
        <f aca="false">$C$8*(1+F117)</f>
        <v>14924.895</v>
      </c>
      <c r="G118" s="206" t="n">
        <f aca="false">F118*(1+G117)</f>
        <v>15870.13835</v>
      </c>
      <c r="H118" s="206" t="n">
        <f aca="false">G118*(1+H117)</f>
        <v>16769.4461898333</v>
      </c>
      <c r="I118" s="206" t="n">
        <f aca="false">H118*(1+I117)</f>
        <v>17607.918499325</v>
      </c>
      <c r="J118" s="206" t="n">
        <f aca="false">I118*(1+J117)</f>
        <v>18370.9283009624</v>
      </c>
      <c r="K118" s="206" t="n">
        <f aca="false">J118*(1+K117)</f>
        <v>19044.529005331</v>
      </c>
      <c r="L118" s="206" t="n">
        <f aca="false">K118*(1+L117)</f>
        <v>19615.864875491</v>
      </c>
      <c r="M118" s="206" t="n">
        <f aca="false">L118*(1+M117)</f>
        <v>20073.5683892524</v>
      </c>
      <c r="N118" s="206" t="n">
        <f aca="false">M118*(1+N117)</f>
        <v>20408.1278624066</v>
      </c>
      <c r="O118" s="206" t="n">
        <f aca="false">N118*(1+O117)</f>
        <v>20612.2091410307</v>
      </c>
    </row>
    <row r="119" customFormat="false" ht="15" hidden="false" customHeight="true" outlineLevel="0" collapsed="false">
      <c r="B119" s="204" t="s">
        <v>21</v>
      </c>
      <c r="C119" s="92" t="n">
        <f aca="false">DCF!$H$16</f>
        <v>0.092</v>
      </c>
      <c r="E119" s="90" t="s">
        <v>277</v>
      </c>
      <c r="F119" s="206" t="n">
        <f aca="false">F118*$C$118*(1-$C$4)</f>
        <v>2149.18488</v>
      </c>
      <c r="G119" s="206" t="n">
        <f aca="false">G118*$C$118*(1-$C$4)</f>
        <v>2285.2999224</v>
      </c>
      <c r="H119" s="206" t="n">
        <f aca="false">H118*$C$118*(1-$C$4)</f>
        <v>2414.800251336</v>
      </c>
      <c r="I119" s="206" t="n">
        <f aca="false">I118*$C$118*(1-$C$4)</f>
        <v>2535.5402639028</v>
      </c>
      <c r="J119" s="206" t="n">
        <f aca="false">J118*$C$118*(1-$C$4)</f>
        <v>2645.41367533859</v>
      </c>
      <c r="K119" s="206" t="n">
        <f aca="false">K118*$C$118*(1-$C$4)</f>
        <v>2742.41217676767</v>
      </c>
      <c r="L119" s="206" t="n">
        <f aca="false">L118*$C$118*(1-$C$4)</f>
        <v>2824.6845420707</v>
      </c>
      <c r="M119" s="206" t="n">
        <f aca="false">M118*$C$118*(1-$C$4)</f>
        <v>2890.59384805235</v>
      </c>
      <c r="N119" s="206" t="n">
        <f aca="false">N118*$C$118*(1-$C$4)</f>
        <v>2938.77041218656</v>
      </c>
      <c r="O119" s="206" t="n">
        <f aca="false">O118*$C$118*(1-$C$4)</f>
        <v>2968.15811630842</v>
      </c>
      <c r="P119" s="206" t="n">
        <f aca="false">O119*(1+$C$120)</f>
        <v>2997.83969747151</v>
      </c>
    </row>
    <row r="120" customFormat="false" ht="15" hidden="false" customHeight="true" outlineLevel="0" collapsed="false">
      <c r="B120" s="204" t="s">
        <v>278</v>
      </c>
      <c r="C120" s="94" t="n">
        <f aca="false">DCF!$H$17</f>
        <v>0.01</v>
      </c>
      <c r="E120" s="90" t="s">
        <v>35</v>
      </c>
      <c r="F120" s="206" t="n">
        <f aca="false">F118*$C$5</f>
        <v>1201.4540475</v>
      </c>
      <c r="G120" s="206" t="n">
        <f aca="false">G118*$C$5</f>
        <v>1277.546137175</v>
      </c>
      <c r="H120" s="206" t="n">
        <f aca="false">H118*$C$5</f>
        <v>1349.94041828158</v>
      </c>
      <c r="I120" s="206" t="n">
        <f aca="false">I118*$C$5</f>
        <v>1417.43743919566</v>
      </c>
      <c r="J120" s="206" t="n">
        <f aca="false">J118*$C$5</f>
        <v>1478.85972822747</v>
      </c>
      <c r="K120" s="206" t="n">
        <f aca="false">K118*$C$5</f>
        <v>1533.08458492915</v>
      </c>
      <c r="L120" s="206" t="n">
        <f aca="false">L118*$C$5</f>
        <v>1579.07712247702</v>
      </c>
      <c r="M120" s="206" t="n">
        <f aca="false">M118*$C$5</f>
        <v>1615.92225533482</v>
      </c>
      <c r="N120" s="206" t="n">
        <f aca="false">N118*$C$5</f>
        <v>1642.85429292373</v>
      </c>
      <c r="O120" s="206" t="n">
        <f aca="false">O118*$C$5</f>
        <v>1659.28283585297</v>
      </c>
    </row>
    <row r="121" customFormat="false" ht="15" hidden="false" customHeight="true" outlineLevel="0" collapsed="false">
      <c r="B121" s="204" t="s">
        <v>279</v>
      </c>
      <c r="C121" s="207" t="n">
        <v>1</v>
      </c>
      <c r="E121" s="90" t="s">
        <v>36</v>
      </c>
      <c r="F121" s="206" t="n">
        <f aca="false">F118*$C$6</f>
        <v>2728.270806</v>
      </c>
      <c r="G121" s="206" t="n">
        <f aca="false">G118*$C$6</f>
        <v>2901.06129038</v>
      </c>
      <c r="H121" s="206" t="n">
        <f aca="false">H118*$C$6</f>
        <v>3065.45476350153</v>
      </c>
      <c r="I121" s="206" t="n">
        <f aca="false">I118*$C$6</f>
        <v>3218.72750167661</v>
      </c>
      <c r="J121" s="206" t="n">
        <f aca="false">J118*$C$6</f>
        <v>3358.20569341593</v>
      </c>
      <c r="K121" s="206" t="n">
        <f aca="false">K118*$C$6</f>
        <v>3481.33990217451</v>
      </c>
      <c r="L121" s="206" t="n">
        <f aca="false">L118*$C$6</f>
        <v>3585.78009923975</v>
      </c>
      <c r="M121" s="206" t="n">
        <f aca="false">M118*$C$6</f>
        <v>3669.44830155534</v>
      </c>
      <c r="N121" s="206" t="n">
        <f aca="false">N118*$C$6</f>
        <v>3730.60577324793</v>
      </c>
      <c r="O121" s="206" t="n">
        <f aca="false">O118*$C$6</f>
        <v>3767.91183098041</v>
      </c>
    </row>
    <row r="122" customFormat="false" ht="21.75" hidden="false" customHeight="true" outlineLevel="0" collapsed="false">
      <c r="B122" s="204" t="s">
        <v>280</v>
      </c>
      <c r="C122" s="207" t="n">
        <v>1</v>
      </c>
      <c r="E122" s="90" t="s">
        <v>281</v>
      </c>
      <c r="F122" s="206" t="n">
        <f aca="false">F118*$C$7</f>
        <v>-428.3444865</v>
      </c>
      <c r="G122" s="206" t="n">
        <f aca="false">G118*$C$7</f>
        <v>-455.472970645</v>
      </c>
      <c r="H122" s="206" t="n">
        <f aca="false">H118*$C$7</f>
        <v>-481.283105648217</v>
      </c>
      <c r="I122" s="206" t="n">
        <f aca="false">I118*$C$7</f>
        <v>-505.347260930627</v>
      </c>
      <c r="J122" s="206" t="n">
        <f aca="false">J118*$C$7</f>
        <v>-527.245642237621</v>
      </c>
      <c r="K122" s="206" t="n">
        <f aca="false">K118*$C$7</f>
        <v>-546.577982453001</v>
      </c>
      <c r="L122" s="206" t="n">
        <f aca="false">L118*$C$7</f>
        <v>-562.975321926591</v>
      </c>
      <c r="M122" s="206" t="n">
        <f aca="false">M118*$C$7</f>
        <v>-576.111412771545</v>
      </c>
      <c r="N122" s="206" t="n">
        <f aca="false">N118*$C$7</f>
        <v>-585.71326965107</v>
      </c>
      <c r="O122" s="206" t="n">
        <f aca="false">O118*$C$7</f>
        <v>-591.570402347581</v>
      </c>
    </row>
    <row r="123" customFormat="false" ht="15" hidden="false" customHeight="true" outlineLevel="0" collapsed="false">
      <c r="E123" s="89" t="s">
        <v>46</v>
      </c>
      <c r="F123" s="208" t="n">
        <f aca="false">F119+F120-F121-F122</f>
        <v>1050.712608</v>
      </c>
      <c r="G123" s="208" t="n">
        <f aca="false">G119+G120-G121-G122</f>
        <v>1117.25773984</v>
      </c>
      <c r="H123" s="208" t="n">
        <f aca="false">H119+H120-H121-H122</f>
        <v>1180.56901176427</v>
      </c>
      <c r="I123" s="208" t="n">
        <f aca="false">I119+I120-I121-I122</f>
        <v>1239.59746235248</v>
      </c>
      <c r="J123" s="208" t="n">
        <f aca="false">J119+J120-J121-J122</f>
        <v>1293.31335238775</v>
      </c>
      <c r="K123" s="208" t="n">
        <f aca="false">K119+K120-K121-K122</f>
        <v>1340.73484197531</v>
      </c>
      <c r="L123" s="208" t="n">
        <f aca="false">L119+L120-L121-L122</f>
        <v>1380.95688723456</v>
      </c>
      <c r="M123" s="208" t="n">
        <f aca="false">M119+M120-M121-M122</f>
        <v>1413.17921460337</v>
      </c>
      <c r="N123" s="208" t="n">
        <f aca="false">N119+N120-N121-N122</f>
        <v>1436.73220151343</v>
      </c>
      <c r="O123" s="208" t="n">
        <f aca="false">O119+O120-O121-O122</f>
        <v>1451.09952352856</v>
      </c>
      <c r="P123" s="208" t="n">
        <f aca="false">IF($C$122=1,P119*(1-$C$120/$C$119),O123*(1+$C$120))</f>
        <v>2671.98755644199</v>
      </c>
    </row>
    <row r="124" customFormat="false" ht="15" hidden="false" customHeight="true" outlineLevel="0" collapsed="false">
      <c r="B124" s="90" t="s">
        <v>96</v>
      </c>
      <c r="C124" s="95" t="n">
        <f aca="false">SUM(F125:O125)</f>
        <v>9027.66104000557</v>
      </c>
      <c r="E124" s="90" t="s">
        <v>282</v>
      </c>
      <c r="F124" s="209" t="n">
        <f aca="false">DCF!O$71</f>
        <v>0.0347222222222222</v>
      </c>
      <c r="G124" s="209" t="n">
        <f aca="false">DCF!P$71</f>
        <v>0.569444444444444</v>
      </c>
      <c r="H124" s="209" t="n">
        <f aca="false">DCF!Q$71</f>
        <v>1.56944444444444</v>
      </c>
      <c r="I124" s="209" t="n">
        <f aca="false">DCF!R$71</f>
        <v>2.56944444444444</v>
      </c>
      <c r="J124" s="209" t="n">
        <f aca="false">DCF!S$71</f>
        <v>3.56944444444444</v>
      </c>
      <c r="K124" s="209" t="n">
        <f aca="false">DCF!T$71</f>
        <v>4.56944444444445</v>
      </c>
      <c r="L124" s="209" t="n">
        <f aca="false">DCF!U$71</f>
        <v>5.56944444444445</v>
      </c>
      <c r="M124" s="209" t="n">
        <f aca="false">DCF!V$71</f>
        <v>6.56944444444445</v>
      </c>
      <c r="N124" s="209" t="n">
        <f aca="false">DCF!W$71</f>
        <v>7.56944444444445</v>
      </c>
      <c r="O124" s="209" t="n">
        <f aca="false">DCF!X$71</f>
        <v>8.56944444444445</v>
      </c>
    </row>
    <row r="125" customFormat="false" ht="15" hidden="false" customHeight="true" outlineLevel="0" collapsed="false">
      <c r="B125" s="90" t="s">
        <v>94</v>
      </c>
      <c r="C125" s="95" t="n">
        <f aca="false">P123/($C$119-$C$120)</f>
        <v>32585.2141029511</v>
      </c>
      <c r="E125" s="90" t="s">
        <v>283</v>
      </c>
      <c r="F125" s="206" t="n">
        <f aca="false">F123/(1+$C$119)^F124</f>
        <v>1047.50660158093</v>
      </c>
      <c r="G125" s="206" t="n">
        <f aca="false">G123/(1+$C$119)^G124</f>
        <v>1062.64377599629</v>
      </c>
      <c r="H125" s="206" t="n">
        <f aca="false">H123/(1+$C$119)^H124</f>
        <v>1028.2603082748</v>
      </c>
      <c r="I125" s="206" t="n">
        <f aca="false">I123/(1+$C$119)^I124</f>
        <v>988.711834879612</v>
      </c>
      <c r="J125" s="206" t="n">
        <f aca="false">J123/(1+$C$119)^J124</f>
        <v>944.648364826979</v>
      </c>
      <c r="K125" s="206" t="n">
        <f aca="false">K123/(1+$C$119)^K124</f>
        <v>896.781567341851</v>
      </c>
      <c r="L125" s="206" t="n">
        <f aca="false">L123/(1+$C$119)^L124</f>
        <v>845.865397767497</v>
      </c>
      <c r="M125" s="206" t="n">
        <f aca="false">M123/(1+$C$119)^M124</f>
        <v>792.676059568442</v>
      </c>
      <c r="N125" s="206" t="n">
        <f aca="false">N123/(1+$C$119)^N124</f>
        <v>737.992057901022</v>
      </c>
      <c r="O125" s="206" t="n">
        <f aca="false">O123/(1+$C$119)^O124</f>
        <v>682.575071868161</v>
      </c>
    </row>
    <row r="126" customFormat="false" ht="15" hidden="false" customHeight="true" outlineLevel="0" collapsed="false">
      <c r="B126" s="90" t="s">
        <v>95</v>
      </c>
      <c r="C126" s="95" t="n">
        <f aca="false">C125/(1+$C$119)^O124</f>
        <v>15327.5874586996</v>
      </c>
    </row>
    <row r="127" customFormat="false" ht="15" hidden="false" customHeight="true" outlineLevel="0" collapsed="false">
      <c r="B127" s="90" t="s">
        <v>97</v>
      </c>
      <c r="C127" s="95" t="n">
        <f aca="false">C124+C126</f>
        <v>24355.2484987051</v>
      </c>
    </row>
    <row r="128" customFormat="false" ht="15" hidden="false" customHeight="true" outlineLevel="0" collapsed="false">
      <c r="B128" s="90" t="s">
        <v>284</v>
      </c>
      <c r="C128" s="95" t="n">
        <f aca="false">C127+$C$9-$C$10</f>
        <v>25255.2484987051</v>
      </c>
    </row>
    <row r="129" customFormat="false" ht="15" hidden="false" customHeight="true" outlineLevel="0" collapsed="false">
      <c r="B129" s="202" t="s">
        <v>99</v>
      </c>
      <c r="C129" s="210" t="n">
        <f aca="false">C128/$C$11</f>
        <v>23.6738362380063</v>
      </c>
    </row>
    <row r="130" customFormat="false" ht="15" hidden="false" customHeight="true" outlineLevel="0" collapsed="false">
      <c r="B130" s="90" t="s">
        <v>93</v>
      </c>
      <c r="C130" s="96" t="n">
        <f aca="false">1-P123/P119</f>
        <v>0.108695652173913</v>
      </c>
    </row>
    <row r="131" customFormat="false" ht="15" hidden="false" customHeight="true" outlineLevel="0" collapsed="false">
      <c r="B131" s="90" t="s">
        <v>285</v>
      </c>
      <c r="C131" s="96" t="n">
        <f aca="false">C126/C127</f>
        <v>0.629334061589003</v>
      </c>
    </row>
    <row r="134" customFormat="false" ht="15" hidden="false" customHeight="true" outlineLevel="0" collapsed="false">
      <c r="B134" s="85" t="s">
        <v>292</v>
      </c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</row>
    <row r="135" customFormat="false" ht="15" hidden="false" customHeight="true" outlineLevel="0" collapsed="false">
      <c r="B135" s="202" t="s">
        <v>272</v>
      </c>
      <c r="C135" s="202" t="s">
        <v>183</v>
      </c>
      <c r="E135" s="202" t="s">
        <v>273</v>
      </c>
      <c r="F135" s="203" t="str">
        <f aca="false">"FY"&amp;RIGHT(DCF!O$38,2)</f>
        <v>FY26</v>
      </c>
      <c r="G135" s="203" t="str">
        <f aca="false">"FY"&amp;RIGHT(DCF!P$38,2)</f>
        <v>FY27</v>
      </c>
      <c r="H135" s="203" t="str">
        <f aca="false">"FY"&amp;RIGHT(DCF!Q$38,2)</f>
        <v>FY28</v>
      </c>
      <c r="I135" s="203" t="str">
        <f aca="false">"FY"&amp;RIGHT(DCF!R$38,2)</f>
        <v>FY29</v>
      </c>
      <c r="J135" s="203" t="str">
        <f aca="false">"FY"&amp;RIGHT(DCF!S$38,2)</f>
        <v>FY30</v>
      </c>
      <c r="K135" s="203" t="str">
        <f aca="false">"FY"&amp;RIGHT(DCF!T$38,2)</f>
        <v>FY31</v>
      </c>
      <c r="L135" s="203" t="str">
        <f aca="false">"FY"&amp;RIGHT(DCF!U$38,2)</f>
        <v>FY32</v>
      </c>
      <c r="M135" s="203" t="str">
        <f aca="false">"FY"&amp;RIGHT(DCF!V$38,2)</f>
        <v>FY33</v>
      </c>
      <c r="N135" s="203" t="str">
        <f aca="false">"FY"&amp;RIGHT(DCF!W$38,2)</f>
        <v>FY34</v>
      </c>
      <c r="O135" s="203" t="str">
        <f aca="false">"FY"&amp;RIGHT(DCF!X$38,2)</f>
        <v>FY35</v>
      </c>
      <c r="P135" s="203" t="s">
        <v>40</v>
      </c>
    </row>
    <row r="136" customFormat="false" ht="15" hidden="false" customHeight="true" outlineLevel="0" collapsed="false">
      <c r="B136" s="204" t="s">
        <v>274</v>
      </c>
      <c r="C136" s="94" t="n">
        <f aca="false">DCF!$L$11</f>
        <v>0.0909</v>
      </c>
      <c r="E136" s="90" t="s">
        <v>275</v>
      </c>
      <c r="F136" s="205" t="n">
        <f aca="false">$C$136</f>
        <v>0.0909</v>
      </c>
      <c r="G136" s="205" t="n">
        <f aca="false">IF($C$140=1,F136-($C$136-$C$139)/$C$12,$C$136)</f>
        <v>0.0824666666666667</v>
      </c>
      <c r="H136" s="205" t="n">
        <f aca="false">IF($C$140=1,G136-($C$136-$C$139)/$C$12,$C$136)</f>
        <v>0.0740333333333333</v>
      </c>
      <c r="I136" s="205" t="n">
        <f aca="false">IF($C$140=1,H136-($C$136-$C$139)/$C$12,$C$136)</f>
        <v>0.0656</v>
      </c>
      <c r="J136" s="205" t="n">
        <f aca="false">IF($C$140=1,I136-($C$136-$C$139)/$C$12,$C$136)</f>
        <v>0.0571666666666667</v>
      </c>
      <c r="K136" s="205" t="n">
        <f aca="false">IF($C$140=1,J136-($C$136-$C$139)/$C$12,$C$136)</f>
        <v>0.0487333333333333</v>
      </c>
      <c r="L136" s="205" t="n">
        <f aca="false">IF($C$140=1,K136-($C$136-$C$139)/$C$12,$C$136)</f>
        <v>0.0403</v>
      </c>
      <c r="M136" s="205" t="n">
        <f aca="false">IF($C$140=1,L136-($C$136-$C$139)/$C$12,$C$136)</f>
        <v>0.0318666666666667</v>
      </c>
      <c r="N136" s="205" t="n">
        <f aca="false">IF($C$140=1,M136-($C$136-$C$139)/$C$12,$C$136)</f>
        <v>0.0234333333333333</v>
      </c>
      <c r="O136" s="205" t="n">
        <f aca="false">IF($C$140=1,N136-($C$136-$C$139)/$C$12,$C$136)</f>
        <v>0.015</v>
      </c>
    </row>
    <row r="137" customFormat="false" ht="15" hidden="false" customHeight="true" outlineLevel="0" collapsed="false">
      <c r="B137" s="204" t="s">
        <v>276</v>
      </c>
      <c r="C137" s="94" t="n">
        <f aca="false">DCF!$L$13</f>
        <v>0.1722</v>
      </c>
      <c r="E137" s="90" t="s">
        <v>16</v>
      </c>
      <c r="F137" s="206" t="n">
        <f aca="false">$C$8*(1+F136)</f>
        <v>15216.41865</v>
      </c>
      <c r="G137" s="206" t="n">
        <f aca="false">F137*(1+G136)</f>
        <v>16471.26597467</v>
      </c>
      <c r="H137" s="206" t="n">
        <f aca="false">G137*(1+H136)</f>
        <v>17690.6886989947</v>
      </c>
      <c r="I137" s="206" t="n">
        <f aca="false">H137*(1+I136)</f>
        <v>18851.1978776488</v>
      </c>
      <c r="J137" s="206" t="n">
        <f aca="false">I137*(1+J136)</f>
        <v>19928.8580229877</v>
      </c>
      <c r="K137" s="206" t="n">
        <f aca="false">J137*(1+K136)</f>
        <v>20900.0577039746</v>
      </c>
      <c r="L137" s="206" t="n">
        <f aca="false">K137*(1+L136)</f>
        <v>21742.3300294448</v>
      </c>
      <c r="M137" s="206" t="n">
        <f aca="false">L137*(1+M136)</f>
        <v>22435.1856130498</v>
      </c>
      <c r="N137" s="206" t="n">
        <f aca="false">M137*(1+N136)</f>
        <v>22960.9167959156</v>
      </c>
      <c r="O137" s="206" t="n">
        <f aca="false">N137*(1+O136)</f>
        <v>23305.3305478543</v>
      </c>
    </row>
    <row r="138" customFormat="false" ht="15" hidden="false" customHeight="true" outlineLevel="0" collapsed="false">
      <c r="B138" s="204" t="s">
        <v>21</v>
      </c>
      <c r="C138" s="92" t="n">
        <f aca="false">DCF!$L$16</f>
        <v>0.0858338239797238</v>
      </c>
      <c r="E138" s="90" t="s">
        <v>277</v>
      </c>
      <c r="F138" s="206" t="n">
        <f aca="false">F137*$C$137*(1-$C$4)</f>
        <v>2358.240562377</v>
      </c>
      <c r="G138" s="206" t="n">
        <f aca="false">G137*$C$137*(1-$C$4)</f>
        <v>2552.71680075436</v>
      </c>
      <c r="H138" s="206" t="n">
        <f aca="false">H137*$C$137*(1-$C$4)</f>
        <v>2741.7029345702</v>
      </c>
      <c r="I138" s="206" t="n">
        <f aca="false">I137*$C$137*(1-$C$4)</f>
        <v>2921.55864707801</v>
      </c>
      <c r="J138" s="206" t="n">
        <f aca="false">J137*$C$137*(1-$C$4)</f>
        <v>3088.57441640264</v>
      </c>
      <c r="K138" s="206" t="n">
        <f aca="false">K137*$C$137*(1-$C$4)</f>
        <v>3239.09094296199</v>
      </c>
      <c r="L138" s="206" t="n">
        <f aca="false">L137*$C$137*(1-$C$4)</f>
        <v>3369.62630796336</v>
      </c>
      <c r="M138" s="206" t="n">
        <f aca="false">M137*$C$137*(1-$C$4)</f>
        <v>3477.00506631046</v>
      </c>
      <c r="N138" s="206" t="n">
        <f aca="false">N137*$C$137*(1-$C$4)</f>
        <v>3558.482885031</v>
      </c>
      <c r="O138" s="206" t="n">
        <f aca="false">O137*$C$137*(1-$C$4)</f>
        <v>3611.86012830646</v>
      </c>
      <c r="P138" s="206" t="n">
        <f aca="false">O138*(1+$C$139)</f>
        <v>3666.03803023106</v>
      </c>
    </row>
    <row r="139" customFormat="false" ht="15" hidden="false" customHeight="true" outlineLevel="0" collapsed="false">
      <c r="B139" s="204" t="s">
        <v>278</v>
      </c>
      <c r="C139" s="94" t="n">
        <f aca="false">DCF!$L$17</f>
        <v>0.015</v>
      </c>
      <c r="E139" s="90" t="s">
        <v>35</v>
      </c>
      <c r="F139" s="206" t="n">
        <f aca="false">F137*$C$5</f>
        <v>1224.921701325</v>
      </c>
      <c r="G139" s="206" t="n">
        <f aca="false">G137*$C$5</f>
        <v>1325.93691096094</v>
      </c>
      <c r="H139" s="206" t="n">
        <f aca="false">H137*$C$5</f>
        <v>1424.10044026908</v>
      </c>
      <c r="I139" s="206" t="n">
        <f aca="false">I137*$C$5</f>
        <v>1517.52142915073</v>
      </c>
      <c r="J139" s="206" t="n">
        <f aca="false">J137*$C$5</f>
        <v>1604.27307085051</v>
      </c>
      <c r="K139" s="206" t="n">
        <f aca="false">K137*$C$5</f>
        <v>1682.45464516996</v>
      </c>
      <c r="L139" s="206" t="n">
        <f aca="false">L137*$C$5</f>
        <v>1750.25756737031</v>
      </c>
      <c r="M139" s="206" t="n">
        <f aca="false">M137*$C$5</f>
        <v>1806.03244185051</v>
      </c>
      <c r="N139" s="206" t="n">
        <f aca="false">N137*$C$5</f>
        <v>1848.35380207121</v>
      </c>
      <c r="O139" s="206" t="n">
        <f aca="false">O137*$C$5</f>
        <v>1876.07910910227</v>
      </c>
    </row>
    <row r="140" customFormat="false" ht="15" hidden="false" customHeight="true" outlineLevel="0" collapsed="false">
      <c r="B140" s="204" t="s">
        <v>279</v>
      </c>
      <c r="C140" s="207" t="n">
        <v>1</v>
      </c>
      <c r="E140" s="90" t="s">
        <v>36</v>
      </c>
      <c r="F140" s="206" t="n">
        <f aca="false">F137*$C$6</f>
        <v>2781.56132922</v>
      </c>
      <c r="G140" s="206" t="n">
        <f aca="false">G137*$C$6</f>
        <v>3010.94742016968</v>
      </c>
      <c r="H140" s="206" t="n">
        <f aca="false">H137*$C$6</f>
        <v>3233.85789417624</v>
      </c>
      <c r="I140" s="206" t="n">
        <f aca="false">I137*$C$6</f>
        <v>3445.9989720342</v>
      </c>
      <c r="J140" s="206" t="n">
        <f aca="false">J137*$C$6</f>
        <v>3642.99524660215</v>
      </c>
      <c r="K140" s="206" t="n">
        <f aca="false">K137*$C$6</f>
        <v>3820.53054828657</v>
      </c>
      <c r="L140" s="206" t="n">
        <f aca="false">L137*$C$6</f>
        <v>3974.49792938251</v>
      </c>
      <c r="M140" s="206" t="n">
        <f aca="false">M137*$C$6</f>
        <v>4101.1519300655</v>
      </c>
      <c r="N140" s="206" t="n">
        <f aca="false">N137*$C$6</f>
        <v>4197.25559029337</v>
      </c>
      <c r="O140" s="206" t="n">
        <f aca="false">O137*$C$6</f>
        <v>4260.21442414777</v>
      </c>
    </row>
    <row r="141" customFormat="false" ht="21.75" hidden="false" customHeight="true" outlineLevel="0" collapsed="false">
      <c r="B141" s="204" t="s">
        <v>280</v>
      </c>
      <c r="C141" s="207" t="n">
        <v>1</v>
      </c>
      <c r="E141" s="90" t="s">
        <v>281</v>
      </c>
      <c r="F141" s="206" t="n">
        <f aca="false">F137*$C$7</f>
        <v>-436.711215255</v>
      </c>
      <c r="G141" s="206" t="n">
        <f aca="false">G137*$C$7</f>
        <v>-472.725333473029</v>
      </c>
      <c r="H141" s="206" t="n">
        <f aca="false">H137*$C$7</f>
        <v>-507.722765661149</v>
      </c>
      <c r="I141" s="206" t="n">
        <f aca="false">I137*$C$7</f>
        <v>-541.02937908852</v>
      </c>
      <c r="J141" s="206" t="n">
        <f aca="false">J137*$C$7</f>
        <v>-571.958225259747</v>
      </c>
      <c r="K141" s="206" t="n">
        <f aca="false">K137*$C$7</f>
        <v>-599.831656104072</v>
      </c>
      <c r="L141" s="206" t="n">
        <f aca="false">L137*$C$7</f>
        <v>-624.004871845066</v>
      </c>
      <c r="M141" s="206" t="n">
        <f aca="false">M137*$C$7</f>
        <v>-643.889827094529</v>
      </c>
      <c r="N141" s="206" t="n">
        <f aca="false">N137*$C$7</f>
        <v>-658.978312042778</v>
      </c>
      <c r="O141" s="206" t="n">
        <f aca="false">O137*$C$7</f>
        <v>-668.862986723419</v>
      </c>
    </row>
    <row r="142" customFormat="false" ht="15" hidden="false" customHeight="true" outlineLevel="0" collapsed="false">
      <c r="E142" s="89" t="s">
        <v>46</v>
      </c>
      <c r="F142" s="208" t="n">
        <f aca="false">F138+F139-F140-F141</f>
        <v>1238.312149737</v>
      </c>
      <c r="G142" s="208" t="n">
        <f aca="false">G138+G139-G140-G141</f>
        <v>1340.43162501864</v>
      </c>
      <c r="H142" s="208" t="n">
        <f aca="false">H138+H139-H140-H141</f>
        <v>1439.66824632419</v>
      </c>
      <c r="I142" s="208" t="n">
        <f aca="false">I138+I139-I140-I141</f>
        <v>1534.11048328306</v>
      </c>
      <c r="J142" s="208" t="n">
        <f aca="false">J138+J139-J140-J141</f>
        <v>1621.81046591074</v>
      </c>
      <c r="K142" s="208" t="n">
        <f aca="false">K138+K139-K140-K141</f>
        <v>1700.84669594946</v>
      </c>
      <c r="L142" s="208" t="n">
        <f aca="false">L138+L139-L140-L141</f>
        <v>1769.39081779622</v>
      </c>
      <c r="M142" s="208" t="n">
        <f aca="false">M138+M139-M140-M141</f>
        <v>1825.77540518999</v>
      </c>
      <c r="N142" s="208" t="n">
        <f aca="false">N138+N139-N140-N141</f>
        <v>1868.55940885161</v>
      </c>
      <c r="O142" s="208" t="n">
        <f aca="false">O138+O139-O140-O141</f>
        <v>1896.58779998439</v>
      </c>
      <c r="P142" s="208" t="n">
        <f aca="false">IF($C$141=1,P138*(1-$C$139/$C$138),O142*(1+$C$139))</f>
        <v>3025.37485219933</v>
      </c>
    </row>
    <row r="143" customFormat="false" ht="15" hidden="false" customHeight="true" outlineLevel="0" collapsed="false">
      <c r="B143" s="90" t="s">
        <v>96</v>
      </c>
      <c r="C143" s="95" t="n">
        <f aca="false">SUM(F144:O144)</f>
        <v>11516.4871200723</v>
      </c>
      <c r="E143" s="90" t="s">
        <v>282</v>
      </c>
      <c r="F143" s="209" t="n">
        <f aca="false">DCF!O$71</f>
        <v>0.0347222222222222</v>
      </c>
      <c r="G143" s="209" t="n">
        <f aca="false">DCF!P$71</f>
        <v>0.569444444444444</v>
      </c>
      <c r="H143" s="209" t="n">
        <f aca="false">DCF!Q$71</f>
        <v>1.56944444444444</v>
      </c>
      <c r="I143" s="209" t="n">
        <f aca="false">DCF!R$71</f>
        <v>2.56944444444444</v>
      </c>
      <c r="J143" s="209" t="n">
        <f aca="false">DCF!S$71</f>
        <v>3.56944444444444</v>
      </c>
      <c r="K143" s="209" t="n">
        <f aca="false">DCF!T$71</f>
        <v>4.56944444444445</v>
      </c>
      <c r="L143" s="209" t="n">
        <f aca="false">DCF!U$71</f>
        <v>5.56944444444445</v>
      </c>
      <c r="M143" s="209" t="n">
        <f aca="false">DCF!V$71</f>
        <v>6.56944444444445</v>
      </c>
      <c r="N143" s="209" t="n">
        <f aca="false">DCF!W$71</f>
        <v>7.56944444444445</v>
      </c>
      <c r="O143" s="209" t="n">
        <f aca="false">DCF!X$71</f>
        <v>8.56944444444445</v>
      </c>
    </row>
    <row r="144" customFormat="false" ht="15" hidden="false" customHeight="true" outlineLevel="0" collapsed="false">
      <c r="B144" s="90" t="s">
        <v>94</v>
      </c>
      <c r="C144" s="95" t="n">
        <f aca="false">P142/($C$138-$C$139)</f>
        <v>42710.8785354486</v>
      </c>
      <c r="E144" s="90" t="s">
        <v>283</v>
      </c>
      <c r="F144" s="206" t="n">
        <f aca="false">F142/(1+$C$138)^F143</f>
        <v>1234.77648581277</v>
      </c>
      <c r="G144" s="206" t="n">
        <f aca="false">G142/(1+$C$138)^G143</f>
        <v>1279.02612587499</v>
      </c>
      <c r="H144" s="206" t="n">
        <f aca="false">H142/(1+$C$138)^H143</f>
        <v>1265.12608380451</v>
      </c>
      <c r="I144" s="206" t="n">
        <f aca="false">I142/(1+$C$138)^I143</f>
        <v>1241.55126238475</v>
      </c>
      <c r="J144" s="206" t="n">
        <f aca="false">J142/(1+$C$138)^J143</f>
        <v>1208.77300058723</v>
      </c>
      <c r="K144" s="206" t="n">
        <f aca="false">K142/(1+$C$138)^K143</f>
        <v>1167.47195579427</v>
      </c>
      <c r="L144" s="206" t="n">
        <f aca="false">L142/(1+$C$138)^L143</f>
        <v>1118.51468317813</v>
      </c>
      <c r="M144" s="206" t="n">
        <f aca="false">M142/(1+$C$138)^M143</f>
        <v>1062.92325055651</v>
      </c>
      <c r="N144" s="206" t="n">
        <f aca="false">N142/(1+$C$138)^N143</f>
        <v>1001.8393803644</v>
      </c>
      <c r="O144" s="206" t="n">
        <f aca="false">O142/(1+$C$138)^O143</f>
        <v>936.484891714753</v>
      </c>
    </row>
    <row r="145" customFormat="false" ht="15" hidden="false" customHeight="true" outlineLevel="0" collapsed="false">
      <c r="B145" s="90" t="s">
        <v>95</v>
      </c>
      <c r="C145" s="95" t="n">
        <f aca="false">C144/(1+$C$138)^O143</f>
        <v>21089.5021367536</v>
      </c>
    </row>
    <row r="146" customFormat="false" ht="15" hidden="false" customHeight="true" outlineLevel="0" collapsed="false">
      <c r="B146" s="90" t="s">
        <v>97</v>
      </c>
      <c r="C146" s="95" t="n">
        <f aca="false">C143+C145</f>
        <v>32605.9892568259</v>
      </c>
    </row>
    <row r="147" customFormat="false" ht="15" hidden="false" customHeight="true" outlineLevel="0" collapsed="false">
      <c r="B147" s="90" t="s">
        <v>284</v>
      </c>
      <c r="C147" s="95" t="n">
        <f aca="false">C146+$C$9-$C$10</f>
        <v>33505.9892568259</v>
      </c>
    </row>
    <row r="148" customFormat="false" ht="15" hidden="false" customHeight="true" outlineLevel="0" collapsed="false">
      <c r="B148" s="202" t="s">
        <v>99</v>
      </c>
      <c r="C148" s="210" t="n">
        <f aca="false">C147/$C$11</f>
        <v>31.4079389359073</v>
      </c>
    </row>
    <row r="149" customFormat="false" ht="15" hidden="false" customHeight="true" outlineLevel="0" collapsed="false">
      <c r="B149" s="90" t="s">
        <v>93</v>
      </c>
      <c r="C149" s="96" t="n">
        <f aca="false">1-P142/P138</f>
        <v>0.174756282599543</v>
      </c>
    </row>
    <row r="150" customFormat="false" ht="15" hidden="false" customHeight="true" outlineLevel="0" collapsed="false">
      <c r="B150" s="90" t="s">
        <v>285</v>
      </c>
      <c r="C150" s="96" t="n">
        <f aca="false">C145/C146</f>
        <v>0.646798413955149</v>
      </c>
    </row>
    <row r="153" customFormat="false" ht="15" hidden="false" customHeight="true" outlineLevel="0" collapsed="false">
      <c r="B153" s="85" t="s">
        <v>293</v>
      </c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</row>
    <row r="154" customFormat="false" ht="15" hidden="false" customHeight="true" outlineLevel="0" collapsed="false">
      <c r="B154" s="202" t="s">
        <v>272</v>
      </c>
      <c r="C154" s="202" t="s">
        <v>183</v>
      </c>
      <c r="E154" s="202" t="s">
        <v>273</v>
      </c>
      <c r="F154" s="203" t="str">
        <f aca="false">"FY"&amp;RIGHT(DCF!O$38,2)</f>
        <v>FY26</v>
      </c>
      <c r="G154" s="203" t="str">
        <f aca="false">"FY"&amp;RIGHT(DCF!P$38,2)</f>
        <v>FY27</v>
      </c>
      <c r="H154" s="203" t="str">
        <f aca="false">"FY"&amp;RIGHT(DCF!Q$38,2)</f>
        <v>FY28</v>
      </c>
      <c r="I154" s="203" t="str">
        <f aca="false">"FY"&amp;RIGHT(DCF!R$38,2)</f>
        <v>FY29</v>
      </c>
      <c r="J154" s="203" t="str">
        <f aca="false">"FY"&amp;RIGHT(DCF!S$38,2)</f>
        <v>FY30</v>
      </c>
      <c r="K154" s="203" t="str">
        <f aca="false">"FY"&amp;RIGHT(DCF!T$38,2)</f>
        <v>FY31</v>
      </c>
      <c r="L154" s="203" t="str">
        <f aca="false">"FY"&amp;RIGHT(DCF!U$38,2)</f>
        <v>FY32</v>
      </c>
      <c r="M154" s="203" t="str">
        <f aca="false">"FY"&amp;RIGHT(DCF!V$38,2)</f>
        <v>FY33</v>
      </c>
      <c r="N154" s="203" t="str">
        <f aca="false">"FY"&amp;RIGHT(DCF!W$38,2)</f>
        <v>FY34</v>
      </c>
      <c r="O154" s="203" t="str">
        <f aca="false">"FY"&amp;RIGHT(DCF!X$38,2)</f>
        <v>FY35</v>
      </c>
      <c r="P154" s="203" t="s">
        <v>40</v>
      </c>
    </row>
    <row r="155" customFormat="false" ht="15" hidden="false" customHeight="true" outlineLevel="0" collapsed="false">
      <c r="B155" s="204" t="s">
        <v>274</v>
      </c>
      <c r="C155" s="94" t="n">
        <f aca="false">DCF!$P$11</f>
        <v>0.11</v>
      </c>
      <c r="E155" s="90" t="s">
        <v>275</v>
      </c>
      <c r="F155" s="205" t="n">
        <f aca="false">$C$155</f>
        <v>0.11</v>
      </c>
      <c r="G155" s="205" t="n">
        <f aca="false">IF($C$159=1,F155-($C$155-$C$158)/$C$12,$C$155)</f>
        <v>0.1</v>
      </c>
      <c r="H155" s="205" t="n">
        <f aca="false">IF($C$159=1,G155-($C$155-$C$158)/$C$12,$C$155)</f>
        <v>0.09</v>
      </c>
      <c r="I155" s="205" t="n">
        <f aca="false">IF($C$159=1,H155-($C$155-$C$158)/$C$12,$C$155)</f>
        <v>0.08</v>
      </c>
      <c r="J155" s="205" t="n">
        <f aca="false">IF($C$159=1,I155-($C$155-$C$158)/$C$12,$C$155)</f>
        <v>0.07</v>
      </c>
      <c r="K155" s="205" t="n">
        <f aca="false">IF($C$159=1,J155-($C$155-$C$158)/$C$12,$C$155)</f>
        <v>0.06</v>
      </c>
      <c r="L155" s="205" t="n">
        <f aca="false">IF($C$159=1,K155-($C$155-$C$158)/$C$12,$C$155)</f>
        <v>0.05</v>
      </c>
      <c r="M155" s="205" t="n">
        <f aca="false">IF($C$159=1,L155-($C$155-$C$158)/$C$12,$C$155)</f>
        <v>0.04</v>
      </c>
      <c r="N155" s="205" t="n">
        <f aca="false">IF($C$159=1,M155-($C$155-$C$158)/$C$12,$C$155)</f>
        <v>0.03</v>
      </c>
      <c r="O155" s="205" t="n">
        <f aca="false">IF($C$159=1,N155-($C$155-$C$158)/$C$12,$C$155)</f>
        <v>0.02</v>
      </c>
    </row>
    <row r="156" customFormat="false" ht="15" hidden="false" customHeight="true" outlineLevel="0" collapsed="false">
      <c r="B156" s="204" t="s">
        <v>276</v>
      </c>
      <c r="C156" s="94" t="n">
        <f aca="false">DCF!$P$13</f>
        <v>0.185</v>
      </c>
      <c r="E156" s="90" t="s">
        <v>16</v>
      </c>
      <c r="F156" s="206" t="n">
        <f aca="false">$C$8*(1+F155)</f>
        <v>15482.835</v>
      </c>
      <c r="G156" s="206" t="n">
        <f aca="false">F156*(1+G155)</f>
        <v>17031.1185</v>
      </c>
      <c r="H156" s="206" t="n">
        <f aca="false">G156*(1+H155)</f>
        <v>18563.919165</v>
      </c>
      <c r="I156" s="206" t="n">
        <f aca="false">H156*(1+I155)</f>
        <v>20049.0326982</v>
      </c>
      <c r="J156" s="206" t="n">
        <f aca="false">I156*(1+J155)</f>
        <v>21452.464987074</v>
      </c>
      <c r="K156" s="206" t="n">
        <f aca="false">J156*(1+K155)</f>
        <v>22739.6128862985</v>
      </c>
      <c r="L156" s="206" t="n">
        <f aca="false">K156*(1+L155)</f>
        <v>23876.5935306134</v>
      </c>
      <c r="M156" s="206" t="n">
        <f aca="false">L156*(1+M155)</f>
        <v>24831.6572718379</v>
      </c>
      <c r="N156" s="206" t="n">
        <f aca="false">M156*(1+N155)</f>
        <v>25576.606989993</v>
      </c>
      <c r="O156" s="206" t="n">
        <f aca="false">N156*(1+O155)</f>
        <v>26088.1391297929</v>
      </c>
    </row>
    <row r="157" customFormat="false" ht="15" hidden="false" customHeight="true" outlineLevel="0" collapsed="false">
      <c r="B157" s="204" t="s">
        <v>21</v>
      </c>
      <c r="C157" s="92" t="n">
        <f aca="false">DCF!$P$16</f>
        <v>0.082</v>
      </c>
      <c r="E157" s="90" t="s">
        <v>277</v>
      </c>
      <c r="F157" s="206" t="n">
        <f aca="false">F156*$C$156*(1-$C$4)</f>
        <v>2577.8920275</v>
      </c>
      <c r="G157" s="206" t="n">
        <f aca="false">G156*$C$156*(1-$C$4)</f>
        <v>2835.68123025</v>
      </c>
      <c r="H157" s="206" t="n">
        <f aca="false">H156*$C$156*(1-$C$4)</f>
        <v>3090.8925409725</v>
      </c>
      <c r="I157" s="206" t="n">
        <f aca="false">I156*$C$156*(1-$C$4)</f>
        <v>3338.1639442503</v>
      </c>
      <c r="J157" s="206" t="n">
        <f aca="false">J156*$C$156*(1-$C$4)</f>
        <v>3571.83542034782</v>
      </c>
      <c r="K157" s="206" t="n">
        <f aca="false">K156*$C$156*(1-$C$4)</f>
        <v>3786.14554556869</v>
      </c>
      <c r="L157" s="206" t="n">
        <f aca="false">L156*$C$156*(1-$C$4)</f>
        <v>3975.45282284713</v>
      </c>
      <c r="M157" s="206" t="n">
        <f aca="false">M156*$C$156*(1-$C$4)</f>
        <v>4134.47093576101</v>
      </c>
      <c r="N157" s="206" t="n">
        <f aca="false">N156*$C$156*(1-$C$4)</f>
        <v>4258.50506383384</v>
      </c>
      <c r="O157" s="206" t="n">
        <f aca="false">O156*$C$156*(1-$C$4)</f>
        <v>4343.67516511052</v>
      </c>
      <c r="P157" s="206" t="n">
        <f aca="false">O157*(1+$C$158)</f>
        <v>4430.54866841273</v>
      </c>
    </row>
    <row r="158" customFormat="false" ht="15" hidden="false" customHeight="true" outlineLevel="0" collapsed="false">
      <c r="B158" s="204" t="s">
        <v>278</v>
      </c>
      <c r="C158" s="94" t="n">
        <f aca="false">DCF!$P$17</f>
        <v>0.02</v>
      </c>
      <c r="E158" s="90" t="s">
        <v>35</v>
      </c>
      <c r="F158" s="206" t="n">
        <f aca="false">F156*$C$5</f>
        <v>1246.3682175</v>
      </c>
      <c r="G158" s="206" t="n">
        <f aca="false">G156*$C$5</f>
        <v>1371.00503925</v>
      </c>
      <c r="H158" s="206" t="n">
        <f aca="false">H156*$C$5</f>
        <v>1494.3954927825</v>
      </c>
      <c r="I158" s="206" t="n">
        <f aca="false">I156*$C$5</f>
        <v>1613.9471322051</v>
      </c>
      <c r="J158" s="206" t="n">
        <f aca="false">J156*$C$5</f>
        <v>1726.92343145946</v>
      </c>
      <c r="K158" s="206" t="n">
        <f aca="false">K156*$C$5</f>
        <v>1830.53883734703</v>
      </c>
      <c r="L158" s="206" t="n">
        <f aca="false">L156*$C$5</f>
        <v>1922.06577921438</v>
      </c>
      <c r="M158" s="206" t="n">
        <f aca="false">M156*$C$5</f>
        <v>1998.94841038295</v>
      </c>
      <c r="N158" s="206" t="n">
        <f aca="false">N156*$C$5</f>
        <v>2058.91686269444</v>
      </c>
      <c r="O158" s="206" t="n">
        <f aca="false">O156*$C$5</f>
        <v>2100.09519994833</v>
      </c>
    </row>
    <row r="159" customFormat="false" ht="15" hidden="false" customHeight="true" outlineLevel="0" collapsed="false">
      <c r="B159" s="204" t="s">
        <v>279</v>
      </c>
      <c r="C159" s="207" t="n">
        <v>1</v>
      </c>
      <c r="E159" s="90" t="s">
        <v>36</v>
      </c>
      <c r="F159" s="206" t="n">
        <f aca="false">F156*$C$6</f>
        <v>2830.262238</v>
      </c>
      <c r="G159" s="206" t="n">
        <f aca="false">G156*$C$6</f>
        <v>3113.2884618</v>
      </c>
      <c r="H159" s="206" t="n">
        <f aca="false">H156*$C$6</f>
        <v>3393.484423362</v>
      </c>
      <c r="I159" s="206" t="n">
        <f aca="false">I156*$C$6</f>
        <v>3664.96317723096</v>
      </c>
      <c r="J159" s="206" t="n">
        <f aca="false">J156*$C$6</f>
        <v>3921.51059963713</v>
      </c>
      <c r="K159" s="206" t="n">
        <f aca="false">K156*$C$6</f>
        <v>4156.80123561536</v>
      </c>
      <c r="L159" s="206" t="n">
        <f aca="false">L156*$C$6</f>
        <v>4364.64129739613</v>
      </c>
      <c r="M159" s="206" t="n">
        <f aca="false">M156*$C$6</f>
        <v>4539.22694929197</v>
      </c>
      <c r="N159" s="206" t="n">
        <f aca="false">N156*$C$6</f>
        <v>4675.40375777073</v>
      </c>
      <c r="O159" s="206" t="n">
        <f aca="false">O156*$C$6</f>
        <v>4768.91183292614</v>
      </c>
    </row>
    <row r="160" customFormat="false" ht="21.75" hidden="false" customHeight="true" outlineLevel="0" collapsed="false">
      <c r="B160" s="204" t="s">
        <v>280</v>
      </c>
      <c r="C160" s="207" t="n">
        <v>1</v>
      </c>
      <c r="E160" s="90" t="s">
        <v>281</v>
      </c>
      <c r="F160" s="206" t="n">
        <f aca="false">F156*$C$7</f>
        <v>-444.3573645</v>
      </c>
      <c r="G160" s="206" t="n">
        <f aca="false">G156*$C$7</f>
        <v>-488.79310095</v>
      </c>
      <c r="H160" s="206" t="n">
        <f aca="false">H156*$C$7</f>
        <v>-532.7844800355</v>
      </c>
      <c r="I160" s="206" t="n">
        <f aca="false">I156*$C$7</f>
        <v>-575.40723843834</v>
      </c>
      <c r="J160" s="206" t="n">
        <f aca="false">J156*$C$7</f>
        <v>-615.685745129024</v>
      </c>
      <c r="K160" s="206" t="n">
        <f aca="false">K156*$C$7</f>
        <v>-652.626889836766</v>
      </c>
      <c r="L160" s="206" t="n">
        <f aca="false">L156*$C$7</f>
        <v>-685.258234328604</v>
      </c>
      <c r="M160" s="206" t="n">
        <f aca="false">M156*$C$7</f>
        <v>-712.668563701748</v>
      </c>
      <c r="N160" s="206" t="n">
        <f aca="false">N156*$C$7</f>
        <v>-734.048620612801</v>
      </c>
      <c r="O160" s="206" t="n">
        <f aca="false">O156*$C$7</f>
        <v>-748.729593025057</v>
      </c>
    </row>
    <row r="161" customFormat="false" ht="15" hidden="false" customHeight="true" outlineLevel="0" collapsed="false">
      <c r="E161" s="89" t="s">
        <v>46</v>
      </c>
      <c r="F161" s="208" t="n">
        <f aca="false">F157+F158-F159-F160</f>
        <v>1438.3553715</v>
      </c>
      <c r="G161" s="208" t="n">
        <f aca="false">G157+G158-G159-G160</f>
        <v>1582.19090865</v>
      </c>
      <c r="H161" s="208" t="n">
        <f aca="false">H157+H158-H159-H160</f>
        <v>1724.5880904285</v>
      </c>
      <c r="I161" s="208" t="n">
        <f aca="false">I157+I158-I159-I160</f>
        <v>1862.55513766278</v>
      </c>
      <c r="J161" s="208" t="n">
        <f aca="false">J157+J158-J159-J160</f>
        <v>1992.93399729918</v>
      </c>
      <c r="K161" s="208" t="n">
        <f aca="false">K157+K158-K159-K160</f>
        <v>2112.51003713713</v>
      </c>
      <c r="L161" s="208" t="n">
        <f aca="false">L157+L158-L159-L160</f>
        <v>2218.13553899398</v>
      </c>
      <c r="M161" s="208" t="n">
        <f aca="false">M157+M158-M159-M160</f>
        <v>2306.86096055374</v>
      </c>
      <c r="N161" s="208" t="n">
        <f aca="false">N157+N158-N159-N160</f>
        <v>2376.06678937036</v>
      </c>
      <c r="O161" s="208" t="n">
        <f aca="false">O157+O158-O159-O160</f>
        <v>2423.58812515776</v>
      </c>
      <c r="P161" s="208" t="n">
        <f aca="false">IF($C$160=1,P157*(1-$C$158/$C$157),O161*(1+$C$158))</f>
        <v>3349.9270419706</v>
      </c>
    </row>
    <row r="162" customFormat="false" ht="15" hidden="false" customHeight="true" outlineLevel="0" collapsed="false">
      <c r="B162" s="90" t="s">
        <v>96</v>
      </c>
      <c r="C162" s="95" t="n">
        <f aca="false">SUM(F163:O163)</f>
        <v>14316.8552984626</v>
      </c>
      <c r="E162" s="90" t="s">
        <v>282</v>
      </c>
      <c r="F162" s="209" t="n">
        <f aca="false">DCF!O$71</f>
        <v>0.0347222222222222</v>
      </c>
      <c r="G162" s="209" t="n">
        <f aca="false">DCF!P$71</f>
        <v>0.569444444444444</v>
      </c>
      <c r="H162" s="209" t="n">
        <f aca="false">DCF!Q$71</f>
        <v>1.56944444444444</v>
      </c>
      <c r="I162" s="209" t="n">
        <f aca="false">DCF!R$71</f>
        <v>2.56944444444444</v>
      </c>
      <c r="J162" s="209" t="n">
        <f aca="false">DCF!S$71</f>
        <v>3.56944444444444</v>
      </c>
      <c r="K162" s="209" t="n">
        <f aca="false">DCF!T$71</f>
        <v>4.56944444444445</v>
      </c>
      <c r="L162" s="209" t="n">
        <f aca="false">DCF!U$71</f>
        <v>5.56944444444445</v>
      </c>
      <c r="M162" s="209" t="n">
        <f aca="false">DCF!V$71</f>
        <v>6.56944444444445</v>
      </c>
      <c r="N162" s="209" t="n">
        <f aca="false">DCF!W$71</f>
        <v>7.56944444444445</v>
      </c>
      <c r="O162" s="209" t="n">
        <f aca="false">DCF!X$71</f>
        <v>8.56944444444445</v>
      </c>
    </row>
    <row r="163" customFormat="false" ht="15" hidden="false" customHeight="true" outlineLevel="0" collapsed="false">
      <c r="B163" s="90" t="s">
        <v>94</v>
      </c>
      <c r="C163" s="95" t="n">
        <f aca="false">P161/($C$157-$C$158)</f>
        <v>54031.0813221065</v>
      </c>
      <c r="E163" s="90" t="s">
        <v>283</v>
      </c>
      <c r="F163" s="206" t="n">
        <f aca="false">F161/(1+$C$157)^F162</f>
        <v>1434.42469360514</v>
      </c>
      <c r="G163" s="206" t="n">
        <f aca="false">G161/(1+$C$157)^G162</f>
        <v>1512.75417851994</v>
      </c>
      <c r="H163" s="206" t="n">
        <f aca="false">H161/(1+$C$157)^H162</f>
        <v>1523.93905229827</v>
      </c>
      <c r="I163" s="206" t="n">
        <f aca="false">I161/(1+$C$157)^I162</f>
        <v>1521.12215941048</v>
      </c>
      <c r="J163" s="206" t="n">
        <f aca="false">J161/(1+$C$157)^J162</f>
        <v>1504.25204303994</v>
      </c>
      <c r="K163" s="206" t="n">
        <f aca="false">K161/(1+$C$157)^K162</f>
        <v>1473.66651166574</v>
      </c>
      <c r="L163" s="206" t="n">
        <f aca="false">L161/(1+$C$157)^L162</f>
        <v>1430.0830288808</v>
      </c>
      <c r="M163" s="206" t="n">
        <f aca="false">M161/(1+$C$157)^M162</f>
        <v>1374.57148801852</v>
      </c>
      <c r="N163" s="206" t="n">
        <f aca="false">N161/(1+$C$157)^N162</f>
        <v>1308.51075107123</v>
      </c>
      <c r="O163" s="206" t="n">
        <f aca="false">O161/(1+$C$157)^O162</f>
        <v>1233.53139195255</v>
      </c>
    </row>
    <row r="164" customFormat="false" ht="15" hidden="false" customHeight="true" outlineLevel="0" collapsed="false">
      <c r="B164" s="90" t="s">
        <v>95</v>
      </c>
      <c r="C164" s="95" t="n">
        <f aca="false">C163/(1+$C$157)^O162</f>
        <v>27500.1491631837</v>
      </c>
    </row>
    <row r="165" customFormat="false" ht="15" hidden="false" customHeight="true" outlineLevel="0" collapsed="false">
      <c r="B165" s="90" t="s">
        <v>97</v>
      </c>
      <c r="C165" s="95" t="n">
        <f aca="false">C162+C164</f>
        <v>41817.0044616463</v>
      </c>
    </row>
    <row r="166" customFormat="false" ht="15" hidden="false" customHeight="true" outlineLevel="0" collapsed="false">
      <c r="B166" s="90" t="s">
        <v>284</v>
      </c>
      <c r="C166" s="95" t="n">
        <f aca="false">C165+$C$9-$C$10</f>
        <v>42717.0044616463</v>
      </c>
    </row>
    <row r="167" customFormat="false" ht="15" hidden="false" customHeight="true" outlineLevel="0" collapsed="false">
      <c r="B167" s="202" t="s">
        <v>99</v>
      </c>
      <c r="C167" s="210" t="n">
        <f aca="false">C166/$C$11</f>
        <v>40.0421864094923</v>
      </c>
    </row>
    <row r="168" customFormat="false" ht="15" hidden="false" customHeight="true" outlineLevel="0" collapsed="false">
      <c r="B168" s="90" t="s">
        <v>93</v>
      </c>
      <c r="C168" s="96" t="n">
        <f aca="false">1-P161/P157</f>
        <v>0.24390243902439</v>
      </c>
    </row>
    <row r="169" customFormat="false" ht="15" hidden="false" customHeight="true" outlineLevel="0" collapsed="false">
      <c r="B169" s="90" t="s">
        <v>285</v>
      </c>
      <c r="C169" s="96" t="n">
        <f aca="false">C164/C165</f>
        <v>0.657630777651859</v>
      </c>
    </row>
    <row r="172" customFormat="false" ht="15" hidden="false" customHeight="true" outlineLevel="0" collapsed="false">
      <c r="B172" s="85" t="s">
        <v>294</v>
      </c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</row>
    <row r="173" customFormat="false" ht="15" hidden="false" customHeight="true" outlineLevel="0" collapsed="false">
      <c r="B173" s="202" t="s">
        <v>272</v>
      </c>
      <c r="C173" s="202" t="s">
        <v>183</v>
      </c>
      <c r="E173" s="202" t="s">
        <v>273</v>
      </c>
      <c r="F173" s="203" t="str">
        <f aca="false">"FY"&amp;RIGHT(DCF!O$38,2)</f>
        <v>FY26</v>
      </c>
      <c r="G173" s="203" t="str">
        <f aca="false">"FY"&amp;RIGHT(DCF!P$38,2)</f>
        <v>FY27</v>
      </c>
      <c r="H173" s="203" t="str">
        <f aca="false">"FY"&amp;RIGHT(DCF!Q$38,2)</f>
        <v>FY28</v>
      </c>
      <c r="I173" s="203" t="str">
        <f aca="false">"FY"&amp;RIGHT(DCF!R$38,2)</f>
        <v>FY29</v>
      </c>
      <c r="J173" s="203" t="str">
        <f aca="false">"FY"&amp;RIGHT(DCF!S$38,2)</f>
        <v>FY30</v>
      </c>
      <c r="K173" s="203" t="str">
        <f aca="false">"FY"&amp;RIGHT(DCF!T$38,2)</f>
        <v>FY31</v>
      </c>
      <c r="L173" s="203" t="str">
        <f aca="false">"FY"&amp;RIGHT(DCF!U$38,2)</f>
        <v>FY32</v>
      </c>
      <c r="M173" s="203" t="str">
        <f aca="false">"FY"&amp;RIGHT(DCF!V$38,2)</f>
        <v>FY33</v>
      </c>
      <c r="N173" s="203" t="str">
        <f aca="false">"FY"&amp;RIGHT(DCF!W$38,2)</f>
        <v>FY34</v>
      </c>
      <c r="O173" s="203" t="str">
        <f aca="false">"FY"&amp;RIGHT(DCF!X$38,2)</f>
        <v>FY35</v>
      </c>
      <c r="P173" s="203" t="s">
        <v>40</v>
      </c>
    </row>
    <row r="174" customFormat="false" ht="15" hidden="false" customHeight="true" outlineLevel="0" collapsed="false">
      <c r="B174" s="204" t="s">
        <v>274</v>
      </c>
      <c r="C174" s="94" t="n">
        <f aca="false">DCF!$H$11</f>
        <v>0.07</v>
      </c>
      <c r="E174" s="90" t="s">
        <v>275</v>
      </c>
      <c r="F174" s="205" t="n">
        <f aca="false">$C$174</f>
        <v>0.07</v>
      </c>
      <c r="G174" s="205" t="n">
        <f aca="false">IF($C$178=1,F174-($C$174-$C$177)/$C$12,$C$174)</f>
        <v>0.07</v>
      </c>
      <c r="H174" s="205" t="n">
        <f aca="false">IF($C$178=1,G174-($C$174-$C$177)/$C$12,$C$174)</f>
        <v>0.07</v>
      </c>
      <c r="I174" s="205" t="n">
        <f aca="false">IF($C$178=1,H174-($C$174-$C$177)/$C$12,$C$174)</f>
        <v>0.07</v>
      </c>
      <c r="J174" s="205" t="n">
        <f aca="false">IF($C$178=1,I174-($C$174-$C$177)/$C$12,$C$174)</f>
        <v>0.07</v>
      </c>
      <c r="K174" s="205" t="n">
        <f aca="false">IF($C$178=1,J174-($C$174-$C$177)/$C$12,$C$174)</f>
        <v>0.07</v>
      </c>
      <c r="L174" s="205" t="n">
        <f aca="false">IF($C$178=1,K174-($C$174-$C$177)/$C$12,$C$174)</f>
        <v>0.07</v>
      </c>
      <c r="M174" s="205" t="n">
        <f aca="false">IF($C$178=1,L174-($C$174-$C$177)/$C$12,$C$174)</f>
        <v>0.07</v>
      </c>
      <c r="N174" s="205" t="n">
        <f aca="false">IF($C$178=1,M174-($C$174-$C$177)/$C$12,$C$174)</f>
        <v>0.07</v>
      </c>
      <c r="O174" s="205" t="n">
        <f aca="false">IF($C$178=1,N174-($C$174-$C$177)/$C$12,$C$174)</f>
        <v>0.07</v>
      </c>
    </row>
    <row r="175" customFormat="false" ht="15" hidden="false" customHeight="true" outlineLevel="0" collapsed="false">
      <c r="B175" s="204" t="s">
        <v>276</v>
      </c>
      <c r="C175" s="94" t="n">
        <f aca="false">DCF!$H$13</f>
        <v>0.16</v>
      </c>
      <c r="E175" s="90" t="s">
        <v>16</v>
      </c>
      <c r="F175" s="206" t="n">
        <f aca="false">$C$8*(1+F174)</f>
        <v>14924.895</v>
      </c>
      <c r="G175" s="206" t="n">
        <f aca="false">F175*(1+G174)</f>
        <v>15969.63765</v>
      </c>
      <c r="H175" s="206" t="n">
        <f aca="false">G175*(1+H174)</f>
        <v>17087.5122855</v>
      </c>
      <c r="I175" s="206" t="n">
        <f aca="false">H175*(1+I174)</f>
        <v>18283.638145485</v>
      </c>
      <c r="J175" s="206" t="n">
        <f aca="false">I175*(1+J174)</f>
        <v>19563.492815669</v>
      </c>
      <c r="K175" s="206" t="n">
        <f aca="false">J175*(1+K174)</f>
        <v>20932.9373127658</v>
      </c>
      <c r="L175" s="206" t="n">
        <f aca="false">K175*(1+L174)</f>
        <v>22398.2429246594</v>
      </c>
      <c r="M175" s="206" t="n">
        <f aca="false">L175*(1+M174)</f>
        <v>23966.1199293855</v>
      </c>
      <c r="N175" s="206" t="n">
        <f aca="false">M175*(1+N174)</f>
        <v>25643.7483244425</v>
      </c>
      <c r="O175" s="206" t="n">
        <f aca="false">N175*(1+O174)</f>
        <v>27438.8107071535</v>
      </c>
    </row>
    <row r="176" customFormat="false" ht="15" hidden="false" customHeight="true" outlineLevel="0" collapsed="false">
      <c r="B176" s="204" t="s">
        <v>21</v>
      </c>
      <c r="C176" s="92" t="n">
        <f aca="false">DCF!$H$16</f>
        <v>0.092</v>
      </c>
      <c r="E176" s="90" t="s">
        <v>277</v>
      </c>
      <c r="F176" s="206" t="n">
        <f aca="false">F175*$C$175*(1-$C$4)</f>
        <v>2149.18488</v>
      </c>
      <c r="G176" s="206" t="n">
        <f aca="false">G175*$C$175*(1-$C$4)</f>
        <v>2299.6278216</v>
      </c>
      <c r="H176" s="206" t="n">
        <f aca="false">H175*$C$175*(1-$C$4)</f>
        <v>2460.601769112</v>
      </c>
      <c r="I176" s="206" t="n">
        <f aca="false">I175*$C$175*(1-$C$4)</f>
        <v>2632.84389294984</v>
      </c>
      <c r="J176" s="206" t="n">
        <f aca="false">J175*$C$175*(1-$C$4)</f>
        <v>2817.14296545633</v>
      </c>
      <c r="K176" s="206" t="n">
        <f aca="false">K175*$C$175*(1-$C$4)</f>
        <v>3014.34297303827</v>
      </c>
      <c r="L176" s="206" t="n">
        <f aca="false">L175*$C$175*(1-$C$4)</f>
        <v>3225.34698115095</v>
      </c>
      <c r="M176" s="206" t="n">
        <f aca="false">M175*$C$175*(1-$C$4)</f>
        <v>3451.12126983152</v>
      </c>
      <c r="N176" s="206" t="n">
        <f aca="false">N175*$C$175*(1-$C$4)</f>
        <v>3692.69975871973</v>
      </c>
      <c r="O176" s="206" t="n">
        <f aca="false">O175*$C$175*(1-$C$4)</f>
        <v>3951.18874183011</v>
      </c>
      <c r="P176" s="206" t="n">
        <f aca="false">O176*(1+$C$177)</f>
        <v>3990.70062924841</v>
      </c>
    </row>
    <row r="177" customFormat="false" ht="15" hidden="false" customHeight="true" outlineLevel="0" collapsed="false">
      <c r="B177" s="204" t="s">
        <v>278</v>
      </c>
      <c r="C177" s="94" t="n">
        <f aca="false">DCF!$H$17</f>
        <v>0.01</v>
      </c>
      <c r="E177" s="90" t="s">
        <v>35</v>
      </c>
      <c r="F177" s="206" t="n">
        <f aca="false">F175*$C$5</f>
        <v>1201.4540475</v>
      </c>
      <c r="G177" s="206" t="n">
        <f aca="false">G175*$C$5</f>
        <v>1285.555830825</v>
      </c>
      <c r="H177" s="206" t="n">
        <f aca="false">H175*$C$5</f>
        <v>1375.54473898275</v>
      </c>
      <c r="I177" s="206" t="n">
        <f aca="false">I175*$C$5</f>
        <v>1471.83287071154</v>
      </c>
      <c r="J177" s="206" t="n">
        <f aca="false">J175*$C$5</f>
        <v>1574.86117166135</v>
      </c>
      <c r="K177" s="206" t="n">
        <f aca="false">K175*$C$5</f>
        <v>1685.10145367765</v>
      </c>
      <c r="L177" s="206" t="n">
        <f aca="false">L175*$C$5</f>
        <v>1803.05855543508</v>
      </c>
      <c r="M177" s="206" t="n">
        <f aca="false">M175*$C$5</f>
        <v>1929.27265431554</v>
      </c>
      <c r="N177" s="206" t="n">
        <f aca="false">N175*$C$5</f>
        <v>2064.32174011762</v>
      </c>
      <c r="O177" s="206" t="n">
        <f aca="false">O175*$C$5</f>
        <v>2208.82426192586</v>
      </c>
    </row>
    <row r="178" customFormat="false" ht="15" hidden="false" customHeight="true" outlineLevel="0" collapsed="false">
      <c r="B178" s="204" t="s">
        <v>279</v>
      </c>
      <c r="C178" s="207" t="n">
        <v>0</v>
      </c>
      <c r="E178" s="90" t="s">
        <v>36</v>
      </c>
      <c r="F178" s="206" t="n">
        <f aca="false">F175*$C$6</f>
        <v>2728.270806</v>
      </c>
      <c r="G178" s="206" t="n">
        <f aca="false">G175*$C$6</f>
        <v>2919.24976242</v>
      </c>
      <c r="H178" s="206" t="n">
        <f aca="false">H175*$C$6</f>
        <v>3123.5972457894</v>
      </c>
      <c r="I178" s="206" t="n">
        <f aca="false">I175*$C$6</f>
        <v>3342.24905299466</v>
      </c>
      <c r="J178" s="206" t="n">
        <f aca="false">J175*$C$6</f>
        <v>3576.20648670428</v>
      </c>
      <c r="K178" s="206" t="n">
        <f aca="false">K175*$C$6</f>
        <v>3826.54094077358</v>
      </c>
      <c r="L178" s="206" t="n">
        <f aca="false">L175*$C$6</f>
        <v>4094.39880662774</v>
      </c>
      <c r="M178" s="206" t="n">
        <f aca="false">M175*$C$6</f>
        <v>4381.00672309168</v>
      </c>
      <c r="N178" s="206" t="n">
        <f aca="false">N175*$C$6</f>
        <v>4687.6771937081</v>
      </c>
      <c r="O178" s="206" t="n">
        <f aca="false">O175*$C$6</f>
        <v>5015.81459726766</v>
      </c>
    </row>
    <row r="179" customFormat="false" ht="21.75" hidden="false" customHeight="true" outlineLevel="0" collapsed="false">
      <c r="B179" s="204" t="s">
        <v>280</v>
      </c>
      <c r="C179" s="207" t="n">
        <v>0</v>
      </c>
      <c r="E179" s="90" t="s">
        <v>281</v>
      </c>
      <c r="F179" s="206" t="n">
        <f aca="false">F175*$C$7</f>
        <v>-428.3444865</v>
      </c>
      <c r="G179" s="206" t="n">
        <f aca="false">G175*$C$7</f>
        <v>-458.328600555</v>
      </c>
      <c r="H179" s="206" t="n">
        <f aca="false">H175*$C$7</f>
        <v>-490.41160259385</v>
      </c>
      <c r="I179" s="206" t="n">
        <f aca="false">I175*$C$7</f>
        <v>-524.74041477542</v>
      </c>
      <c r="J179" s="206" t="n">
        <f aca="false">J175*$C$7</f>
        <v>-561.472243809699</v>
      </c>
      <c r="K179" s="206" t="n">
        <f aca="false">K175*$C$7</f>
        <v>-600.775300876378</v>
      </c>
      <c r="L179" s="206" t="n">
        <f aca="false">L175*$C$7</f>
        <v>-642.829571937725</v>
      </c>
      <c r="M179" s="206" t="n">
        <f aca="false">M175*$C$7</f>
        <v>-687.827641973365</v>
      </c>
      <c r="N179" s="206" t="n">
        <f aca="false">N175*$C$7</f>
        <v>-735.975576911501</v>
      </c>
      <c r="O179" s="206" t="n">
        <f aca="false">O175*$C$7</f>
        <v>-787.493867295306</v>
      </c>
    </row>
    <row r="180" customFormat="false" ht="15" hidden="false" customHeight="true" outlineLevel="0" collapsed="false">
      <c r="E180" s="89" t="s">
        <v>46</v>
      </c>
      <c r="F180" s="208" t="n">
        <f aca="false">F176+F177-F178-F179</f>
        <v>1050.712608</v>
      </c>
      <c r="G180" s="208" t="n">
        <f aca="false">G176+G177-G178-G179</f>
        <v>1124.26249056</v>
      </c>
      <c r="H180" s="208" t="n">
        <f aca="false">H176+H177-H178-H179</f>
        <v>1202.9608648992</v>
      </c>
      <c r="I180" s="208" t="n">
        <f aca="false">I176+I177-I178-I179</f>
        <v>1287.16812544214</v>
      </c>
      <c r="J180" s="208" t="n">
        <f aca="false">J176+J177-J178-J179</f>
        <v>1377.26989422309</v>
      </c>
      <c r="K180" s="208" t="n">
        <f aca="false">K176+K177-K178-K179</f>
        <v>1473.67878681871</v>
      </c>
      <c r="L180" s="208" t="n">
        <f aca="false">L176+L177-L178-L179</f>
        <v>1576.83630189602</v>
      </c>
      <c r="M180" s="208" t="n">
        <f aca="false">M176+M177-M178-M179</f>
        <v>1687.21484302874</v>
      </c>
      <c r="N180" s="208" t="n">
        <f aca="false">N176+N177-N178-N179</f>
        <v>1805.31988204076</v>
      </c>
      <c r="O180" s="208" t="n">
        <f aca="false">O176+O177-O178-O179</f>
        <v>1931.69227378361</v>
      </c>
      <c r="P180" s="208" t="n">
        <f aca="false">IF($C$179=1,P176*(1-$C$177/$C$176),O180*(1+$C$177))</f>
        <v>1951.00919652144</v>
      </c>
    </row>
    <row r="181" customFormat="false" ht="15" hidden="false" customHeight="true" outlineLevel="0" collapsed="false">
      <c r="B181" s="90" t="s">
        <v>96</v>
      </c>
      <c r="C181" s="95" t="n">
        <f aca="false">SUM(F182:O182)</f>
        <v>9931.09819247139</v>
      </c>
      <c r="E181" s="90" t="s">
        <v>282</v>
      </c>
      <c r="F181" s="209" t="n">
        <f aca="false">DCF!O$71</f>
        <v>0.0347222222222222</v>
      </c>
      <c r="G181" s="209" t="n">
        <f aca="false">DCF!P$71</f>
        <v>0.569444444444444</v>
      </c>
      <c r="H181" s="209" t="n">
        <f aca="false">DCF!Q$71</f>
        <v>1.56944444444444</v>
      </c>
      <c r="I181" s="209" t="n">
        <f aca="false">DCF!R$71</f>
        <v>2.56944444444444</v>
      </c>
      <c r="J181" s="209" t="n">
        <f aca="false">DCF!S$71</f>
        <v>3.56944444444444</v>
      </c>
      <c r="K181" s="209" t="n">
        <f aca="false">DCF!T$71</f>
        <v>4.56944444444445</v>
      </c>
      <c r="L181" s="209" t="n">
        <f aca="false">DCF!U$71</f>
        <v>5.56944444444445</v>
      </c>
      <c r="M181" s="209" t="n">
        <f aca="false">DCF!V$71</f>
        <v>6.56944444444445</v>
      </c>
      <c r="N181" s="209" t="n">
        <f aca="false">DCF!W$71</f>
        <v>7.56944444444445</v>
      </c>
      <c r="O181" s="209" t="n">
        <f aca="false">DCF!X$71</f>
        <v>8.56944444444445</v>
      </c>
    </row>
    <row r="182" customFormat="false" ht="15" hidden="false" customHeight="true" outlineLevel="0" collapsed="false">
      <c r="B182" s="90" t="s">
        <v>94</v>
      </c>
      <c r="C182" s="95" t="n">
        <f aca="false">P180/($C$176-$C$177)</f>
        <v>23792.7950795298</v>
      </c>
      <c r="E182" s="90" t="s">
        <v>283</v>
      </c>
      <c r="F182" s="206" t="n">
        <f aca="false">F180/(1+$C$176)^F181</f>
        <v>1047.50660158093</v>
      </c>
      <c r="G182" s="206" t="n">
        <f aca="false">G180/(1+$C$176)^G181</f>
        <v>1069.30611941946</v>
      </c>
      <c r="H182" s="206" t="n">
        <f aca="false">H180/(1+$C$176)^H181</f>
        <v>1047.76332214178</v>
      </c>
      <c r="I182" s="206" t="n">
        <f aca="false">I180/(1+$C$176)^I181</f>
        <v>1026.65453726347</v>
      </c>
      <c r="J182" s="206" t="n">
        <f aca="false">J180/(1+$C$176)^J181</f>
        <v>1005.97102094497</v>
      </c>
      <c r="K182" s="206" t="n">
        <f aca="false">K180/(1+$C$176)^K181</f>
        <v>985.704205504688</v>
      </c>
      <c r="L182" s="206" t="n">
        <f aca="false">L180/(1+$C$176)^L181</f>
        <v>965.845695869978</v>
      </c>
      <c r="M182" s="206" t="n">
        <f aca="false">M180/(1+$C$176)^M181</f>
        <v>946.387266099704</v>
      </c>
      <c r="N182" s="206" t="n">
        <f aca="false">N180/(1+$C$176)^N181</f>
        <v>927.320855976817</v>
      </c>
      <c r="O182" s="206" t="n">
        <f aca="false">O180/(1+$C$176)^O181</f>
        <v>908.63856766959</v>
      </c>
    </row>
    <row r="183" customFormat="false" ht="15" hidden="false" customHeight="true" outlineLevel="0" collapsed="false">
      <c r="B183" s="90" t="s">
        <v>95</v>
      </c>
      <c r="C183" s="95" t="n">
        <f aca="false">C182/(1+$C$176)^O181</f>
        <v>11191.7677237352</v>
      </c>
    </row>
    <row r="184" customFormat="false" ht="15" hidden="false" customHeight="true" outlineLevel="0" collapsed="false">
      <c r="B184" s="90" t="s">
        <v>97</v>
      </c>
      <c r="C184" s="95" t="n">
        <f aca="false">C181+C183</f>
        <v>21122.8659162066</v>
      </c>
    </row>
    <row r="185" customFormat="false" ht="15" hidden="false" customHeight="true" outlineLevel="0" collapsed="false">
      <c r="B185" s="90" t="s">
        <v>284</v>
      </c>
      <c r="C185" s="95" t="n">
        <f aca="false">C184+$C$9-$C$10</f>
        <v>22022.8659162066</v>
      </c>
    </row>
    <row r="186" customFormat="false" ht="15" hidden="false" customHeight="true" outlineLevel="0" collapsed="false">
      <c r="B186" s="202" t="s">
        <v>99</v>
      </c>
      <c r="C186" s="210" t="n">
        <f aca="false">C185/$C$11</f>
        <v>20.6438563144044</v>
      </c>
    </row>
    <row r="187" customFormat="false" ht="15" hidden="false" customHeight="true" outlineLevel="0" collapsed="false">
      <c r="B187" s="90" t="s">
        <v>93</v>
      </c>
      <c r="C187" s="96" t="n">
        <f aca="false">1-P180/P176</f>
        <v>0.511111111111111</v>
      </c>
    </row>
    <row r="188" customFormat="false" ht="15" hidden="false" customHeight="true" outlineLevel="0" collapsed="false">
      <c r="B188" s="90" t="s">
        <v>285</v>
      </c>
      <c r="C188" s="96" t="n">
        <f aca="false">C183/C184</f>
        <v>0.529841346725033</v>
      </c>
    </row>
    <row r="191" customFormat="false" ht="15" hidden="false" customHeight="true" outlineLevel="0" collapsed="false">
      <c r="B191" s="85" t="s">
        <v>295</v>
      </c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</row>
    <row r="192" customFormat="false" ht="15" hidden="false" customHeight="true" outlineLevel="0" collapsed="false">
      <c r="B192" s="202" t="s">
        <v>272</v>
      </c>
      <c r="C192" s="202" t="s">
        <v>183</v>
      </c>
      <c r="E192" s="202" t="s">
        <v>273</v>
      </c>
      <c r="F192" s="203" t="str">
        <f aca="false">"FY"&amp;RIGHT(DCF!O$38,2)</f>
        <v>FY26</v>
      </c>
      <c r="G192" s="203" t="str">
        <f aca="false">"FY"&amp;RIGHT(DCF!P$38,2)</f>
        <v>FY27</v>
      </c>
      <c r="H192" s="203" t="str">
        <f aca="false">"FY"&amp;RIGHT(DCF!Q$38,2)</f>
        <v>FY28</v>
      </c>
      <c r="I192" s="203" t="str">
        <f aca="false">"FY"&amp;RIGHT(DCF!R$38,2)</f>
        <v>FY29</v>
      </c>
      <c r="J192" s="203" t="str">
        <f aca="false">"FY"&amp;RIGHT(DCF!S$38,2)</f>
        <v>FY30</v>
      </c>
      <c r="K192" s="203" t="str">
        <f aca="false">"FY"&amp;RIGHT(DCF!T$38,2)</f>
        <v>FY31</v>
      </c>
      <c r="L192" s="203" t="str">
        <f aca="false">"FY"&amp;RIGHT(DCF!U$38,2)</f>
        <v>FY32</v>
      </c>
      <c r="M192" s="203" t="str">
        <f aca="false">"FY"&amp;RIGHT(DCF!V$38,2)</f>
        <v>FY33</v>
      </c>
      <c r="N192" s="203" t="str">
        <f aca="false">"FY"&amp;RIGHT(DCF!W$38,2)</f>
        <v>FY34</v>
      </c>
      <c r="O192" s="203" t="str">
        <f aca="false">"FY"&amp;RIGHT(DCF!X$38,2)</f>
        <v>FY35</v>
      </c>
      <c r="P192" s="203" t="s">
        <v>40</v>
      </c>
    </row>
    <row r="193" customFormat="false" ht="15" hidden="false" customHeight="true" outlineLevel="0" collapsed="false">
      <c r="B193" s="204" t="s">
        <v>274</v>
      </c>
      <c r="C193" s="94" t="n">
        <f aca="false">DCF!$P$11</f>
        <v>0.11</v>
      </c>
      <c r="E193" s="90" t="s">
        <v>275</v>
      </c>
      <c r="F193" s="205" t="n">
        <f aca="false">$C$193</f>
        <v>0.11</v>
      </c>
      <c r="G193" s="205" t="n">
        <f aca="false">IF($C$197=1,F193-($C$193-$C$196)/$C$12,$C$193)</f>
        <v>0.11</v>
      </c>
      <c r="H193" s="205" t="n">
        <f aca="false">IF($C$197=1,G193-($C$193-$C$196)/$C$12,$C$193)</f>
        <v>0.11</v>
      </c>
      <c r="I193" s="205" t="n">
        <f aca="false">IF($C$197=1,H193-($C$193-$C$196)/$C$12,$C$193)</f>
        <v>0.11</v>
      </c>
      <c r="J193" s="205" t="n">
        <f aca="false">IF($C$197=1,I193-($C$193-$C$196)/$C$12,$C$193)</f>
        <v>0.11</v>
      </c>
      <c r="K193" s="205" t="n">
        <f aca="false">IF($C$197=1,J193-($C$193-$C$196)/$C$12,$C$193)</f>
        <v>0.11</v>
      </c>
      <c r="L193" s="205" t="n">
        <f aca="false">IF($C$197=1,K193-($C$193-$C$196)/$C$12,$C$193)</f>
        <v>0.11</v>
      </c>
      <c r="M193" s="205" t="n">
        <f aca="false">IF($C$197=1,L193-($C$193-$C$196)/$C$12,$C$193)</f>
        <v>0.11</v>
      </c>
      <c r="N193" s="205" t="n">
        <f aca="false">IF($C$197=1,M193-($C$193-$C$196)/$C$12,$C$193)</f>
        <v>0.11</v>
      </c>
      <c r="O193" s="205" t="n">
        <f aca="false">IF($C$197=1,N193-($C$193-$C$196)/$C$12,$C$193)</f>
        <v>0.11</v>
      </c>
    </row>
    <row r="194" customFormat="false" ht="15" hidden="false" customHeight="true" outlineLevel="0" collapsed="false">
      <c r="B194" s="204" t="s">
        <v>276</v>
      </c>
      <c r="C194" s="94" t="n">
        <f aca="false">DCF!$P$13</f>
        <v>0.185</v>
      </c>
      <c r="E194" s="90" t="s">
        <v>16</v>
      </c>
      <c r="F194" s="206" t="n">
        <f aca="false">$C$8*(1+F193)</f>
        <v>15482.835</v>
      </c>
      <c r="G194" s="206" t="n">
        <f aca="false">F194*(1+G193)</f>
        <v>17185.94685</v>
      </c>
      <c r="H194" s="206" t="n">
        <f aca="false">G194*(1+H193)</f>
        <v>19076.4010035</v>
      </c>
      <c r="I194" s="206" t="n">
        <f aca="false">H194*(1+I193)</f>
        <v>21174.805113885</v>
      </c>
      <c r="J194" s="206" t="n">
        <f aca="false">I194*(1+J193)</f>
        <v>23504.0336764124</v>
      </c>
      <c r="K194" s="206" t="n">
        <f aca="false">J194*(1+K193)</f>
        <v>26089.4773808177</v>
      </c>
      <c r="L194" s="206" t="n">
        <f aca="false">K194*(1+L193)</f>
        <v>28959.3198927077</v>
      </c>
      <c r="M194" s="206" t="n">
        <f aca="false">L194*(1+M193)</f>
        <v>32144.8450809055</v>
      </c>
      <c r="N194" s="206" t="n">
        <f aca="false">M194*(1+N193)</f>
        <v>35680.7780398051</v>
      </c>
      <c r="O194" s="206" t="n">
        <f aca="false">N194*(1+O193)</f>
        <v>39605.6636241837</v>
      </c>
    </row>
    <row r="195" customFormat="false" ht="15" hidden="false" customHeight="true" outlineLevel="0" collapsed="false">
      <c r="B195" s="204" t="s">
        <v>21</v>
      </c>
      <c r="C195" s="92" t="n">
        <f aca="false">DCF!$P$16</f>
        <v>0.082</v>
      </c>
      <c r="E195" s="90" t="s">
        <v>277</v>
      </c>
      <c r="F195" s="206" t="n">
        <f aca="false">F194*$C$194*(1-$C$4)</f>
        <v>2577.8920275</v>
      </c>
      <c r="G195" s="206" t="n">
        <f aca="false">G194*$C$194*(1-$C$4)</f>
        <v>2861.460150525</v>
      </c>
      <c r="H195" s="206" t="n">
        <f aca="false">H194*$C$194*(1-$C$4)</f>
        <v>3176.22076708275</v>
      </c>
      <c r="I195" s="206" t="n">
        <f aca="false">I194*$C$194*(1-$C$4)</f>
        <v>3525.60505146185</v>
      </c>
      <c r="J195" s="206" t="n">
        <f aca="false">J194*$C$194*(1-$C$4)</f>
        <v>3913.42160712266</v>
      </c>
      <c r="K195" s="206" t="n">
        <f aca="false">K194*$C$194*(1-$C$4)</f>
        <v>4343.89798390615</v>
      </c>
      <c r="L195" s="206" t="n">
        <f aca="false">L194*$C$194*(1-$C$4)</f>
        <v>4821.72676213583</v>
      </c>
      <c r="M195" s="206" t="n">
        <f aca="false">M194*$C$194*(1-$C$4)</f>
        <v>5352.11670597077</v>
      </c>
      <c r="N195" s="206" t="n">
        <f aca="false">N194*$C$194*(1-$C$4)</f>
        <v>5940.84954362756</v>
      </c>
      <c r="O195" s="206" t="n">
        <f aca="false">O194*$C$194*(1-$C$4)</f>
        <v>6594.34299342659</v>
      </c>
      <c r="P195" s="206" t="n">
        <f aca="false">O195*(1+$C$196)</f>
        <v>6726.22985329512</v>
      </c>
    </row>
    <row r="196" customFormat="false" ht="15" hidden="false" customHeight="true" outlineLevel="0" collapsed="false">
      <c r="B196" s="204" t="s">
        <v>278</v>
      </c>
      <c r="C196" s="94" t="n">
        <f aca="false">DCF!$P$17</f>
        <v>0.02</v>
      </c>
      <c r="E196" s="90" t="s">
        <v>35</v>
      </c>
      <c r="F196" s="206" t="n">
        <f aca="false">F194*$C$5</f>
        <v>1246.3682175</v>
      </c>
      <c r="G196" s="206" t="n">
        <f aca="false">G194*$C$5</f>
        <v>1383.468721425</v>
      </c>
      <c r="H196" s="206" t="n">
        <f aca="false">H194*$C$5</f>
        <v>1535.65028078175</v>
      </c>
      <c r="I196" s="206" t="n">
        <f aca="false">I194*$C$5</f>
        <v>1704.57181166774</v>
      </c>
      <c r="J196" s="206" t="n">
        <f aca="false">J194*$C$5</f>
        <v>1892.0747109512</v>
      </c>
      <c r="K196" s="206" t="n">
        <f aca="false">K194*$C$5</f>
        <v>2100.20292915583</v>
      </c>
      <c r="L196" s="206" t="n">
        <f aca="false">L194*$C$5</f>
        <v>2331.22525136297</v>
      </c>
      <c r="M196" s="206" t="n">
        <f aca="false">M194*$C$5</f>
        <v>2587.6600290129</v>
      </c>
      <c r="N196" s="206" t="n">
        <f aca="false">N194*$C$5</f>
        <v>2872.30263220431</v>
      </c>
      <c r="O196" s="206" t="n">
        <f aca="false">O194*$C$5</f>
        <v>3188.25592174679</v>
      </c>
    </row>
    <row r="197" customFormat="false" ht="15" hidden="false" customHeight="true" outlineLevel="0" collapsed="false">
      <c r="B197" s="204" t="s">
        <v>279</v>
      </c>
      <c r="C197" s="207" t="n">
        <v>0</v>
      </c>
      <c r="E197" s="90" t="s">
        <v>36</v>
      </c>
      <c r="F197" s="206" t="n">
        <f aca="false">F194*$C$6</f>
        <v>2830.262238</v>
      </c>
      <c r="G197" s="206" t="n">
        <f aca="false">G194*$C$6</f>
        <v>3141.59108418</v>
      </c>
      <c r="H197" s="206" t="n">
        <f aca="false">H194*$C$6</f>
        <v>3487.1661034398</v>
      </c>
      <c r="I197" s="206" t="n">
        <f aca="false">I194*$C$6</f>
        <v>3870.75437481818</v>
      </c>
      <c r="J197" s="206" t="n">
        <f aca="false">J194*$C$6</f>
        <v>4296.53735604818</v>
      </c>
      <c r="K197" s="206" t="n">
        <f aca="false">K194*$C$6</f>
        <v>4769.15646521348</v>
      </c>
      <c r="L197" s="206" t="n">
        <f aca="false">L194*$C$6</f>
        <v>5293.76367638696</v>
      </c>
      <c r="M197" s="206" t="n">
        <f aca="false">M194*$C$6</f>
        <v>5876.07768078953</v>
      </c>
      <c r="N197" s="206" t="n">
        <f aca="false">N194*$C$6</f>
        <v>6522.44622567638</v>
      </c>
      <c r="O197" s="206" t="n">
        <f aca="false">O194*$C$6</f>
        <v>7239.91531050078</v>
      </c>
    </row>
    <row r="198" customFormat="false" ht="21.75" hidden="false" customHeight="true" outlineLevel="0" collapsed="false">
      <c r="B198" s="204" t="s">
        <v>280</v>
      </c>
      <c r="C198" s="207" t="n">
        <v>0</v>
      </c>
      <c r="E198" s="90" t="s">
        <v>281</v>
      </c>
      <c r="F198" s="206" t="n">
        <f aca="false">F194*$C$7</f>
        <v>-444.3573645</v>
      </c>
      <c r="G198" s="206" t="n">
        <f aca="false">G194*$C$7</f>
        <v>-493.236674595</v>
      </c>
      <c r="H198" s="206" t="n">
        <f aca="false">H194*$C$7</f>
        <v>-547.49270880045</v>
      </c>
      <c r="I198" s="206" t="n">
        <f aca="false">I194*$C$7</f>
        <v>-607.7169067685</v>
      </c>
      <c r="J198" s="206" t="n">
        <f aca="false">J194*$C$7</f>
        <v>-674.565766513035</v>
      </c>
      <c r="K198" s="206" t="n">
        <f aca="false">K194*$C$7</f>
        <v>-748.768000829469</v>
      </c>
      <c r="L198" s="206" t="n">
        <f aca="false">L194*$C$7</f>
        <v>-831.132480920711</v>
      </c>
      <c r="M198" s="206" t="n">
        <f aca="false">M194*$C$7</f>
        <v>-922.557053821989</v>
      </c>
      <c r="N198" s="206" t="n">
        <f aca="false">N194*$C$7</f>
        <v>-1024.03832974241</v>
      </c>
      <c r="O198" s="206" t="n">
        <f aca="false">O194*$C$7</f>
        <v>-1136.68254601407</v>
      </c>
    </row>
    <row r="199" customFormat="false" ht="15" hidden="false" customHeight="true" outlineLevel="0" collapsed="false">
      <c r="E199" s="89" t="s">
        <v>46</v>
      </c>
      <c r="F199" s="208" t="n">
        <f aca="false">F195+F196-F197-F198</f>
        <v>1438.3553715</v>
      </c>
      <c r="G199" s="208" t="n">
        <f aca="false">G195+G196-G197-G198</f>
        <v>1596.574462365</v>
      </c>
      <c r="H199" s="208" t="n">
        <f aca="false">H195+H196-H197-H198</f>
        <v>1772.19765322515</v>
      </c>
      <c r="I199" s="208" t="n">
        <f aca="false">I195+I196-I197-I198</f>
        <v>1967.13939507992</v>
      </c>
      <c r="J199" s="208" t="n">
        <f aca="false">J195+J196-J197-J198</f>
        <v>2183.52472853871</v>
      </c>
      <c r="K199" s="208" t="n">
        <f aca="false">K195+K196-K197-K198</f>
        <v>2423.71244867797</v>
      </c>
      <c r="L199" s="208" t="n">
        <f aca="false">L195+L196-L197-L198</f>
        <v>2690.32081803254</v>
      </c>
      <c r="M199" s="208" t="n">
        <f aca="false">M195+M196-M197-M198</f>
        <v>2986.25610801612</v>
      </c>
      <c r="N199" s="208" t="n">
        <f aca="false">N195+N196-N197-N198</f>
        <v>3314.7442798979</v>
      </c>
      <c r="O199" s="208" t="n">
        <f aca="false">O195+O196-O197-O198</f>
        <v>3679.36615068667</v>
      </c>
      <c r="P199" s="208" t="n">
        <f aca="false">IF($C$198=1,P195*(1-$C$196/$C$195),O199*(1+$C$196))</f>
        <v>3752.9534737004</v>
      </c>
    </row>
    <row r="200" customFormat="false" ht="15" hidden="false" customHeight="true" outlineLevel="0" collapsed="false">
      <c r="B200" s="90" t="s">
        <v>96</v>
      </c>
      <c r="C200" s="95" t="n">
        <f aca="false">SUM(F201:O201)</f>
        <v>16684.3795279921</v>
      </c>
      <c r="E200" s="90" t="s">
        <v>282</v>
      </c>
      <c r="F200" s="209" t="n">
        <f aca="false">DCF!O$71</f>
        <v>0.0347222222222222</v>
      </c>
      <c r="G200" s="209" t="n">
        <f aca="false">DCF!P$71</f>
        <v>0.569444444444444</v>
      </c>
      <c r="H200" s="209" t="n">
        <f aca="false">DCF!Q$71</f>
        <v>1.56944444444444</v>
      </c>
      <c r="I200" s="209" t="n">
        <f aca="false">DCF!R$71</f>
        <v>2.56944444444444</v>
      </c>
      <c r="J200" s="209" t="n">
        <f aca="false">DCF!S$71</f>
        <v>3.56944444444444</v>
      </c>
      <c r="K200" s="209" t="n">
        <f aca="false">DCF!T$71</f>
        <v>4.56944444444445</v>
      </c>
      <c r="L200" s="209" t="n">
        <f aca="false">DCF!U$71</f>
        <v>5.56944444444445</v>
      </c>
      <c r="M200" s="209" t="n">
        <f aca="false">DCF!V$71</f>
        <v>6.56944444444445</v>
      </c>
      <c r="N200" s="209" t="n">
        <f aca="false">DCF!W$71</f>
        <v>7.56944444444445</v>
      </c>
      <c r="O200" s="209" t="n">
        <f aca="false">DCF!X$71</f>
        <v>8.56944444444445</v>
      </c>
    </row>
    <row r="201" customFormat="false" ht="15" hidden="false" customHeight="true" outlineLevel="0" collapsed="false">
      <c r="B201" s="90" t="s">
        <v>94</v>
      </c>
      <c r="C201" s="95" t="n">
        <f aca="false">P199/($C$195-$C$196)</f>
        <v>60531.5076403291</v>
      </c>
      <c r="E201" s="90" t="s">
        <v>283</v>
      </c>
      <c r="F201" s="206" t="n">
        <f aca="false">F199/(1+$C$195)^F200</f>
        <v>1434.42469360514</v>
      </c>
      <c r="G201" s="206" t="n">
        <f aca="false">G199/(1+$C$195)^G200</f>
        <v>1526.50648923376</v>
      </c>
      <c r="H201" s="206" t="n">
        <f aca="false">H199/(1+$C$195)^H200</f>
        <v>1566.00942980543</v>
      </c>
      <c r="I201" s="206" t="n">
        <f aca="false">I199/(1+$C$195)^I200</f>
        <v>1606.53462761924</v>
      </c>
      <c r="J201" s="206" t="n">
        <f aca="false">J199/(1+$C$195)^J200</f>
        <v>1648.1085366519</v>
      </c>
      <c r="K201" s="206" t="n">
        <f aca="false">K199/(1+$C$195)^K200</f>
        <v>1690.75829545621</v>
      </c>
      <c r="L201" s="206" t="n">
        <f aca="false">L199/(1+$C$195)^L200</f>
        <v>1734.51174487651</v>
      </c>
      <c r="M201" s="206" t="n">
        <f aca="false">M199/(1+$C$195)^M200</f>
        <v>1779.39744622267</v>
      </c>
      <c r="N201" s="206" t="n">
        <f aca="false">N199/(1+$C$195)^N200</f>
        <v>1825.4446999142</v>
      </c>
      <c r="O201" s="206" t="n">
        <f aca="false">O199/(1+$C$195)^O200</f>
        <v>1872.68356460699</v>
      </c>
    </row>
    <row r="202" customFormat="false" ht="15" hidden="false" customHeight="true" outlineLevel="0" collapsed="false">
      <c r="B202" s="90" t="s">
        <v>95</v>
      </c>
      <c r="C202" s="95" t="n">
        <f aca="false">C201/(1+$C$195)^O200</f>
        <v>30808.6650951473</v>
      </c>
    </row>
    <row r="203" customFormat="false" ht="15" hidden="false" customHeight="true" outlineLevel="0" collapsed="false">
      <c r="B203" s="90" t="s">
        <v>97</v>
      </c>
      <c r="C203" s="95" t="n">
        <f aca="false">C200+C202</f>
        <v>47493.0446231393</v>
      </c>
    </row>
    <row r="204" customFormat="false" ht="15" hidden="false" customHeight="true" outlineLevel="0" collapsed="false">
      <c r="B204" s="90" t="s">
        <v>284</v>
      </c>
      <c r="C204" s="95" t="n">
        <f aca="false">C203+$C$9-$C$10</f>
        <v>48393.0446231393</v>
      </c>
    </row>
    <row r="205" customFormat="false" ht="15" hidden="false" customHeight="true" outlineLevel="0" collapsed="false">
      <c r="B205" s="202" t="s">
        <v>99</v>
      </c>
      <c r="C205" s="210" t="n">
        <f aca="false">C204/$C$11</f>
        <v>45.3628089830702</v>
      </c>
    </row>
    <row r="206" customFormat="false" ht="15" hidden="false" customHeight="true" outlineLevel="0" collapsed="false">
      <c r="B206" s="90" t="s">
        <v>93</v>
      </c>
      <c r="C206" s="96" t="n">
        <f aca="false">1-P199/P195</f>
        <v>0.442042042042042</v>
      </c>
    </row>
    <row r="207" customFormat="false" ht="15" hidden="false" customHeight="true" outlineLevel="0" collapsed="false">
      <c r="B207" s="90" t="s">
        <v>285</v>
      </c>
      <c r="C207" s="96" t="n">
        <f aca="false">C202/C203</f>
        <v>0.648698463945957</v>
      </c>
    </row>
    <row r="210" customFormat="false" ht="15" hidden="false" customHeight="true" outlineLevel="0" collapsed="false">
      <c r="B210" s="201" t="s">
        <v>296</v>
      </c>
    </row>
    <row r="211" customFormat="false" ht="15" hidden="false" customHeight="true" outlineLevel="0" collapsed="false">
      <c r="B211" s="85" t="s">
        <v>297</v>
      </c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</row>
    <row r="212" customFormat="false" ht="15" hidden="false" customHeight="true" outlineLevel="0" collapsed="false">
      <c r="B212" s="202" t="s">
        <v>272</v>
      </c>
      <c r="C212" s="202" t="s">
        <v>183</v>
      </c>
      <c r="E212" s="202" t="s">
        <v>273</v>
      </c>
      <c r="F212" s="203" t="str">
        <f aca="false">"FY"&amp;RIGHT(DCF!O$38,2)</f>
        <v>FY26</v>
      </c>
      <c r="G212" s="203" t="str">
        <f aca="false">"FY"&amp;RIGHT(DCF!P$38,2)</f>
        <v>FY27</v>
      </c>
      <c r="H212" s="203" t="str">
        <f aca="false">"FY"&amp;RIGHT(DCF!Q$38,2)</f>
        <v>FY28</v>
      </c>
      <c r="I212" s="203" t="str">
        <f aca="false">"FY"&amp;RIGHT(DCF!R$38,2)</f>
        <v>FY29</v>
      </c>
      <c r="J212" s="203" t="str">
        <f aca="false">"FY"&amp;RIGHT(DCF!S$38,2)</f>
        <v>FY30</v>
      </c>
      <c r="K212" s="203" t="str">
        <f aca="false">"FY"&amp;RIGHT(DCF!T$38,2)</f>
        <v>FY31</v>
      </c>
      <c r="L212" s="203" t="str">
        <f aca="false">"FY"&amp;RIGHT(DCF!U$38,2)</f>
        <v>FY32</v>
      </c>
      <c r="M212" s="203" t="str">
        <f aca="false">"FY"&amp;RIGHT(DCF!V$38,2)</f>
        <v>FY33</v>
      </c>
      <c r="N212" s="203" t="str">
        <f aca="false">"FY"&amp;RIGHT(DCF!W$38,2)</f>
        <v>FY34</v>
      </c>
      <c r="O212" s="203" t="str">
        <f aca="false">"FY"&amp;RIGHT(DCF!X$38,2)</f>
        <v>FY35</v>
      </c>
      <c r="P212" s="203" t="s">
        <v>40</v>
      </c>
    </row>
    <row r="213" customFormat="false" ht="15" hidden="false" customHeight="true" outlineLevel="0" collapsed="false">
      <c r="B213" s="204" t="s">
        <v>274</v>
      </c>
      <c r="C213" s="94" t="n">
        <f aca="false">DCF!$L$11</f>
        <v>0.0909</v>
      </c>
      <c r="E213" s="90" t="s">
        <v>275</v>
      </c>
      <c r="F213" s="205" t="n">
        <f aca="false">$C$213</f>
        <v>0.0909</v>
      </c>
      <c r="G213" s="205" t="n">
        <f aca="false">IF($C$217=1,F213-($C$213-$C$216)/$C$12,$C$213)</f>
        <v>0.0813555555555556</v>
      </c>
      <c r="H213" s="205" t="n">
        <f aca="false">IF($C$217=1,G213-($C$213-$C$216)/$C$12,$C$213)</f>
        <v>0.0718111111111111</v>
      </c>
      <c r="I213" s="205" t="n">
        <f aca="false">IF($C$217=1,H213-($C$213-$C$216)/$C$12,$C$213)</f>
        <v>0.0622666666666667</v>
      </c>
      <c r="J213" s="205" t="n">
        <f aca="false">IF($C$217=1,I213-($C$213-$C$216)/$C$12,$C$213)</f>
        <v>0.0527222222222222</v>
      </c>
      <c r="K213" s="205" t="n">
        <f aca="false">IF($C$217=1,J213-($C$213-$C$216)/$C$12,$C$213)</f>
        <v>0.0431777777777778</v>
      </c>
      <c r="L213" s="205" t="n">
        <f aca="false">IF($C$217=1,K213-($C$213-$C$216)/$C$12,$C$213)</f>
        <v>0.0336333333333333</v>
      </c>
      <c r="M213" s="205" t="n">
        <f aca="false">IF($C$217=1,L213-($C$213-$C$216)/$C$12,$C$213)</f>
        <v>0.0240888888888889</v>
      </c>
      <c r="N213" s="205" t="n">
        <f aca="false">IF($C$217=1,M213-($C$213-$C$216)/$C$12,$C$213)</f>
        <v>0.0145444444444444</v>
      </c>
      <c r="O213" s="205" t="n">
        <f aca="false">IF($C$217=1,N213-($C$213-$C$216)/$C$12,$C$213)</f>
        <v>0.005</v>
      </c>
    </row>
    <row r="214" customFormat="false" ht="15" hidden="false" customHeight="true" outlineLevel="0" collapsed="false">
      <c r="B214" s="204" t="s">
        <v>276</v>
      </c>
      <c r="C214" s="94" t="n">
        <f aca="false">DCF!$L$13</f>
        <v>0.1722</v>
      </c>
      <c r="E214" s="90" t="s">
        <v>16</v>
      </c>
      <c r="F214" s="206" t="n">
        <f aca="false">$C$8*(1+F213)</f>
        <v>15216.41865</v>
      </c>
      <c r="G214" s="206" t="n">
        <f aca="false">F214*(1+G213)</f>
        <v>16454.3588428367</v>
      </c>
      <c r="H214" s="206" t="n">
        <f aca="false">G214*(1+H213)</f>
        <v>17635.9646339617</v>
      </c>
      <c r="I214" s="206" t="n">
        <f aca="false">H214*(1+I213)</f>
        <v>18734.0973651697</v>
      </c>
      <c r="J214" s="206" t="n">
        <f aca="false">I214*(1+J213)</f>
        <v>19721.8006095889</v>
      </c>
      <c r="K214" s="206" t="n">
        <f aca="false">J214*(1+K213)</f>
        <v>20573.3441336874</v>
      </c>
      <c r="L214" s="206" t="n">
        <f aca="false">K214*(1+L213)</f>
        <v>21265.2942747171</v>
      </c>
      <c r="M214" s="206" t="n">
        <f aca="false">L214*(1+M213)</f>
        <v>21777.5515856903</v>
      </c>
      <c r="N214" s="206" t="n">
        <f aca="false">M214*(1+N213)</f>
        <v>22094.2939748644</v>
      </c>
      <c r="O214" s="206" t="n">
        <f aca="false">N214*(1+O213)</f>
        <v>22204.7654447387</v>
      </c>
    </row>
    <row r="215" customFormat="false" ht="15" hidden="false" customHeight="true" outlineLevel="0" collapsed="false">
      <c r="B215" s="204" t="s">
        <v>21</v>
      </c>
      <c r="C215" s="92" t="n">
        <f aca="false">DCF!$L$16</f>
        <v>0.0858338239797238</v>
      </c>
      <c r="E215" s="90" t="s">
        <v>277</v>
      </c>
      <c r="F215" s="206" t="n">
        <f aca="false">F214*$C$214*(1-$C$4)</f>
        <v>2358.240562377</v>
      </c>
      <c r="G215" s="206" t="n">
        <f aca="false">G214*$C$214*(1-$C$4)</f>
        <v>2550.09653346283</v>
      </c>
      <c r="H215" s="206" t="n">
        <f aca="false">H214*$C$214*(1-$C$4)</f>
        <v>2733.22179897138</v>
      </c>
      <c r="I215" s="206" t="n">
        <f aca="false">I214*$C$214*(1-$C$4)</f>
        <v>2903.410409654</v>
      </c>
      <c r="J215" s="206" t="n">
        <f aca="false">J214*$C$214*(1-$C$4)</f>
        <v>3056.48465847409</v>
      </c>
      <c r="K215" s="206" t="n">
        <f aca="false">K214*$C$214*(1-$C$4)</f>
        <v>3188.45687383888</v>
      </c>
      <c r="L215" s="206" t="n">
        <f aca="false">L214*$C$214*(1-$C$4)</f>
        <v>3295.69530669566</v>
      </c>
      <c r="M215" s="206" t="n">
        <f aca="false">M214*$C$214*(1-$C$4)</f>
        <v>3375.08494475028</v>
      </c>
      <c r="N215" s="206" t="n">
        <f aca="false">N214*$C$214*(1-$C$4)</f>
        <v>3424.17368022448</v>
      </c>
      <c r="O215" s="206" t="n">
        <f aca="false">O214*$C$214*(1-$C$4)</f>
        <v>3441.2945486256</v>
      </c>
      <c r="P215" s="206" t="n">
        <f aca="false">O215*(1+$C$216)</f>
        <v>3458.50102136873</v>
      </c>
    </row>
    <row r="216" customFormat="false" ht="15" hidden="false" customHeight="true" outlineLevel="0" collapsed="false">
      <c r="B216" s="204" t="s">
        <v>278</v>
      </c>
      <c r="C216" s="94" t="n">
        <f aca="false">DCF!$D$92</f>
        <v>0.005</v>
      </c>
      <c r="E216" s="90" t="s">
        <v>35</v>
      </c>
      <c r="F216" s="206" t="n">
        <f aca="false">F214*$C$5</f>
        <v>1224.921701325</v>
      </c>
      <c r="G216" s="206" t="n">
        <f aca="false">G214*$C$5</f>
        <v>1324.57588684835</v>
      </c>
      <c r="H216" s="206" t="n">
        <f aca="false">H214*$C$5</f>
        <v>1419.69515303392</v>
      </c>
      <c r="I216" s="206" t="n">
        <f aca="false">I214*$C$5</f>
        <v>1508.09483789616</v>
      </c>
      <c r="J216" s="206" t="n">
        <f aca="false">J214*$C$5</f>
        <v>1587.60494907191</v>
      </c>
      <c r="K216" s="206" t="n">
        <f aca="false">K214*$C$5</f>
        <v>1656.15420276184</v>
      </c>
      <c r="L216" s="206" t="n">
        <f aca="false">L214*$C$5</f>
        <v>1711.85618911473</v>
      </c>
      <c r="M216" s="206" t="n">
        <f aca="false">M214*$C$5</f>
        <v>1753.09290264807</v>
      </c>
      <c r="N216" s="206" t="n">
        <f aca="false">N214*$C$5</f>
        <v>1778.59066497658</v>
      </c>
      <c r="O216" s="206" t="n">
        <f aca="false">O214*$C$5</f>
        <v>1787.48361830147</v>
      </c>
    </row>
    <row r="217" customFormat="false" ht="15" hidden="false" customHeight="true" outlineLevel="0" collapsed="false">
      <c r="B217" s="204" t="s">
        <v>279</v>
      </c>
      <c r="C217" s="207" t="n">
        <v>1</v>
      </c>
      <c r="E217" s="90" t="s">
        <v>36</v>
      </c>
      <c r="F217" s="206" t="n">
        <f aca="false">F214*$C$6</f>
        <v>2781.56132922</v>
      </c>
      <c r="G217" s="206" t="n">
        <f aca="false">G214*$C$6</f>
        <v>3007.85679647054</v>
      </c>
      <c r="H217" s="206" t="n">
        <f aca="false">H214*$C$6</f>
        <v>3223.8543350882</v>
      </c>
      <c r="I217" s="206" t="n">
        <f aca="false">I214*$C$6</f>
        <v>3424.59299835302</v>
      </c>
      <c r="J217" s="206" t="n">
        <f aca="false">J214*$C$6</f>
        <v>3605.14515143286</v>
      </c>
      <c r="K217" s="206" t="n">
        <f aca="false">K214*$C$6</f>
        <v>3760.80730763806</v>
      </c>
      <c r="L217" s="206" t="n">
        <f aca="false">L214*$C$6</f>
        <v>3887.29579341829</v>
      </c>
      <c r="M217" s="206" t="n">
        <f aca="false">M214*$C$6</f>
        <v>3980.93642986419</v>
      </c>
      <c r="N217" s="206" t="n">
        <f aca="false">N214*$C$6</f>
        <v>4038.83693860521</v>
      </c>
      <c r="O217" s="206" t="n">
        <f aca="false">O214*$C$6</f>
        <v>4059.03112329824</v>
      </c>
    </row>
    <row r="218" customFormat="false" ht="21.75" hidden="false" customHeight="true" outlineLevel="0" collapsed="false">
      <c r="B218" s="204" t="s">
        <v>280</v>
      </c>
      <c r="C218" s="207" t="n">
        <v>1</v>
      </c>
      <c r="E218" s="90" t="s">
        <v>281</v>
      </c>
      <c r="F218" s="206" t="n">
        <f aca="false">F214*$C$7</f>
        <v>-436.711215255</v>
      </c>
      <c r="G218" s="206" t="n">
        <f aca="false">G214*$C$7</f>
        <v>-472.240098789412</v>
      </c>
      <c r="H218" s="206" t="n">
        <f aca="false">H214*$C$7</f>
        <v>-506.152184994701</v>
      </c>
      <c r="I218" s="206" t="n">
        <f aca="false">I214*$C$7</f>
        <v>-537.668594380371</v>
      </c>
      <c r="J218" s="206" t="n">
        <f aca="false">J214*$C$7</f>
        <v>-566.015677495203</v>
      </c>
      <c r="K218" s="206" t="n">
        <f aca="false">K214*$C$7</f>
        <v>-590.454976636829</v>
      </c>
      <c r="L218" s="206" t="n">
        <f aca="false">L214*$C$7</f>
        <v>-610.313945684381</v>
      </c>
      <c r="M218" s="206" t="n">
        <f aca="false">M214*$C$7</f>
        <v>-625.015730509311</v>
      </c>
      <c r="N218" s="206" t="n">
        <f aca="false">N214*$C$7</f>
        <v>-634.106237078608</v>
      </c>
      <c r="O218" s="206" t="n">
        <f aca="false">O214*$C$7</f>
        <v>-637.276768264001</v>
      </c>
    </row>
    <row r="219" customFormat="false" ht="15" hidden="false" customHeight="true" outlineLevel="0" collapsed="false">
      <c r="E219" s="89" t="s">
        <v>46</v>
      </c>
      <c r="F219" s="208" t="n">
        <f aca="false">F215+F216-F217-F218</f>
        <v>1238.312149737</v>
      </c>
      <c r="G219" s="208" t="n">
        <f aca="false">G215+G216-G217-G218</f>
        <v>1339.05572263005</v>
      </c>
      <c r="H219" s="208" t="n">
        <f aca="false">H215+H216-H217-H218</f>
        <v>1435.2148019118</v>
      </c>
      <c r="I219" s="208" t="n">
        <f aca="false">I215+I216-I217-I218</f>
        <v>1524.58084357751</v>
      </c>
      <c r="J219" s="208" t="n">
        <f aca="false">J215+J216-J217-J218</f>
        <v>1604.96013360835</v>
      </c>
      <c r="K219" s="208" t="n">
        <f aca="false">K215+K216-K217-K218</f>
        <v>1674.25874559948</v>
      </c>
      <c r="L219" s="208" t="n">
        <f aca="false">L215+L216-L217-L218</f>
        <v>1730.56964807648</v>
      </c>
      <c r="M219" s="208" t="n">
        <f aca="false">M215+M216-M217-M218</f>
        <v>1772.25714804348</v>
      </c>
      <c r="N219" s="208" t="n">
        <f aca="false">N215+N216-N217-N218</f>
        <v>1798.03364367446</v>
      </c>
      <c r="O219" s="208" t="n">
        <f aca="false">O215+O216-O217-O218</f>
        <v>1807.02381189284</v>
      </c>
      <c r="P219" s="208" t="n">
        <f aca="false">IF($C$218=1,P215*(1-$C$216/$C$215),O219*(1+$C$216))</f>
        <v>3257.03609408169</v>
      </c>
    </row>
    <row r="220" customFormat="false" ht="15" hidden="false" customHeight="true" outlineLevel="0" collapsed="false">
      <c r="B220" s="90" t="s">
        <v>96</v>
      </c>
      <c r="C220" s="95" t="n">
        <f aca="false">SUM(F221:O221)</f>
        <v>11335.0044550177</v>
      </c>
      <c r="E220" s="90" t="s">
        <v>282</v>
      </c>
      <c r="F220" s="209" t="n">
        <f aca="false">DCF!O$71</f>
        <v>0.0347222222222222</v>
      </c>
      <c r="G220" s="209" t="n">
        <f aca="false">DCF!P$71</f>
        <v>0.569444444444444</v>
      </c>
      <c r="H220" s="209" t="n">
        <f aca="false">DCF!Q$71</f>
        <v>1.56944444444444</v>
      </c>
      <c r="I220" s="209" t="n">
        <f aca="false">DCF!R$71</f>
        <v>2.56944444444444</v>
      </c>
      <c r="J220" s="209" t="n">
        <f aca="false">DCF!S$71</f>
        <v>3.56944444444444</v>
      </c>
      <c r="K220" s="209" t="n">
        <f aca="false">DCF!T$71</f>
        <v>4.56944444444445</v>
      </c>
      <c r="L220" s="209" t="n">
        <f aca="false">DCF!U$71</f>
        <v>5.56944444444445</v>
      </c>
      <c r="M220" s="209" t="n">
        <f aca="false">DCF!V$71</f>
        <v>6.56944444444445</v>
      </c>
      <c r="N220" s="209" t="n">
        <f aca="false">DCF!W$71</f>
        <v>7.56944444444445</v>
      </c>
      <c r="O220" s="209" t="n">
        <f aca="false">DCF!X$71</f>
        <v>8.56944444444445</v>
      </c>
    </row>
    <row r="221" customFormat="false" ht="15" hidden="false" customHeight="true" outlineLevel="0" collapsed="false">
      <c r="B221" s="90" t="s">
        <v>94</v>
      </c>
      <c r="C221" s="95" t="n">
        <f aca="false">P219/($C$215-$C$216)</f>
        <v>40292.985457408</v>
      </c>
      <c r="E221" s="90" t="s">
        <v>283</v>
      </c>
      <c r="F221" s="206" t="n">
        <f aca="false">F219/(1+$C$215)^F220</f>
        <v>1234.77648581277</v>
      </c>
      <c r="G221" s="206" t="n">
        <f aca="false">G219/(1+$C$215)^G220</f>
        <v>1277.71325390986</v>
      </c>
      <c r="H221" s="206" t="n">
        <f aca="false">H219/(1+$C$215)^H220</f>
        <v>1261.21256504539</v>
      </c>
      <c r="I221" s="206" t="n">
        <f aca="false">I219/(1+$C$215)^I220</f>
        <v>1233.83895200331</v>
      </c>
      <c r="J221" s="206" t="n">
        <f aca="false">J219/(1+$C$215)^J220</f>
        <v>1196.21405663775</v>
      </c>
      <c r="K221" s="206" t="n">
        <f aca="false">K219/(1+$C$215)^K220</f>
        <v>1149.22181810134</v>
      </c>
      <c r="L221" s="206" t="n">
        <f aca="false">L219/(1+$C$215)^L220</f>
        <v>1093.97400628925</v>
      </c>
      <c r="M221" s="206" t="n">
        <f aca="false">M219/(1+$C$215)^M220</f>
        <v>1031.7661872679</v>
      </c>
      <c r="N221" s="206" t="n">
        <f aca="false">N219/(1+$C$215)^N220</f>
        <v>964.026566626666</v>
      </c>
      <c r="O221" s="206" t="n">
        <f aca="false">O219/(1+$C$215)^O220</f>
        <v>892.260563323446</v>
      </c>
    </row>
    <row r="222" customFormat="false" ht="15" hidden="false" customHeight="true" outlineLevel="0" collapsed="false">
      <c r="B222" s="90" t="s">
        <v>95</v>
      </c>
      <c r="C222" s="95" t="n">
        <f aca="false">C221/(1+$C$215)^O220</f>
        <v>19895.6104870313</v>
      </c>
    </row>
    <row r="223" customFormat="false" ht="15" hidden="false" customHeight="true" outlineLevel="0" collapsed="false">
      <c r="B223" s="90" t="s">
        <v>97</v>
      </c>
      <c r="C223" s="95" t="n">
        <f aca="false">C220+C222</f>
        <v>31230.6149420489</v>
      </c>
    </row>
    <row r="224" customFormat="false" ht="15" hidden="false" customHeight="true" outlineLevel="0" collapsed="false">
      <c r="B224" s="90" t="s">
        <v>284</v>
      </c>
      <c r="C224" s="95" t="n">
        <f aca="false">C223+$C$9-$C$10</f>
        <v>32130.6149420489</v>
      </c>
    </row>
    <row r="225" customFormat="false" ht="15" hidden="false" customHeight="true" outlineLevel="0" collapsed="false">
      <c r="B225" s="202" t="s">
        <v>99</v>
      </c>
      <c r="C225" s="210" t="n">
        <f aca="false">C224/$C$11</f>
        <v>30.1186866723368</v>
      </c>
    </row>
    <row r="226" customFormat="false" ht="15" hidden="false" customHeight="true" outlineLevel="0" collapsed="false">
      <c r="B226" s="90" t="s">
        <v>93</v>
      </c>
      <c r="C226" s="96" t="n">
        <f aca="false">1-P219/P215</f>
        <v>0.0582520941998476</v>
      </c>
    </row>
    <row r="227" customFormat="false" ht="15" hidden="false" customHeight="true" outlineLevel="0" collapsed="false">
      <c r="B227" s="90" t="s">
        <v>285</v>
      </c>
      <c r="C227" s="96" t="n">
        <f aca="false">C222/C223</f>
        <v>0.637054714546904</v>
      </c>
    </row>
    <row r="230" customFormat="false" ht="15" hidden="false" customHeight="true" outlineLevel="0" collapsed="false">
      <c r="B230" s="85" t="s">
        <v>298</v>
      </c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</row>
    <row r="231" customFormat="false" ht="15" hidden="false" customHeight="true" outlineLevel="0" collapsed="false">
      <c r="B231" s="202" t="s">
        <v>272</v>
      </c>
      <c r="C231" s="202" t="s">
        <v>183</v>
      </c>
      <c r="E231" s="202" t="s">
        <v>273</v>
      </c>
      <c r="F231" s="203" t="str">
        <f aca="false">"FY"&amp;RIGHT(DCF!O$38,2)</f>
        <v>FY26</v>
      </c>
      <c r="G231" s="203" t="str">
        <f aca="false">"FY"&amp;RIGHT(DCF!P$38,2)</f>
        <v>FY27</v>
      </c>
      <c r="H231" s="203" t="str">
        <f aca="false">"FY"&amp;RIGHT(DCF!Q$38,2)</f>
        <v>FY28</v>
      </c>
      <c r="I231" s="203" t="str">
        <f aca="false">"FY"&amp;RIGHT(DCF!R$38,2)</f>
        <v>FY29</v>
      </c>
      <c r="J231" s="203" t="str">
        <f aca="false">"FY"&amp;RIGHT(DCF!S$38,2)</f>
        <v>FY30</v>
      </c>
      <c r="K231" s="203" t="str">
        <f aca="false">"FY"&amp;RIGHT(DCF!T$38,2)</f>
        <v>FY31</v>
      </c>
      <c r="L231" s="203" t="str">
        <f aca="false">"FY"&amp;RIGHT(DCF!U$38,2)</f>
        <v>FY32</v>
      </c>
      <c r="M231" s="203" t="str">
        <f aca="false">"FY"&amp;RIGHT(DCF!V$38,2)</f>
        <v>FY33</v>
      </c>
      <c r="N231" s="203" t="str">
        <f aca="false">"FY"&amp;RIGHT(DCF!W$38,2)</f>
        <v>FY34</v>
      </c>
      <c r="O231" s="203" t="str">
        <f aca="false">"FY"&amp;RIGHT(DCF!X$38,2)</f>
        <v>FY35</v>
      </c>
      <c r="P231" s="203" t="s">
        <v>40</v>
      </c>
    </row>
    <row r="232" customFormat="false" ht="15" hidden="false" customHeight="true" outlineLevel="0" collapsed="false">
      <c r="B232" s="204" t="s">
        <v>274</v>
      </c>
      <c r="C232" s="94" t="n">
        <f aca="false">DCF!$L$11</f>
        <v>0.0909</v>
      </c>
      <c r="E232" s="90" t="s">
        <v>275</v>
      </c>
      <c r="F232" s="205" t="n">
        <f aca="false">$C$232</f>
        <v>0.0909</v>
      </c>
      <c r="G232" s="205" t="n">
        <f aca="false">IF($C$236=1,F232-($C$232-$C$235)/$C$12,$C$232)</f>
        <v>0.0819111111111111</v>
      </c>
      <c r="H232" s="205" t="n">
        <f aca="false">IF($C$236=1,G232-($C$232-$C$235)/$C$12,$C$232)</f>
        <v>0.0729222222222222</v>
      </c>
      <c r="I232" s="205" t="n">
        <f aca="false">IF($C$236=1,H232-($C$232-$C$235)/$C$12,$C$232)</f>
        <v>0.0639333333333333</v>
      </c>
      <c r="J232" s="205" t="n">
        <f aca="false">IF($C$236=1,I232-($C$232-$C$235)/$C$12,$C$232)</f>
        <v>0.0549444444444444</v>
      </c>
      <c r="K232" s="205" t="n">
        <f aca="false">IF($C$236=1,J232-($C$232-$C$235)/$C$12,$C$232)</f>
        <v>0.0459555555555555</v>
      </c>
      <c r="L232" s="205" t="n">
        <f aca="false">IF($C$236=1,K232-($C$232-$C$235)/$C$12,$C$232)</f>
        <v>0.0369666666666667</v>
      </c>
      <c r="M232" s="205" t="n">
        <f aca="false">IF($C$236=1,L232-($C$232-$C$235)/$C$12,$C$232)</f>
        <v>0.0279777777777778</v>
      </c>
      <c r="N232" s="205" t="n">
        <f aca="false">IF($C$236=1,M232-($C$232-$C$235)/$C$12,$C$232)</f>
        <v>0.0189888888888889</v>
      </c>
      <c r="O232" s="205" t="n">
        <f aca="false">IF($C$236=1,N232-($C$232-$C$235)/$C$12,$C$232)</f>
        <v>0.00999999999999999</v>
      </c>
    </row>
    <row r="233" customFormat="false" ht="15" hidden="false" customHeight="true" outlineLevel="0" collapsed="false">
      <c r="B233" s="204" t="s">
        <v>276</v>
      </c>
      <c r="C233" s="94" t="n">
        <f aca="false">DCF!$L$13</f>
        <v>0.1722</v>
      </c>
      <c r="E233" s="90" t="s">
        <v>16</v>
      </c>
      <c r="F233" s="206" t="n">
        <f aca="false">$C$8*(1+F232)</f>
        <v>15216.41865</v>
      </c>
      <c r="G233" s="206" t="n">
        <f aca="false">F233*(1+G232)</f>
        <v>16462.8124087533</v>
      </c>
      <c r="H233" s="206" t="n">
        <f aca="false">G233*(1+H232)</f>
        <v>17663.3172736272</v>
      </c>
      <c r="I233" s="206" t="n">
        <f aca="false">H233*(1+I232)</f>
        <v>18792.5920246544</v>
      </c>
      <c r="J233" s="206" t="n">
        <f aca="false">I233*(1+J232)</f>
        <v>19825.1405531202</v>
      </c>
      <c r="K233" s="206" t="n">
        <f aca="false">J233*(1+K232)</f>
        <v>20736.2159012058</v>
      </c>
      <c r="L233" s="206" t="n">
        <f aca="false">K233*(1+L232)</f>
        <v>21502.7646823537</v>
      </c>
      <c r="M233" s="206" t="n">
        <f aca="false">L233*(1+M232)</f>
        <v>22104.3642542444</v>
      </c>
      <c r="N233" s="206" t="n">
        <f aca="false">M233*(1+N232)</f>
        <v>22524.1015710278</v>
      </c>
      <c r="O233" s="206" t="n">
        <f aca="false">N233*(1+O232)</f>
        <v>22749.3425867381</v>
      </c>
    </row>
    <row r="234" customFormat="false" ht="15" hidden="false" customHeight="true" outlineLevel="0" collapsed="false">
      <c r="B234" s="204" t="s">
        <v>21</v>
      </c>
      <c r="C234" s="92" t="n">
        <f aca="false">DCF!$L$16</f>
        <v>0.0858338239797238</v>
      </c>
      <c r="E234" s="90" t="s">
        <v>277</v>
      </c>
      <c r="F234" s="206" t="n">
        <f aca="false">F233*$C$233*(1-$C$4)</f>
        <v>2358.240562377</v>
      </c>
      <c r="G234" s="206" t="n">
        <f aca="false">G233*$C$233*(1-$C$4)</f>
        <v>2551.40666710859</v>
      </c>
      <c r="H234" s="206" t="n">
        <f aca="false">H233*$C$233*(1-$C$4)</f>
        <v>2737.46091106674</v>
      </c>
      <c r="I234" s="206" t="n">
        <f aca="false">I233*$C$233*(1-$C$4)</f>
        <v>2912.47591198094</v>
      </c>
      <c r="J234" s="206" t="n">
        <f aca="false">J233*$C$233*(1-$C$4)</f>
        <v>3072.50028292256</v>
      </c>
      <c r="K234" s="206" t="n">
        <f aca="false">K233*$C$233*(1-$C$4)</f>
        <v>3213.69874036887</v>
      </c>
      <c r="L234" s="206" t="n">
        <f aca="false">L233*$C$233*(1-$C$4)</f>
        <v>3332.49847047117</v>
      </c>
      <c r="M234" s="206" t="n">
        <f aca="false">M233*$C$233*(1-$C$4)</f>
        <v>3425.7343721228</v>
      </c>
      <c r="N234" s="206" t="n">
        <f aca="false">N233*$C$233*(1-$C$4)</f>
        <v>3490.78526147789</v>
      </c>
      <c r="O234" s="206" t="n">
        <f aca="false">O233*$C$233*(1-$C$4)</f>
        <v>3525.69311409267</v>
      </c>
      <c r="P234" s="206" t="n">
        <f aca="false">O234*(1+$C$235)</f>
        <v>3560.95004523359</v>
      </c>
    </row>
    <row r="235" customFormat="false" ht="15" hidden="false" customHeight="true" outlineLevel="0" collapsed="false">
      <c r="B235" s="204" t="s">
        <v>278</v>
      </c>
      <c r="C235" s="94" t="n">
        <f aca="false">DCF!$F$92</f>
        <v>0.01</v>
      </c>
      <c r="E235" s="90" t="s">
        <v>35</v>
      </c>
      <c r="F235" s="206" t="n">
        <f aca="false">F233*$C$5</f>
        <v>1224.921701325</v>
      </c>
      <c r="G235" s="206" t="n">
        <f aca="false">G233*$C$5</f>
        <v>1325.25639890464</v>
      </c>
      <c r="H235" s="206" t="n">
        <f aca="false">H233*$C$5</f>
        <v>1421.89704052699</v>
      </c>
      <c r="I235" s="206" t="n">
        <f aca="false">I233*$C$5</f>
        <v>1512.80365798468</v>
      </c>
      <c r="J235" s="206" t="n">
        <f aca="false">J233*$C$5</f>
        <v>1595.92381452617</v>
      </c>
      <c r="K235" s="206" t="n">
        <f aca="false">K233*$C$5</f>
        <v>1669.26538004707</v>
      </c>
      <c r="L235" s="206" t="n">
        <f aca="false">L233*$C$5</f>
        <v>1730.97255692947</v>
      </c>
      <c r="M235" s="206" t="n">
        <f aca="false">M233*$C$5</f>
        <v>1779.40132246668</v>
      </c>
      <c r="N235" s="206" t="n">
        <f aca="false">N233*$C$5</f>
        <v>1813.19017646774</v>
      </c>
      <c r="O235" s="206" t="n">
        <f aca="false">O233*$C$5</f>
        <v>1831.32207823242</v>
      </c>
    </row>
    <row r="236" customFormat="false" ht="15" hidden="false" customHeight="true" outlineLevel="0" collapsed="false">
      <c r="B236" s="204" t="s">
        <v>279</v>
      </c>
      <c r="C236" s="207" t="n">
        <v>1</v>
      </c>
      <c r="E236" s="90" t="s">
        <v>36</v>
      </c>
      <c r="F236" s="206" t="n">
        <f aca="false">F233*$C$6</f>
        <v>2781.56132922</v>
      </c>
      <c r="G236" s="206" t="n">
        <f aca="false">G233*$C$6</f>
        <v>3009.40210832011</v>
      </c>
      <c r="H236" s="206" t="n">
        <f aca="false">H233*$C$6</f>
        <v>3228.85439761905</v>
      </c>
      <c r="I236" s="206" t="n">
        <f aca="false">I233*$C$6</f>
        <v>3435.28582210683</v>
      </c>
      <c r="J236" s="206" t="n">
        <f aca="false">J233*$C$6</f>
        <v>3624.03569311037</v>
      </c>
      <c r="K236" s="206" t="n">
        <f aca="false">K233*$C$6</f>
        <v>3790.58026674042</v>
      </c>
      <c r="L236" s="206" t="n">
        <f aca="false">L233*$C$6</f>
        <v>3930.70538393425</v>
      </c>
      <c r="M236" s="206" t="n">
        <f aca="false">M233*$C$6</f>
        <v>4040.67778567588</v>
      </c>
      <c r="N236" s="206" t="n">
        <f aca="false">N233*$C$6</f>
        <v>4117.40576718388</v>
      </c>
      <c r="O236" s="206" t="n">
        <f aca="false">O233*$C$6</f>
        <v>4158.57982485572</v>
      </c>
    </row>
    <row r="237" customFormat="false" ht="21.75" hidden="false" customHeight="true" outlineLevel="0" collapsed="false">
      <c r="B237" s="204" t="s">
        <v>280</v>
      </c>
      <c r="C237" s="207" t="n">
        <v>1</v>
      </c>
      <c r="E237" s="90" t="s">
        <v>281</v>
      </c>
      <c r="F237" s="206" t="n">
        <f aca="false">F233*$C$7</f>
        <v>-436.711215255</v>
      </c>
      <c r="G237" s="206" t="n">
        <f aca="false">G233*$C$7</f>
        <v>-472.482716131221</v>
      </c>
      <c r="H237" s="206" t="n">
        <f aca="false">H233*$C$7</f>
        <v>-506.937205753101</v>
      </c>
      <c r="I237" s="206" t="n">
        <f aca="false">I233*$C$7</f>
        <v>-539.347391107582</v>
      </c>
      <c r="J237" s="206" t="n">
        <f aca="false">J233*$C$7</f>
        <v>-568.981533874549</v>
      </c>
      <c r="K237" s="206" t="n">
        <f aca="false">K233*$C$7</f>
        <v>-595.129396364606</v>
      </c>
      <c r="L237" s="206" t="n">
        <f aca="false">L233*$C$7</f>
        <v>-617.129346383551</v>
      </c>
      <c r="M237" s="206" t="n">
        <f aca="false">M233*$C$7</f>
        <v>-634.395254096815</v>
      </c>
      <c r="N237" s="206" t="n">
        <f aca="false">N233*$C$7</f>
        <v>-646.441715088498</v>
      </c>
      <c r="O237" s="206" t="n">
        <f aca="false">O233*$C$7</f>
        <v>-652.906132239383</v>
      </c>
    </row>
    <row r="238" customFormat="false" ht="15" hidden="false" customHeight="true" outlineLevel="0" collapsed="false">
      <c r="E238" s="89" t="s">
        <v>46</v>
      </c>
      <c r="F238" s="208" t="n">
        <f aca="false">F234+F235-F236-F237</f>
        <v>1238.312149737</v>
      </c>
      <c r="G238" s="208" t="n">
        <f aca="false">G234+G235-G236-G237</f>
        <v>1339.74367382435</v>
      </c>
      <c r="H238" s="208" t="n">
        <f aca="false">H234+H235-H236-H237</f>
        <v>1437.44075972778</v>
      </c>
      <c r="I238" s="208" t="n">
        <f aca="false">I234+I235-I236-I237</f>
        <v>1529.34113896638</v>
      </c>
      <c r="J238" s="208" t="n">
        <f aca="false">J234+J235-J236-J237</f>
        <v>1613.36993821292</v>
      </c>
      <c r="K238" s="208" t="n">
        <f aca="false">K234+K235-K236-K237</f>
        <v>1687.51325004013</v>
      </c>
      <c r="L238" s="208" t="n">
        <f aca="false">L234+L235-L236-L237</f>
        <v>1749.89498984994</v>
      </c>
      <c r="M238" s="208" t="n">
        <f aca="false">M234+M235-M236-M237</f>
        <v>1798.85316301041</v>
      </c>
      <c r="N238" s="208" t="n">
        <f aca="false">N234+N235-N236-N237</f>
        <v>1833.01138585024</v>
      </c>
      <c r="O238" s="208" t="n">
        <f aca="false">O234+O235-O236-O237</f>
        <v>1851.34149970875</v>
      </c>
      <c r="P238" s="208" t="n">
        <f aca="false">IF($C$237=1,P234*(1-$C$235/$C$234),O238*(1+$C$235))</f>
        <v>3146.0844502818</v>
      </c>
    </row>
    <row r="239" customFormat="false" ht="15" hidden="false" customHeight="true" outlineLevel="0" collapsed="false">
      <c r="B239" s="90" t="s">
        <v>96</v>
      </c>
      <c r="C239" s="95" t="n">
        <f aca="false">SUM(F240:O240)</f>
        <v>11425.1719230026</v>
      </c>
      <c r="E239" s="90" t="s">
        <v>282</v>
      </c>
      <c r="F239" s="209" t="n">
        <f aca="false">DCF!O$71</f>
        <v>0.0347222222222222</v>
      </c>
      <c r="G239" s="209" t="n">
        <f aca="false">DCF!P$71</f>
        <v>0.569444444444444</v>
      </c>
      <c r="H239" s="209" t="n">
        <f aca="false">DCF!Q$71</f>
        <v>1.56944444444444</v>
      </c>
      <c r="I239" s="209" t="n">
        <f aca="false">DCF!R$71</f>
        <v>2.56944444444444</v>
      </c>
      <c r="J239" s="209" t="n">
        <f aca="false">DCF!S$71</f>
        <v>3.56944444444444</v>
      </c>
      <c r="K239" s="209" t="n">
        <f aca="false">DCF!T$71</f>
        <v>4.56944444444445</v>
      </c>
      <c r="L239" s="209" t="n">
        <f aca="false">DCF!U$71</f>
        <v>5.56944444444445</v>
      </c>
      <c r="M239" s="209" t="n">
        <f aca="false">DCF!V$71</f>
        <v>6.56944444444445</v>
      </c>
      <c r="N239" s="209" t="n">
        <f aca="false">DCF!W$71</f>
        <v>7.56944444444445</v>
      </c>
      <c r="O239" s="209" t="n">
        <f aca="false">DCF!X$71</f>
        <v>8.56944444444445</v>
      </c>
    </row>
    <row r="240" customFormat="false" ht="15" hidden="false" customHeight="true" outlineLevel="0" collapsed="false">
      <c r="B240" s="90" t="s">
        <v>94</v>
      </c>
      <c r="C240" s="95" t="n">
        <f aca="false">P238/($C$234-$C$235)</f>
        <v>41486.5594951797</v>
      </c>
      <c r="E240" s="90" t="s">
        <v>283</v>
      </c>
      <c r="F240" s="206" t="n">
        <f aca="false">F238/(1+$C$234)^F239</f>
        <v>1234.77648581277</v>
      </c>
      <c r="G240" s="206" t="n">
        <f aca="false">G238/(1+$C$234)^G239</f>
        <v>1278.36968989242</v>
      </c>
      <c r="H240" s="206" t="n">
        <f aca="false">H238/(1+$C$234)^H239</f>
        <v>1263.1686527077</v>
      </c>
      <c r="I240" s="206" t="n">
        <f aca="false">I238/(1+$C$234)^I239</f>
        <v>1237.69144555822</v>
      </c>
      <c r="J240" s="206" t="n">
        <f aca="false">J238/(1+$C$234)^J239</f>
        <v>1202.48207929507</v>
      </c>
      <c r="K240" s="206" t="n">
        <f aca="false">K238/(1+$C$234)^K239</f>
        <v>1158.3197939855</v>
      </c>
      <c r="L240" s="206" t="n">
        <f aca="false">L238/(1+$C$234)^L239</f>
        <v>1106.1904585923</v>
      </c>
      <c r="M240" s="206" t="n">
        <f aca="false">M238/(1+$C$234)^M239</f>
        <v>1047.2497580292</v>
      </c>
      <c r="N240" s="206" t="n">
        <f aca="false">N238/(1+$C$234)^N239</f>
        <v>982.780093745969</v>
      </c>
      <c r="O240" s="206" t="n">
        <f aca="false">O238/(1+$C$234)^O239</f>
        <v>914.143465383489</v>
      </c>
    </row>
    <row r="241" customFormat="false" ht="15" hidden="false" customHeight="true" outlineLevel="0" collapsed="false">
      <c r="B241" s="90" t="s">
        <v>95</v>
      </c>
      <c r="C241" s="95" t="n">
        <f aca="false">C240/(1+$C$234)^O239</f>
        <v>20484.9657773718</v>
      </c>
    </row>
    <row r="242" customFormat="false" ht="15" hidden="false" customHeight="true" outlineLevel="0" collapsed="false">
      <c r="B242" s="90" t="s">
        <v>97</v>
      </c>
      <c r="C242" s="95" t="n">
        <f aca="false">C239+C241</f>
        <v>31910.1377003745</v>
      </c>
    </row>
    <row r="243" customFormat="false" ht="15" hidden="false" customHeight="true" outlineLevel="0" collapsed="false">
      <c r="B243" s="90" t="s">
        <v>284</v>
      </c>
      <c r="C243" s="95" t="n">
        <f aca="false">C242+$C$9-$C$10</f>
        <v>32810.1377003745</v>
      </c>
    </row>
    <row r="244" customFormat="false" ht="15" hidden="false" customHeight="true" outlineLevel="0" collapsed="false">
      <c r="B244" s="202" t="s">
        <v>99</v>
      </c>
      <c r="C244" s="210" t="n">
        <f aca="false">C243/$C$11</f>
        <v>30.7556596366465</v>
      </c>
    </row>
    <row r="245" customFormat="false" ht="15" hidden="false" customHeight="true" outlineLevel="0" collapsed="false">
      <c r="B245" s="90" t="s">
        <v>93</v>
      </c>
      <c r="C245" s="96" t="n">
        <f aca="false">1-P238/P234</f>
        <v>0.116504188399695</v>
      </c>
    </row>
    <row r="246" customFormat="false" ht="15" hidden="false" customHeight="true" outlineLevel="0" collapsed="false">
      <c r="B246" s="90" t="s">
        <v>285</v>
      </c>
      <c r="C246" s="96" t="n">
        <f aca="false">C241/C242</f>
        <v>0.641957924773588</v>
      </c>
    </row>
    <row r="249" customFormat="false" ht="15" hidden="false" customHeight="true" outlineLevel="0" collapsed="false">
      <c r="B249" s="85" t="s">
        <v>299</v>
      </c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</row>
    <row r="250" customFormat="false" ht="15" hidden="false" customHeight="true" outlineLevel="0" collapsed="false">
      <c r="B250" s="202" t="s">
        <v>272</v>
      </c>
      <c r="C250" s="202" t="s">
        <v>183</v>
      </c>
      <c r="E250" s="202" t="s">
        <v>273</v>
      </c>
      <c r="F250" s="203" t="str">
        <f aca="false">"FY"&amp;RIGHT(DCF!O$38,2)</f>
        <v>FY26</v>
      </c>
      <c r="G250" s="203" t="str">
        <f aca="false">"FY"&amp;RIGHT(DCF!P$38,2)</f>
        <v>FY27</v>
      </c>
      <c r="H250" s="203" t="str">
        <f aca="false">"FY"&amp;RIGHT(DCF!Q$38,2)</f>
        <v>FY28</v>
      </c>
      <c r="I250" s="203" t="str">
        <f aca="false">"FY"&amp;RIGHT(DCF!R$38,2)</f>
        <v>FY29</v>
      </c>
      <c r="J250" s="203" t="str">
        <f aca="false">"FY"&amp;RIGHT(DCF!S$38,2)</f>
        <v>FY30</v>
      </c>
      <c r="K250" s="203" t="str">
        <f aca="false">"FY"&amp;RIGHT(DCF!T$38,2)</f>
        <v>FY31</v>
      </c>
      <c r="L250" s="203" t="str">
        <f aca="false">"FY"&amp;RIGHT(DCF!U$38,2)</f>
        <v>FY32</v>
      </c>
      <c r="M250" s="203" t="str">
        <f aca="false">"FY"&amp;RIGHT(DCF!V$38,2)</f>
        <v>FY33</v>
      </c>
      <c r="N250" s="203" t="str">
        <f aca="false">"FY"&amp;RIGHT(DCF!W$38,2)</f>
        <v>FY34</v>
      </c>
      <c r="O250" s="203" t="str">
        <f aca="false">"FY"&amp;RIGHT(DCF!X$38,2)</f>
        <v>FY35</v>
      </c>
      <c r="P250" s="203" t="s">
        <v>40</v>
      </c>
    </row>
    <row r="251" customFormat="false" ht="15" hidden="false" customHeight="true" outlineLevel="0" collapsed="false">
      <c r="B251" s="204" t="s">
        <v>274</v>
      </c>
      <c r="C251" s="94" t="n">
        <f aca="false">DCF!$L$11</f>
        <v>0.0909</v>
      </c>
      <c r="E251" s="90" t="s">
        <v>275</v>
      </c>
      <c r="F251" s="205" t="n">
        <f aca="false">$C$251</f>
        <v>0.0909</v>
      </c>
      <c r="G251" s="205" t="n">
        <f aca="false">IF($C$255=1,F251-($C$251-$C$254)/$C$12,$C$251)</f>
        <v>0.0824666666666667</v>
      </c>
      <c r="H251" s="205" t="n">
        <f aca="false">IF($C$255=1,G251-($C$251-$C$254)/$C$12,$C$251)</f>
        <v>0.0740333333333333</v>
      </c>
      <c r="I251" s="205" t="n">
        <f aca="false">IF($C$255=1,H251-($C$251-$C$254)/$C$12,$C$251)</f>
        <v>0.0656</v>
      </c>
      <c r="J251" s="205" t="n">
        <f aca="false">IF($C$255=1,I251-($C$251-$C$254)/$C$12,$C$251)</f>
        <v>0.0571666666666667</v>
      </c>
      <c r="K251" s="205" t="n">
        <f aca="false">IF($C$255=1,J251-($C$251-$C$254)/$C$12,$C$251)</f>
        <v>0.0487333333333333</v>
      </c>
      <c r="L251" s="205" t="n">
        <f aca="false">IF($C$255=1,K251-($C$251-$C$254)/$C$12,$C$251)</f>
        <v>0.0403</v>
      </c>
      <c r="M251" s="205" t="n">
        <f aca="false">IF($C$255=1,L251-($C$251-$C$254)/$C$12,$C$251)</f>
        <v>0.0318666666666667</v>
      </c>
      <c r="N251" s="205" t="n">
        <f aca="false">IF($C$255=1,M251-($C$251-$C$254)/$C$12,$C$251)</f>
        <v>0.0234333333333333</v>
      </c>
      <c r="O251" s="205" t="n">
        <f aca="false">IF($C$255=1,N251-($C$251-$C$254)/$C$12,$C$251)</f>
        <v>0.015</v>
      </c>
    </row>
    <row r="252" customFormat="false" ht="15" hidden="false" customHeight="true" outlineLevel="0" collapsed="false">
      <c r="B252" s="204" t="s">
        <v>276</v>
      </c>
      <c r="C252" s="94" t="n">
        <f aca="false">DCF!$L$13</f>
        <v>0.1722</v>
      </c>
      <c r="E252" s="90" t="s">
        <v>16</v>
      </c>
      <c r="F252" s="206" t="n">
        <f aca="false">$C$8*(1+F251)</f>
        <v>15216.41865</v>
      </c>
      <c r="G252" s="206" t="n">
        <f aca="false">F252*(1+G251)</f>
        <v>16471.26597467</v>
      </c>
      <c r="H252" s="206" t="n">
        <f aca="false">G252*(1+H251)</f>
        <v>17690.6886989947</v>
      </c>
      <c r="I252" s="206" t="n">
        <f aca="false">H252*(1+I251)</f>
        <v>18851.1978776488</v>
      </c>
      <c r="J252" s="206" t="n">
        <f aca="false">I252*(1+J251)</f>
        <v>19928.8580229877</v>
      </c>
      <c r="K252" s="206" t="n">
        <f aca="false">J252*(1+K251)</f>
        <v>20900.0577039746</v>
      </c>
      <c r="L252" s="206" t="n">
        <f aca="false">K252*(1+L251)</f>
        <v>21742.3300294448</v>
      </c>
      <c r="M252" s="206" t="n">
        <f aca="false">L252*(1+M251)</f>
        <v>22435.1856130498</v>
      </c>
      <c r="N252" s="206" t="n">
        <f aca="false">M252*(1+N251)</f>
        <v>22960.9167959156</v>
      </c>
      <c r="O252" s="206" t="n">
        <f aca="false">N252*(1+O251)</f>
        <v>23305.3305478543</v>
      </c>
    </row>
    <row r="253" customFormat="false" ht="15" hidden="false" customHeight="true" outlineLevel="0" collapsed="false">
      <c r="B253" s="204" t="s">
        <v>21</v>
      </c>
      <c r="C253" s="92" t="n">
        <f aca="false">DCF!$L$16</f>
        <v>0.0858338239797238</v>
      </c>
      <c r="E253" s="90" t="s">
        <v>277</v>
      </c>
      <c r="F253" s="206" t="n">
        <f aca="false">F252*$C$252*(1-$C$4)</f>
        <v>2358.240562377</v>
      </c>
      <c r="G253" s="206" t="n">
        <f aca="false">G252*$C$252*(1-$C$4)</f>
        <v>2552.71680075436</v>
      </c>
      <c r="H253" s="206" t="n">
        <f aca="false">H252*$C$252*(1-$C$4)</f>
        <v>2741.7029345702</v>
      </c>
      <c r="I253" s="206" t="n">
        <f aca="false">I252*$C$252*(1-$C$4)</f>
        <v>2921.55864707801</v>
      </c>
      <c r="J253" s="206" t="n">
        <f aca="false">J252*$C$252*(1-$C$4)</f>
        <v>3088.57441640264</v>
      </c>
      <c r="K253" s="206" t="n">
        <f aca="false">K252*$C$252*(1-$C$4)</f>
        <v>3239.09094296199</v>
      </c>
      <c r="L253" s="206" t="n">
        <f aca="false">L252*$C$252*(1-$C$4)</f>
        <v>3369.62630796336</v>
      </c>
      <c r="M253" s="206" t="n">
        <f aca="false">M252*$C$252*(1-$C$4)</f>
        <v>3477.00506631046</v>
      </c>
      <c r="N253" s="206" t="n">
        <f aca="false">N252*$C$252*(1-$C$4)</f>
        <v>3558.482885031</v>
      </c>
      <c r="O253" s="206" t="n">
        <f aca="false">O252*$C$252*(1-$C$4)</f>
        <v>3611.86012830646</v>
      </c>
      <c r="P253" s="206" t="n">
        <f aca="false">O253*(1+$C$254)</f>
        <v>3666.03803023106</v>
      </c>
    </row>
    <row r="254" customFormat="false" ht="15" hidden="false" customHeight="true" outlineLevel="0" collapsed="false">
      <c r="B254" s="204" t="s">
        <v>278</v>
      </c>
      <c r="C254" s="94" t="n">
        <f aca="false">DCF!$H$92</f>
        <v>0.015</v>
      </c>
      <c r="E254" s="90" t="s">
        <v>35</v>
      </c>
      <c r="F254" s="206" t="n">
        <f aca="false">F252*$C$5</f>
        <v>1224.921701325</v>
      </c>
      <c r="G254" s="206" t="n">
        <f aca="false">G252*$C$5</f>
        <v>1325.93691096094</v>
      </c>
      <c r="H254" s="206" t="n">
        <f aca="false">H252*$C$5</f>
        <v>1424.10044026908</v>
      </c>
      <c r="I254" s="206" t="n">
        <f aca="false">I252*$C$5</f>
        <v>1517.52142915073</v>
      </c>
      <c r="J254" s="206" t="n">
        <f aca="false">J252*$C$5</f>
        <v>1604.27307085051</v>
      </c>
      <c r="K254" s="206" t="n">
        <f aca="false">K252*$C$5</f>
        <v>1682.45464516996</v>
      </c>
      <c r="L254" s="206" t="n">
        <f aca="false">L252*$C$5</f>
        <v>1750.25756737031</v>
      </c>
      <c r="M254" s="206" t="n">
        <f aca="false">M252*$C$5</f>
        <v>1806.03244185051</v>
      </c>
      <c r="N254" s="206" t="n">
        <f aca="false">N252*$C$5</f>
        <v>1848.35380207121</v>
      </c>
      <c r="O254" s="206" t="n">
        <f aca="false">O252*$C$5</f>
        <v>1876.07910910227</v>
      </c>
    </row>
    <row r="255" customFormat="false" ht="15" hidden="false" customHeight="true" outlineLevel="0" collapsed="false">
      <c r="B255" s="204" t="s">
        <v>279</v>
      </c>
      <c r="C255" s="207" t="n">
        <v>1</v>
      </c>
      <c r="E255" s="90" t="s">
        <v>36</v>
      </c>
      <c r="F255" s="206" t="n">
        <f aca="false">F252*$C$6</f>
        <v>2781.56132922</v>
      </c>
      <c r="G255" s="206" t="n">
        <f aca="false">G252*$C$6</f>
        <v>3010.94742016968</v>
      </c>
      <c r="H255" s="206" t="n">
        <f aca="false">H252*$C$6</f>
        <v>3233.85789417624</v>
      </c>
      <c r="I255" s="206" t="n">
        <f aca="false">I252*$C$6</f>
        <v>3445.9989720342</v>
      </c>
      <c r="J255" s="206" t="n">
        <f aca="false">J252*$C$6</f>
        <v>3642.99524660215</v>
      </c>
      <c r="K255" s="206" t="n">
        <f aca="false">K252*$C$6</f>
        <v>3820.53054828657</v>
      </c>
      <c r="L255" s="206" t="n">
        <f aca="false">L252*$C$6</f>
        <v>3974.49792938251</v>
      </c>
      <c r="M255" s="206" t="n">
        <f aca="false">M252*$C$6</f>
        <v>4101.1519300655</v>
      </c>
      <c r="N255" s="206" t="n">
        <f aca="false">N252*$C$6</f>
        <v>4197.25559029337</v>
      </c>
      <c r="O255" s="206" t="n">
        <f aca="false">O252*$C$6</f>
        <v>4260.21442414777</v>
      </c>
    </row>
    <row r="256" customFormat="false" ht="21.75" hidden="false" customHeight="true" outlineLevel="0" collapsed="false">
      <c r="B256" s="204" t="s">
        <v>280</v>
      </c>
      <c r="C256" s="207" t="n">
        <v>1</v>
      </c>
      <c r="E256" s="90" t="s">
        <v>281</v>
      </c>
      <c r="F256" s="206" t="n">
        <f aca="false">F252*$C$7</f>
        <v>-436.711215255</v>
      </c>
      <c r="G256" s="206" t="n">
        <f aca="false">G252*$C$7</f>
        <v>-472.725333473029</v>
      </c>
      <c r="H256" s="206" t="n">
        <f aca="false">H252*$C$7</f>
        <v>-507.722765661149</v>
      </c>
      <c r="I256" s="206" t="n">
        <f aca="false">I252*$C$7</f>
        <v>-541.02937908852</v>
      </c>
      <c r="J256" s="206" t="n">
        <f aca="false">J252*$C$7</f>
        <v>-571.958225259747</v>
      </c>
      <c r="K256" s="206" t="n">
        <f aca="false">K252*$C$7</f>
        <v>-599.831656104072</v>
      </c>
      <c r="L256" s="206" t="n">
        <f aca="false">L252*$C$7</f>
        <v>-624.004871845066</v>
      </c>
      <c r="M256" s="206" t="n">
        <f aca="false">M252*$C$7</f>
        <v>-643.889827094529</v>
      </c>
      <c r="N256" s="206" t="n">
        <f aca="false">N252*$C$7</f>
        <v>-658.978312042778</v>
      </c>
      <c r="O256" s="206" t="n">
        <f aca="false">O252*$C$7</f>
        <v>-668.862986723419</v>
      </c>
    </row>
    <row r="257" customFormat="false" ht="15" hidden="false" customHeight="true" outlineLevel="0" collapsed="false">
      <c r="E257" s="89" t="s">
        <v>46</v>
      </c>
      <c r="F257" s="208" t="n">
        <f aca="false">F253+F254-F255-F256</f>
        <v>1238.312149737</v>
      </c>
      <c r="G257" s="208" t="n">
        <f aca="false">G253+G254-G255-G256</f>
        <v>1340.43162501864</v>
      </c>
      <c r="H257" s="208" t="n">
        <f aca="false">H253+H254-H255-H256</f>
        <v>1439.66824632419</v>
      </c>
      <c r="I257" s="208" t="n">
        <f aca="false">I253+I254-I255-I256</f>
        <v>1534.11048328306</v>
      </c>
      <c r="J257" s="208" t="n">
        <f aca="false">J253+J254-J255-J256</f>
        <v>1621.81046591074</v>
      </c>
      <c r="K257" s="208" t="n">
        <f aca="false">K253+K254-K255-K256</f>
        <v>1700.84669594946</v>
      </c>
      <c r="L257" s="208" t="n">
        <f aca="false">L253+L254-L255-L256</f>
        <v>1769.39081779622</v>
      </c>
      <c r="M257" s="208" t="n">
        <f aca="false">M253+M254-M255-M256</f>
        <v>1825.77540518999</v>
      </c>
      <c r="N257" s="208" t="n">
        <f aca="false">N253+N254-N255-N256</f>
        <v>1868.55940885161</v>
      </c>
      <c r="O257" s="208" t="n">
        <f aca="false">O253+O254-O255-O256</f>
        <v>1896.58779998439</v>
      </c>
      <c r="P257" s="208" t="n">
        <f aca="false">IF($C$256=1,P253*(1-$C$254/$C$253),O257*(1+$C$254))</f>
        <v>3025.37485219933</v>
      </c>
    </row>
    <row r="258" customFormat="false" ht="15" hidden="false" customHeight="true" outlineLevel="0" collapsed="false">
      <c r="B258" s="90" t="s">
        <v>96</v>
      </c>
      <c r="C258" s="95" t="n">
        <f aca="false">SUM(F259:O259)</f>
        <v>11516.4871200723</v>
      </c>
      <c r="E258" s="90" t="s">
        <v>282</v>
      </c>
      <c r="F258" s="209" t="n">
        <f aca="false">DCF!O$71</f>
        <v>0.0347222222222222</v>
      </c>
      <c r="G258" s="209" t="n">
        <f aca="false">DCF!P$71</f>
        <v>0.569444444444444</v>
      </c>
      <c r="H258" s="209" t="n">
        <f aca="false">DCF!Q$71</f>
        <v>1.56944444444444</v>
      </c>
      <c r="I258" s="209" t="n">
        <f aca="false">DCF!R$71</f>
        <v>2.56944444444444</v>
      </c>
      <c r="J258" s="209" t="n">
        <f aca="false">DCF!S$71</f>
        <v>3.56944444444444</v>
      </c>
      <c r="K258" s="209" t="n">
        <f aca="false">DCF!T$71</f>
        <v>4.56944444444445</v>
      </c>
      <c r="L258" s="209" t="n">
        <f aca="false">DCF!U$71</f>
        <v>5.56944444444445</v>
      </c>
      <c r="M258" s="209" t="n">
        <f aca="false">DCF!V$71</f>
        <v>6.56944444444445</v>
      </c>
      <c r="N258" s="209" t="n">
        <f aca="false">DCF!W$71</f>
        <v>7.56944444444445</v>
      </c>
      <c r="O258" s="209" t="n">
        <f aca="false">DCF!X$71</f>
        <v>8.56944444444445</v>
      </c>
    </row>
    <row r="259" customFormat="false" ht="15" hidden="false" customHeight="true" outlineLevel="0" collapsed="false">
      <c r="B259" s="90" t="s">
        <v>94</v>
      </c>
      <c r="C259" s="95" t="n">
        <f aca="false">P257/($C$253-$C$254)</f>
        <v>42710.8785354486</v>
      </c>
      <c r="E259" s="90" t="s">
        <v>283</v>
      </c>
      <c r="F259" s="206" t="n">
        <f aca="false">F257/(1+$C$253)^F258</f>
        <v>1234.77648581277</v>
      </c>
      <c r="G259" s="206" t="n">
        <f aca="false">G257/(1+$C$253)^G258</f>
        <v>1279.02612587499</v>
      </c>
      <c r="H259" s="206" t="n">
        <f aca="false">H257/(1+$C$253)^H258</f>
        <v>1265.12608380451</v>
      </c>
      <c r="I259" s="206" t="n">
        <f aca="false">I257/(1+$C$253)^I258</f>
        <v>1241.55126238475</v>
      </c>
      <c r="J259" s="206" t="n">
        <f aca="false">J257/(1+$C$253)^J258</f>
        <v>1208.77300058723</v>
      </c>
      <c r="K259" s="206" t="n">
        <f aca="false">K257/(1+$C$253)^K258</f>
        <v>1167.47195579427</v>
      </c>
      <c r="L259" s="206" t="n">
        <f aca="false">L257/(1+$C$253)^L258</f>
        <v>1118.51468317813</v>
      </c>
      <c r="M259" s="206" t="n">
        <f aca="false">M257/(1+$C$253)^M258</f>
        <v>1062.92325055651</v>
      </c>
      <c r="N259" s="206" t="n">
        <f aca="false">N257/(1+$C$253)^N258</f>
        <v>1001.8393803644</v>
      </c>
      <c r="O259" s="206" t="n">
        <f aca="false">O257/(1+$C$253)^O258</f>
        <v>936.484891714753</v>
      </c>
    </row>
    <row r="260" customFormat="false" ht="15" hidden="false" customHeight="true" outlineLevel="0" collapsed="false">
      <c r="B260" s="90" t="s">
        <v>95</v>
      </c>
      <c r="C260" s="95" t="n">
        <f aca="false">C259/(1+$C$253)^O258</f>
        <v>21089.5021367536</v>
      </c>
    </row>
    <row r="261" customFormat="false" ht="15" hidden="false" customHeight="true" outlineLevel="0" collapsed="false">
      <c r="B261" s="90" t="s">
        <v>97</v>
      </c>
      <c r="C261" s="95" t="n">
        <f aca="false">C258+C260</f>
        <v>32605.9892568259</v>
      </c>
    </row>
    <row r="262" customFormat="false" ht="15" hidden="false" customHeight="true" outlineLevel="0" collapsed="false">
      <c r="B262" s="90" t="s">
        <v>284</v>
      </c>
      <c r="C262" s="95" t="n">
        <f aca="false">C261+$C$9-$C$10</f>
        <v>33505.9892568259</v>
      </c>
    </row>
    <row r="263" customFormat="false" ht="15" hidden="false" customHeight="true" outlineLevel="0" collapsed="false">
      <c r="B263" s="202" t="s">
        <v>99</v>
      </c>
      <c r="C263" s="210" t="n">
        <f aca="false">C262/$C$11</f>
        <v>31.4079389359073</v>
      </c>
    </row>
    <row r="264" customFormat="false" ht="15" hidden="false" customHeight="true" outlineLevel="0" collapsed="false">
      <c r="B264" s="90" t="s">
        <v>93</v>
      </c>
      <c r="C264" s="96" t="n">
        <f aca="false">1-P257/P253</f>
        <v>0.174756282599543</v>
      </c>
    </row>
    <row r="265" customFormat="false" ht="15" hidden="false" customHeight="true" outlineLevel="0" collapsed="false">
      <c r="B265" s="90" t="s">
        <v>285</v>
      </c>
      <c r="C265" s="96" t="n">
        <f aca="false">C260/C261</f>
        <v>0.646798413955149</v>
      </c>
    </row>
    <row r="268" customFormat="false" ht="15" hidden="false" customHeight="true" outlineLevel="0" collapsed="false">
      <c r="B268" s="85" t="s">
        <v>300</v>
      </c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</row>
    <row r="269" customFormat="false" ht="15" hidden="false" customHeight="true" outlineLevel="0" collapsed="false">
      <c r="B269" s="202" t="s">
        <v>272</v>
      </c>
      <c r="C269" s="202" t="s">
        <v>183</v>
      </c>
      <c r="E269" s="202" t="s">
        <v>273</v>
      </c>
      <c r="F269" s="203" t="str">
        <f aca="false">"FY"&amp;RIGHT(DCF!O$38,2)</f>
        <v>FY26</v>
      </c>
      <c r="G269" s="203" t="str">
        <f aca="false">"FY"&amp;RIGHT(DCF!P$38,2)</f>
        <v>FY27</v>
      </c>
      <c r="H269" s="203" t="str">
        <f aca="false">"FY"&amp;RIGHT(DCF!Q$38,2)</f>
        <v>FY28</v>
      </c>
      <c r="I269" s="203" t="str">
        <f aca="false">"FY"&amp;RIGHT(DCF!R$38,2)</f>
        <v>FY29</v>
      </c>
      <c r="J269" s="203" t="str">
        <f aca="false">"FY"&amp;RIGHT(DCF!S$38,2)</f>
        <v>FY30</v>
      </c>
      <c r="K269" s="203" t="str">
        <f aca="false">"FY"&amp;RIGHT(DCF!T$38,2)</f>
        <v>FY31</v>
      </c>
      <c r="L269" s="203" t="str">
        <f aca="false">"FY"&amp;RIGHT(DCF!U$38,2)</f>
        <v>FY32</v>
      </c>
      <c r="M269" s="203" t="str">
        <f aca="false">"FY"&amp;RIGHT(DCF!V$38,2)</f>
        <v>FY33</v>
      </c>
      <c r="N269" s="203" t="str">
        <f aca="false">"FY"&amp;RIGHT(DCF!W$38,2)</f>
        <v>FY34</v>
      </c>
      <c r="O269" s="203" t="str">
        <f aca="false">"FY"&amp;RIGHT(DCF!X$38,2)</f>
        <v>FY35</v>
      </c>
      <c r="P269" s="203" t="s">
        <v>40</v>
      </c>
    </row>
    <row r="270" customFormat="false" ht="15" hidden="false" customHeight="true" outlineLevel="0" collapsed="false">
      <c r="B270" s="204" t="s">
        <v>274</v>
      </c>
      <c r="C270" s="94" t="n">
        <f aca="false">DCF!$L$11</f>
        <v>0.0909</v>
      </c>
      <c r="E270" s="90" t="s">
        <v>275</v>
      </c>
      <c r="F270" s="205" t="n">
        <f aca="false">$C$270</f>
        <v>0.0909</v>
      </c>
      <c r="G270" s="205" t="n">
        <f aca="false">IF($C$274=1,F270-($C$270-$C$273)/$C$12,$C$270)</f>
        <v>0.0830222222222222</v>
      </c>
      <c r="H270" s="205" t="n">
        <f aca="false">IF($C$274=1,G270-($C$270-$C$273)/$C$12,$C$270)</f>
        <v>0.0751444444444444</v>
      </c>
      <c r="I270" s="205" t="n">
        <f aca="false">IF($C$274=1,H270-($C$270-$C$273)/$C$12,$C$270)</f>
        <v>0.0672666666666667</v>
      </c>
      <c r="J270" s="205" t="n">
        <f aca="false">IF($C$274=1,I270-($C$270-$C$273)/$C$12,$C$270)</f>
        <v>0.0593888888888889</v>
      </c>
      <c r="K270" s="205" t="n">
        <f aca="false">IF($C$274=1,J270-($C$270-$C$273)/$C$12,$C$270)</f>
        <v>0.0515111111111111</v>
      </c>
      <c r="L270" s="205" t="n">
        <f aca="false">IF($C$274=1,K270-($C$270-$C$273)/$C$12,$C$270)</f>
        <v>0.0436333333333333</v>
      </c>
      <c r="M270" s="205" t="n">
        <f aca="false">IF($C$274=1,L270-($C$270-$C$273)/$C$12,$C$270)</f>
        <v>0.0357555555555556</v>
      </c>
      <c r="N270" s="205" t="n">
        <f aca="false">IF($C$274=1,M270-($C$270-$C$273)/$C$12,$C$270)</f>
        <v>0.0278777777777778</v>
      </c>
      <c r="O270" s="205" t="n">
        <f aca="false">IF($C$274=1,N270-($C$270-$C$273)/$C$12,$C$270)</f>
        <v>0.02</v>
      </c>
    </row>
    <row r="271" customFormat="false" ht="15" hidden="false" customHeight="true" outlineLevel="0" collapsed="false">
      <c r="B271" s="204" t="s">
        <v>276</v>
      </c>
      <c r="C271" s="94" t="n">
        <f aca="false">DCF!$L$13</f>
        <v>0.1722</v>
      </c>
      <c r="E271" s="90" t="s">
        <v>16</v>
      </c>
      <c r="F271" s="206" t="n">
        <f aca="false">$C$8*(1+F270)</f>
        <v>15216.41865</v>
      </c>
      <c r="G271" s="206" t="n">
        <f aca="false">F271*(1+G270)</f>
        <v>16479.7195405867</v>
      </c>
      <c r="H271" s="206" t="n">
        <f aca="false">G271*(1+H270)</f>
        <v>17718.0789100643</v>
      </c>
      <c r="I271" s="206" t="n">
        <f aca="false">H271*(1+I270)</f>
        <v>18909.9150180813</v>
      </c>
      <c r="J271" s="206" t="n">
        <f aca="false">I271*(1+J270)</f>
        <v>20032.9538599885</v>
      </c>
      <c r="K271" s="206" t="n">
        <f aca="false">J271*(1+K270)</f>
        <v>21064.8735721541</v>
      </c>
      <c r="L271" s="206" t="n">
        <f aca="false">K271*(1+L270)</f>
        <v>21984.0042223524</v>
      </c>
      <c r="M271" s="206" t="n">
        <f aca="false">L271*(1+M270)</f>
        <v>22770.0545066583</v>
      </c>
      <c r="N271" s="206" t="n">
        <f aca="false">M271*(1+N270)</f>
        <v>23404.8330261828</v>
      </c>
      <c r="O271" s="206" t="n">
        <f aca="false">N271*(1+O270)</f>
        <v>23872.9296867065</v>
      </c>
    </row>
    <row r="272" customFormat="false" ht="15" hidden="false" customHeight="true" outlineLevel="0" collapsed="false">
      <c r="B272" s="204" t="s">
        <v>21</v>
      </c>
      <c r="C272" s="92" t="n">
        <f aca="false">DCF!$L$16</f>
        <v>0.0858338239797238</v>
      </c>
      <c r="E272" s="90" t="s">
        <v>277</v>
      </c>
      <c r="F272" s="206" t="n">
        <f aca="false">F271*$C$271*(1-$C$4)</f>
        <v>2358.240562377</v>
      </c>
      <c r="G272" s="206" t="n">
        <f aca="false">G271*$C$271*(1-$C$4)</f>
        <v>2554.02693440012</v>
      </c>
      <c r="H272" s="206" t="n">
        <f aca="false">H271*$C$271*(1-$C$4)</f>
        <v>2745.94786948177</v>
      </c>
      <c r="I272" s="206" t="n">
        <f aca="false">I271*$C$271*(1-$C$4)</f>
        <v>2930.65862950224</v>
      </c>
      <c r="J272" s="206" t="n">
        <f aca="false">J271*$C$271*(1-$C$4)</f>
        <v>3104.70718922101</v>
      </c>
      <c r="K272" s="206" t="n">
        <f aca="false">K271*$C$271*(1-$C$4)</f>
        <v>3264.63410621244</v>
      </c>
      <c r="L272" s="206" t="n">
        <f aca="false">L271*$C$271*(1-$C$4)</f>
        <v>3407.08097438018</v>
      </c>
      <c r="M272" s="206" t="n">
        <f aca="false">M271*$C$271*(1-$C$4)</f>
        <v>3528.9030474419</v>
      </c>
      <c r="N272" s="206" t="n">
        <f aca="false">N271*$C$271*(1-$C$4)</f>
        <v>3627.28102239781</v>
      </c>
      <c r="O272" s="206" t="n">
        <f aca="false">O271*$C$271*(1-$C$4)</f>
        <v>3699.82664284577</v>
      </c>
      <c r="P272" s="206" t="n">
        <f aca="false">O272*(1+$C$273)</f>
        <v>3773.82317570268</v>
      </c>
    </row>
    <row r="273" customFormat="false" ht="15" hidden="false" customHeight="true" outlineLevel="0" collapsed="false">
      <c r="B273" s="204" t="s">
        <v>278</v>
      </c>
      <c r="C273" s="94" t="n">
        <f aca="false">DCF!$J$92</f>
        <v>0.02</v>
      </c>
      <c r="E273" s="90" t="s">
        <v>35</v>
      </c>
      <c r="F273" s="206" t="n">
        <f aca="false">F271*$C$5</f>
        <v>1224.921701325</v>
      </c>
      <c r="G273" s="206" t="n">
        <f aca="false">G271*$C$5</f>
        <v>1326.61742301723</v>
      </c>
      <c r="H273" s="206" t="n">
        <f aca="false">H271*$C$5</f>
        <v>1426.30535226018</v>
      </c>
      <c r="I273" s="206" t="n">
        <f aca="false">I271*$C$5</f>
        <v>1522.24815895554</v>
      </c>
      <c r="J273" s="206" t="n">
        <f aca="false">J271*$C$5</f>
        <v>1612.65278572907</v>
      </c>
      <c r="K273" s="206" t="n">
        <f aca="false">K271*$C$5</f>
        <v>1695.7223225584</v>
      </c>
      <c r="L273" s="206" t="n">
        <f aca="false">L271*$C$5</f>
        <v>1769.71233989937</v>
      </c>
      <c r="M273" s="206" t="n">
        <f aca="false">M271*$C$5</f>
        <v>1832.98938778599</v>
      </c>
      <c r="N273" s="206" t="n">
        <f aca="false">N271*$C$5</f>
        <v>1884.08905860772</v>
      </c>
      <c r="O273" s="206" t="n">
        <f aca="false">O271*$C$5</f>
        <v>1921.77083977987</v>
      </c>
    </row>
    <row r="274" customFormat="false" ht="15" hidden="false" customHeight="true" outlineLevel="0" collapsed="false">
      <c r="B274" s="204" t="s">
        <v>279</v>
      </c>
      <c r="C274" s="207" t="n">
        <v>1</v>
      </c>
      <c r="E274" s="90" t="s">
        <v>36</v>
      </c>
      <c r="F274" s="206" t="n">
        <f aca="false">F271*$C$6</f>
        <v>2781.56132922</v>
      </c>
      <c r="G274" s="206" t="n">
        <f aca="false">G271*$C$6</f>
        <v>3012.49273201924</v>
      </c>
      <c r="H274" s="206" t="n">
        <f aca="false">H271*$C$6</f>
        <v>3238.86482475976</v>
      </c>
      <c r="I274" s="206" t="n">
        <f aca="false">I271*$C$6</f>
        <v>3456.73246530526</v>
      </c>
      <c r="J274" s="206" t="n">
        <f aca="false">J271*$C$6</f>
        <v>3662.02396560589</v>
      </c>
      <c r="K274" s="206" t="n">
        <f aca="false">K271*$C$6</f>
        <v>3850.65888898977</v>
      </c>
      <c r="L274" s="206" t="n">
        <f aca="false">L271*$C$6</f>
        <v>4018.67597184602</v>
      </c>
      <c r="M274" s="206" t="n">
        <f aca="false">M271*$C$6</f>
        <v>4162.36596381714</v>
      </c>
      <c r="N274" s="206" t="n">
        <f aca="false">N271*$C$6</f>
        <v>4278.40347718622</v>
      </c>
      <c r="O274" s="206" t="n">
        <f aca="false">O271*$C$6</f>
        <v>4363.97154672994</v>
      </c>
    </row>
    <row r="275" customFormat="false" ht="21.75" hidden="false" customHeight="true" outlineLevel="0" collapsed="false">
      <c r="B275" s="204" t="s">
        <v>280</v>
      </c>
      <c r="C275" s="207" t="n">
        <v>1</v>
      </c>
      <c r="E275" s="90" t="s">
        <v>281</v>
      </c>
      <c r="F275" s="206" t="n">
        <f aca="false">F271*$C$7</f>
        <v>-436.711215255</v>
      </c>
      <c r="G275" s="206" t="n">
        <f aca="false">G271*$C$7</f>
        <v>-472.967950814837</v>
      </c>
      <c r="H275" s="206" t="n">
        <f aca="false">H271*$C$7</f>
        <v>-508.508864718846</v>
      </c>
      <c r="I275" s="206" t="n">
        <f aca="false">I271*$C$7</f>
        <v>-542.714561018933</v>
      </c>
      <c r="J275" s="206" t="n">
        <f aca="false">J271*$C$7</f>
        <v>-574.945775781669</v>
      </c>
      <c r="K275" s="206" t="n">
        <f aca="false">K271*$C$7</f>
        <v>-604.561871520822</v>
      </c>
      <c r="L275" s="206" t="n">
        <f aca="false">L271*$C$7</f>
        <v>-630.940921181514</v>
      </c>
      <c r="M275" s="206" t="n">
        <f aca="false">M271*$C$7</f>
        <v>-653.500564341093</v>
      </c>
      <c r="N275" s="206" t="n">
        <f aca="false">N271*$C$7</f>
        <v>-671.718707851447</v>
      </c>
      <c r="O275" s="206" t="n">
        <f aca="false">O271*$C$7</f>
        <v>-685.153082008476</v>
      </c>
    </row>
    <row r="276" customFormat="false" ht="15" hidden="false" customHeight="true" outlineLevel="0" collapsed="false">
      <c r="E276" s="89" t="s">
        <v>46</v>
      </c>
      <c r="F276" s="208" t="n">
        <f aca="false">F272+F273-F274-F275</f>
        <v>1238.312149737</v>
      </c>
      <c r="G276" s="208" t="n">
        <f aca="false">G272+G273-G274-G275</f>
        <v>1341.11957621294</v>
      </c>
      <c r="H276" s="208" t="n">
        <f aca="false">H272+H273-H274-H275</f>
        <v>1441.89726170103</v>
      </c>
      <c r="I276" s="208" t="n">
        <f aca="false">I272+I273-I274-I275</f>
        <v>1538.88888417146</v>
      </c>
      <c r="J276" s="208" t="n">
        <f aca="false">J272+J273-J274-J275</f>
        <v>1630.28178512586</v>
      </c>
      <c r="K276" s="208" t="n">
        <f aca="false">K272+K273-K274-K275</f>
        <v>1714.2594113019</v>
      </c>
      <c r="L276" s="208" t="n">
        <f aca="false">L272+L273-L274-L275</f>
        <v>1789.05826361504</v>
      </c>
      <c r="M276" s="208" t="n">
        <f aca="false">M272+M273-M274-M275</f>
        <v>1853.02703575185</v>
      </c>
      <c r="N276" s="208" t="n">
        <f aca="false">N272+N273-N274-N275</f>
        <v>1904.68531167076</v>
      </c>
      <c r="O276" s="208" t="n">
        <f aca="false">O272+O273-O274-O275</f>
        <v>1942.77901790417</v>
      </c>
      <c r="P276" s="208" t="n">
        <f aca="false">IF($C$275=1,P272*(1-$C$273/$C$272),O276*(1+$C$273))</f>
        <v>2894.49076320428</v>
      </c>
    </row>
    <row r="277" customFormat="false" ht="15" hidden="false" customHeight="true" outlineLevel="0" collapsed="false">
      <c r="B277" s="90" t="s">
        <v>96</v>
      </c>
      <c r="C277" s="95" t="n">
        <f aca="false">SUM(F278:O278)</f>
        <v>11608.9650096073</v>
      </c>
      <c r="E277" s="90" t="s">
        <v>282</v>
      </c>
      <c r="F277" s="209" t="n">
        <f aca="false">DCF!O$71</f>
        <v>0.0347222222222222</v>
      </c>
      <c r="G277" s="209" t="n">
        <f aca="false">DCF!P$71</f>
        <v>0.569444444444444</v>
      </c>
      <c r="H277" s="209" t="n">
        <f aca="false">DCF!Q$71</f>
        <v>1.56944444444444</v>
      </c>
      <c r="I277" s="209" t="n">
        <f aca="false">DCF!R$71</f>
        <v>2.56944444444444</v>
      </c>
      <c r="J277" s="209" t="n">
        <f aca="false">DCF!S$71</f>
        <v>3.56944444444444</v>
      </c>
      <c r="K277" s="209" t="n">
        <f aca="false">DCF!T$71</f>
        <v>4.56944444444445</v>
      </c>
      <c r="L277" s="209" t="n">
        <f aca="false">DCF!U$71</f>
        <v>5.56944444444445</v>
      </c>
      <c r="M277" s="209" t="n">
        <f aca="false">DCF!V$71</f>
        <v>6.56944444444445</v>
      </c>
      <c r="N277" s="209" t="n">
        <f aca="false">DCF!W$71</f>
        <v>7.56944444444445</v>
      </c>
      <c r="O277" s="209" t="n">
        <f aca="false">DCF!X$71</f>
        <v>8.56944444444445</v>
      </c>
    </row>
    <row r="278" customFormat="false" ht="15" hidden="false" customHeight="true" outlineLevel="0" collapsed="false">
      <c r="B278" s="90" t="s">
        <v>94</v>
      </c>
      <c r="C278" s="95" t="n">
        <f aca="false">P276/($C$272-$C$273)</f>
        <v>43966.6206249201</v>
      </c>
      <c r="E278" s="90" t="s">
        <v>283</v>
      </c>
      <c r="F278" s="206" t="n">
        <f aca="false">F276/(1+$C$272)^F277</f>
        <v>1234.77648581277</v>
      </c>
      <c r="G278" s="206" t="n">
        <f aca="false">G276/(1+$C$272)^G277</f>
        <v>1279.68256185756</v>
      </c>
      <c r="H278" s="206" t="n">
        <f aca="false">H276/(1+$C$272)^H277</f>
        <v>1267.08485833582</v>
      </c>
      <c r="I278" s="206" t="n">
        <f aca="false">I276/(1+$C$272)^I277</f>
        <v>1245.41840866907</v>
      </c>
      <c r="J278" s="206" t="n">
        <f aca="false">J276/(1+$C$272)^J277</f>
        <v>1215.08687151224</v>
      </c>
      <c r="K278" s="206" t="n">
        <f aca="false">K276/(1+$C$272)^K277</f>
        <v>1176.67852865137</v>
      </c>
      <c r="L278" s="206" t="n">
        <f aca="false">L276/(1+$C$272)^L277</f>
        <v>1130.94739544707</v>
      </c>
      <c r="M278" s="206" t="n">
        <f aca="false">M276/(1+$C$272)^M277</f>
        <v>1078.78850520801</v>
      </c>
      <c r="N278" s="206" t="n">
        <f aca="false">N276/(1+$C$272)^N277</f>
        <v>1021.20850072739</v>
      </c>
      <c r="O278" s="206" t="n">
        <f aca="false">O276/(1+$C$272)^O277</f>
        <v>959.292893386039</v>
      </c>
    </row>
    <row r="279" customFormat="false" ht="15" hidden="false" customHeight="true" outlineLevel="0" collapsed="false">
      <c r="B279" s="90" t="s">
        <v>95</v>
      </c>
      <c r="C279" s="95" t="n">
        <f aca="false">C278/(1+$C$272)^O277</f>
        <v>21709.5543667058</v>
      </c>
    </row>
    <row r="280" customFormat="false" ht="15" hidden="false" customHeight="true" outlineLevel="0" collapsed="false">
      <c r="B280" s="90" t="s">
        <v>97</v>
      </c>
      <c r="C280" s="95" t="n">
        <f aca="false">C277+C279</f>
        <v>33318.5193763131</v>
      </c>
    </row>
    <row r="281" customFormat="false" ht="15" hidden="false" customHeight="true" outlineLevel="0" collapsed="false">
      <c r="B281" s="90" t="s">
        <v>284</v>
      </c>
      <c r="C281" s="95" t="n">
        <f aca="false">C280+$C$9-$C$10</f>
        <v>34218.5193763131</v>
      </c>
    </row>
    <row r="282" customFormat="false" ht="15" hidden="false" customHeight="true" outlineLevel="0" collapsed="false">
      <c r="B282" s="202" t="s">
        <v>99</v>
      </c>
      <c r="C282" s="210" t="n">
        <f aca="false">C281/$C$11</f>
        <v>32.0758524337393</v>
      </c>
    </row>
    <row r="283" customFormat="false" ht="15" hidden="false" customHeight="true" outlineLevel="0" collapsed="false">
      <c r="B283" s="90" t="s">
        <v>93</v>
      </c>
      <c r="C283" s="96" t="n">
        <f aca="false">1-P276/P272</f>
        <v>0.23300837679939</v>
      </c>
    </row>
    <row r="284" customFormat="false" ht="15" hidden="false" customHeight="true" outlineLevel="0" collapsed="false">
      <c r="B284" s="90" t="s">
        <v>285</v>
      </c>
      <c r="C284" s="96" t="n">
        <f aca="false">C279/C280</f>
        <v>0.651576203657465</v>
      </c>
    </row>
    <row r="287" customFormat="false" ht="15" hidden="false" customHeight="true" outlineLevel="0" collapsed="false">
      <c r="B287" s="85" t="s">
        <v>301</v>
      </c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</row>
    <row r="288" customFormat="false" ht="15" hidden="false" customHeight="true" outlineLevel="0" collapsed="false">
      <c r="B288" s="202" t="s">
        <v>272</v>
      </c>
      <c r="C288" s="202" t="s">
        <v>183</v>
      </c>
      <c r="E288" s="202" t="s">
        <v>273</v>
      </c>
      <c r="F288" s="203" t="str">
        <f aca="false">"FY"&amp;RIGHT(DCF!O$38,2)</f>
        <v>FY26</v>
      </c>
      <c r="G288" s="203" t="str">
        <f aca="false">"FY"&amp;RIGHT(DCF!P$38,2)</f>
        <v>FY27</v>
      </c>
      <c r="H288" s="203" t="str">
        <f aca="false">"FY"&amp;RIGHT(DCF!Q$38,2)</f>
        <v>FY28</v>
      </c>
      <c r="I288" s="203" t="str">
        <f aca="false">"FY"&amp;RIGHT(DCF!R$38,2)</f>
        <v>FY29</v>
      </c>
      <c r="J288" s="203" t="str">
        <f aca="false">"FY"&amp;RIGHT(DCF!S$38,2)</f>
        <v>FY30</v>
      </c>
      <c r="K288" s="203" t="str">
        <f aca="false">"FY"&amp;RIGHT(DCF!T$38,2)</f>
        <v>FY31</v>
      </c>
      <c r="L288" s="203" t="str">
        <f aca="false">"FY"&amp;RIGHT(DCF!U$38,2)</f>
        <v>FY32</v>
      </c>
      <c r="M288" s="203" t="str">
        <f aca="false">"FY"&amp;RIGHT(DCF!V$38,2)</f>
        <v>FY33</v>
      </c>
      <c r="N288" s="203" t="str">
        <f aca="false">"FY"&amp;RIGHT(DCF!W$38,2)</f>
        <v>FY34</v>
      </c>
      <c r="O288" s="203" t="str">
        <f aca="false">"FY"&amp;RIGHT(DCF!X$38,2)</f>
        <v>FY35</v>
      </c>
      <c r="P288" s="203" t="s">
        <v>40</v>
      </c>
    </row>
    <row r="289" customFormat="false" ht="15" hidden="false" customHeight="true" outlineLevel="0" collapsed="false">
      <c r="B289" s="204" t="s">
        <v>274</v>
      </c>
      <c r="C289" s="94" t="n">
        <f aca="false">DCF!$L$11</f>
        <v>0.0909</v>
      </c>
      <c r="E289" s="90" t="s">
        <v>275</v>
      </c>
      <c r="F289" s="205" t="n">
        <f aca="false">$C$289</f>
        <v>0.0909</v>
      </c>
      <c r="G289" s="205" t="n">
        <f aca="false">IF($C$293=1,F289-($C$289-$C$292)/$C$12,$C$289)</f>
        <v>0.0835777777777778</v>
      </c>
      <c r="H289" s="205" t="n">
        <f aca="false">IF($C$293=1,G289-($C$289-$C$292)/$C$12,$C$289)</f>
        <v>0.0762555555555556</v>
      </c>
      <c r="I289" s="205" t="n">
        <f aca="false">IF($C$293=1,H289-($C$289-$C$292)/$C$12,$C$289)</f>
        <v>0.0689333333333334</v>
      </c>
      <c r="J289" s="205" t="n">
        <f aca="false">IF($C$293=1,I289-($C$289-$C$292)/$C$12,$C$289)</f>
        <v>0.0616111111111111</v>
      </c>
      <c r="K289" s="205" t="n">
        <f aca="false">IF($C$293=1,J289-($C$289-$C$292)/$C$12,$C$289)</f>
        <v>0.0542888888888889</v>
      </c>
      <c r="L289" s="205" t="n">
        <f aca="false">IF($C$293=1,K289-($C$289-$C$292)/$C$12,$C$289)</f>
        <v>0.0469666666666667</v>
      </c>
      <c r="M289" s="205" t="n">
        <f aca="false">IF($C$293=1,L289-($C$289-$C$292)/$C$12,$C$289)</f>
        <v>0.0396444444444445</v>
      </c>
      <c r="N289" s="205" t="n">
        <f aca="false">IF($C$293=1,M289-($C$289-$C$292)/$C$12,$C$289)</f>
        <v>0.0323222222222222</v>
      </c>
      <c r="O289" s="205" t="n">
        <f aca="false">IF($C$293=1,N289-($C$289-$C$292)/$C$12,$C$289)</f>
        <v>0.025</v>
      </c>
    </row>
    <row r="290" customFormat="false" ht="15" hidden="false" customHeight="true" outlineLevel="0" collapsed="false">
      <c r="B290" s="204" t="s">
        <v>276</v>
      </c>
      <c r="C290" s="94" t="n">
        <f aca="false">DCF!$L$13</f>
        <v>0.1722</v>
      </c>
      <c r="E290" s="90" t="s">
        <v>16</v>
      </c>
      <c r="F290" s="206" t="n">
        <f aca="false">$C$8*(1+F289)</f>
        <v>15216.41865</v>
      </c>
      <c r="G290" s="206" t="n">
        <f aca="false">F290*(1+G289)</f>
        <v>16488.1731065033</v>
      </c>
      <c r="H290" s="206" t="n">
        <f aca="false">G290*(1+H289)</f>
        <v>17745.4879068359</v>
      </c>
      <c r="I290" s="206" t="n">
        <f aca="false">H290*(1+I289)</f>
        <v>18968.7435398805</v>
      </c>
      <c r="J290" s="206" t="n">
        <f aca="false">I290*(1+J289)</f>
        <v>20137.4289057542</v>
      </c>
      <c r="K290" s="206" t="n">
        <f aca="false">J290*(1+K289)</f>
        <v>21230.6675461266</v>
      </c>
      <c r="L290" s="206" t="n">
        <f aca="false">K290*(1+L289)</f>
        <v>22227.8012318763</v>
      </c>
      <c r="M290" s="206" t="n">
        <f aca="false">L290*(1+M289)</f>
        <v>23109.0100629356</v>
      </c>
      <c r="N290" s="206" t="n">
        <f aca="false">M290*(1+N289)</f>
        <v>23855.9446215254</v>
      </c>
      <c r="O290" s="206" t="n">
        <f aca="false">N290*(1+O289)</f>
        <v>24452.3432370635</v>
      </c>
    </row>
    <row r="291" customFormat="false" ht="15" hidden="false" customHeight="true" outlineLevel="0" collapsed="false">
      <c r="B291" s="204" t="s">
        <v>21</v>
      </c>
      <c r="C291" s="92" t="n">
        <f aca="false">DCF!$L$16</f>
        <v>0.0858338239797238</v>
      </c>
      <c r="E291" s="90" t="s">
        <v>277</v>
      </c>
      <c r="F291" s="206" t="n">
        <f aca="false">F290*$C$290*(1-$C$4)</f>
        <v>2358.240562377</v>
      </c>
      <c r="G291" s="206" t="n">
        <f aca="false">G290*$C$290*(1-$C$4)</f>
        <v>2555.33706804589</v>
      </c>
      <c r="H291" s="206" t="n">
        <f aca="false">H290*$C$290*(1-$C$4)</f>
        <v>2750.19571580143</v>
      </c>
      <c r="I291" s="206" t="n">
        <f aca="false">I290*$C$290*(1-$C$4)</f>
        <v>2939.77587381067</v>
      </c>
      <c r="J291" s="206" t="n">
        <f aca="false">J290*$C$290*(1-$C$4)</f>
        <v>3120.89873181379</v>
      </c>
      <c r="K291" s="206" t="n">
        <f aca="false">K290*$C$290*(1-$C$4)</f>
        <v>3290.3288562987</v>
      </c>
      <c r="L291" s="206" t="n">
        <f aca="false">L290*$C$290*(1-$C$4)</f>
        <v>3444.8646349162</v>
      </c>
      <c r="M291" s="206" t="n">
        <f aca="false">M290*$C$290*(1-$C$4)</f>
        <v>3581.43437955376</v>
      </c>
      <c r="N291" s="206" t="n">
        <f aca="false">N290*$C$290*(1-$C$4)</f>
        <v>3697.19429744401</v>
      </c>
      <c r="O291" s="206" t="n">
        <f aca="false">O290*$C$290*(1-$C$4)</f>
        <v>3789.62415488011</v>
      </c>
      <c r="P291" s="206" t="n">
        <f aca="false">O291*(1+$C$292)</f>
        <v>3884.36475875211</v>
      </c>
    </row>
    <row r="292" customFormat="false" ht="15" hidden="false" customHeight="true" outlineLevel="0" collapsed="false">
      <c r="B292" s="204" t="s">
        <v>278</v>
      </c>
      <c r="C292" s="94" t="n">
        <f aca="false">DCF!$L$92</f>
        <v>0.025</v>
      </c>
      <c r="E292" s="90" t="s">
        <v>35</v>
      </c>
      <c r="F292" s="206" t="n">
        <f aca="false">F290*$C$5</f>
        <v>1224.921701325</v>
      </c>
      <c r="G292" s="206" t="n">
        <f aca="false">G290*$C$5</f>
        <v>1327.29793507352</v>
      </c>
      <c r="H292" s="206" t="n">
        <f aca="false">H290*$C$5</f>
        <v>1428.51177650029</v>
      </c>
      <c r="I292" s="206" t="n">
        <f aca="false">I290*$C$5</f>
        <v>1526.98385496038</v>
      </c>
      <c r="J292" s="206" t="n">
        <f aca="false">J290*$C$5</f>
        <v>1621.06302691321</v>
      </c>
      <c r="K292" s="206" t="n">
        <f aca="false">K290*$C$5</f>
        <v>1709.06873746319</v>
      </c>
      <c r="L292" s="206" t="n">
        <f aca="false">L290*$C$5</f>
        <v>1789.33799916605</v>
      </c>
      <c r="M292" s="206" t="n">
        <f aca="false">M290*$C$5</f>
        <v>1860.27531006632</v>
      </c>
      <c r="N292" s="206" t="n">
        <f aca="false">N290*$C$5</f>
        <v>1920.40354203279</v>
      </c>
      <c r="O292" s="206" t="n">
        <f aca="false">O290*$C$5</f>
        <v>1968.41363058361</v>
      </c>
    </row>
    <row r="293" customFormat="false" ht="15" hidden="false" customHeight="true" outlineLevel="0" collapsed="false">
      <c r="B293" s="204" t="s">
        <v>279</v>
      </c>
      <c r="C293" s="207" t="n">
        <v>1</v>
      </c>
      <c r="E293" s="90" t="s">
        <v>36</v>
      </c>
      <c r="F293" s="206" t="n">
        <f aca="false">F290*$C$6</f>
        <v>2781.56132922</v>
      </c>
      <c r="G293" s="206" t="n">
        <f aca="false">G290*$C$6</f>
        <v>3014.03804386881</v>
      </c>
      <c r="H293" s="206" t="n">
        <f aca="false">H290*$C$6</f>
        <v>3243.8751893696</v>
      </c>
      <c r="I293" s="206" t="n">
        <f aca="false">I290*$C$6</f>
        <v>3467.48631909015</v>
      </c>
      <c r="J293" s="206" t="n">
        <f aca="false">J290*$C$6</f>
        <v>3681.12200397187</v>
      </c>
      <c r="K293" s="206" t="n">
        <f aca="false">K290*$C$6</f>
        <v>3880.96602743194</v>
      </c>
      <c r="L293" s="206" t="n">
        <f aca="false">L290*$C$6</f>
        <v>4063.242065187</v>
      </c>
      <c r="M293" s="206" t="n">
        <f aca="false">M290*$C$6</f>
        <v>4224.32703950463</v>
      </c>
      <c r="N293" s="206" t="n">
        <f aca="false">N290*$C$6</f>
        <v>4360.86667681484</v>
      </c>
      <c r="O293" s="206" t="n">
        <f aca="false">O290*$C$6</f>
        <v>4469.88834373521</v>
      </c>
    </row>
    <row r="294" customFormat="false" ht="21.75" hidden="false" customHeight="true" outlineLevel="0" collapsed="false">
      <c r="B294" s="204" t="s">
        <v>280</v>
      </c>
      <c r="C294" s="207" t="n">
        <v>1</v>
      </c>
      <c r="E294" s="90" t="s">
        <v>281</v>
      </c>
      <c r="F294" s="206" t="n">
        <f aca="false">F290*$C$7</f>
        <v>-436.711215255</v>
      </c>
      <c r="G294" s="206" t="n">
        <f aca="false">G290*$C$7</f>
        <v>-473.210568156646</v>
      </c>
      <c r="H294" s="206" t="n">
        <f aca="false">H290*$C$7</f>
        <v>-509.295502926191</v>
      </c>
      <c r="I294" s="206" t="n">
        <f aca="false">I290*$C$7</f>
        <v>-544.402939594569</v>
      </c>
      <c r="J294" s="206" t="n">
        <f aca="false">J290*$C$7</f>
        <v>-577.944209595146</v>
      </c>
      <c r="K294" s="206" t="n">
        <f aca="false">K290*$C$7</f>
        <v>-609.320158573834</v>
      </c>
      <c r="L294" s="206" t="n">
        <f aca="false">L290*$C$7</f>
        <v>-637.937895354851</v>
      </c>
      <c r="M294" s="206" t="n">
        <f aca="false">M290*$C$7</f>
        <v>-663.228588806252</v>
      </c>
      <c r="N294" s="206" t="n">
        <f aca="false">N290*$C$7</f>
        <v>-684.665610637779</v>
      </c>
      <c r="O294" s="206" t="n">
        <f aca="false">O290*$C$7</f>
        <v>-701.782250903723</v>
      </c>
    </row>
    <row r="295" customFormat="false" ht="15" hidden="false" customHeight="true" outlineLevel="0" collapsed="false">
      <c r="E295" s="89" t="s">
        <v>46</v>
      </c>
      <c r="F295" s="208" t="n">
        <f aca="false">F291+F292-F293-F294</f>
        <v>1238.312149737</v>
      </c>
      <c r="G295" s="208" t="n">
        <f aca="false">G291+G292-G293-G294</f>
        <v>1341.80752740724</v>
      </c>
      <c r="H295" s="208" t="n">
        <f aca="false">H291+H292-H293-H294</f>
        <v>1444.12780585831</v>
      </c>
      <c r="I295" s="208" t="n">
        <f aca="false">I291+I292-I293-I294</f>
        <v>1543.67634927547</v>
      </c>
      <c r="J295" s="208" t="n">
        <f aca="false">J291+J292-J293-J294</f>
        <v>1638.78396435028</v>
      </c>
      <c r="K295" s="208" t="n">
        <f aca="false">K291+K292-K293-K294</f>
        <v>1727.75172490378</v>
      </c>
      <c r="L295" s="208" t="n">
        <f aca="false">L291+L292-L293-L294</f>
        <v>1808.8984642501</v>
      </c>
      <c r="M295" s="208" t="n">
        <f aca="false">M291+M292-M293-M294</f>
        <v>1880.6112389217</v>
      </c>
      <c r="N295" s="208" t="n">
        <f aca="false">N291+N292-N293-N294</f>
        <v>1941.39677329974</v>
      </c>
      <c r="O295" s="208" t="n">
        <f aca="false">O291+O292-O293-O294</f>
        <v>1989.93169263223</v>
      </c>
      <c r="P295" s="208" t="n">
        <f aca="false">IF($C$294=1,P291*(1-$C$292/$C$291),O295*(1+$C$292))</f>
        <v>2753.00284958513</v>
      </c>
    </row>
    <row r="296" customFormat="false" ht="15" hidden="false" customHeight="true" outlineLevel="0" collapsed="false">
      <c r="B296" s="90" t="s">
        <v>96</v>
      </c>
      <c r="C296" s="95" t="n">
        <f aca="false">SUM(F297:O297)</f>
        <v>11702.6207307731</v>
      </c>
      <c r="E296" s="90" t="s">
        <v>282</v>
      </c>
      <c r="F296" s="209" t="n">
        <f aca="false">DCF!O$71</f>
        <v>0.0347222222222222</v>
      </c>
      <c r="G296" s="209" t="n">
        <f aca="false">DCF!P$71</f>
        <v>0.569444444444444</v>
      </c>
      <c r="H296" s="209" t="n">
        <f aca="false">DCF!Q$71</f>
        <v>1.56944444444444</v>
      </c>
      <c r="I296" s="209" t="n">
        <f aca="false">DCF!R$71</f>
        <v>2.56944444444444</v>
      </c>
      <c r="J296" s="209" t="n">
        <f aca="false">DCF!S$71</f>
        <v>3.56944444444444</v>
      </c>
      <c r="K296" s="209" t="n">
        <f aca="false">DCF!T$71</f>
        <v>4.56944444444445</v>
      </c>
      <c r="L296" s="209" t="n">
        <f aca="false">DCF!U$71</f>
        <v>5.56944444444445</v>
      </c>
      <c r="M296" s="209" t="n">
        <f aca="false">DCF!V$71</f>
        <v>6.56944444444445</v>
      </c>
      <c r="N296" s="209" t="n">
        <f aca="false">DCF!W$71</f>
        <v>7.56944444444445</v>
      </c>
      <c r="O296" s="209" t="n">
        <f aca="false">DCF!X$71</f>
        <v>8.56944444444445</v>
      </c>
    </row>
    <row r="297" customFormat="false" ht="15" hidden="false" customHeight="true" outlineLevel="0" collapsed="false">
      <c r="B297" s="90" t="s">
        <v>94</v>
      </c>
      <c r="C297" s="95" t="n">
        <f aca="false">P295/($C$291-$C$292)</f>
        <v>45254.4763666792</v>
      </c>
      <c r="E297" s="90" t="s">
        <v>283</v>
      </c>
      <c r="F297" s="206" t="n">
        <f aca="false">F295/(1+$C$291)^F296</f>
        <v>1234.77648581277</v>
      </c>
      <c r="G297" s="206" t="n">
        <f aca="false">G295/(1+$C$291)^G296</f>
        <v>1280.33899784013</v>
      </c>
      <c r="H297" s="206" t="n">
        <f aca="false">H295/(1+$C$291)^H296</f>
        <v>1269.04497630164</v>
      </c>
      <c r="I297" s="206" t="n">
        <f aca="false">I295/(1+$C$291)^I296</f>
        <v>1249.29289059738</v>
      </c>
      <c r="J297" s="206" t="n">
        <f aca="false">J295/(1+$C$291)^J296</f>
        <v>1221.42374311878</v>
      </c>
      <c r="K297" s="206" t="n">
        <f aca="false">K295/(1+$C$291)^K296</f>
        <v>1185.93973825157</v>
      </c>
      <c r="L297" s="206" t="n">
        <f aca="false">L295/(1+$C$291)^L296</f>
        <v>1143.48931411439</v>
      </c>
      <c r="M297" s="206" t="n">
        <f aca="false">M295/(1+$C$291)^M296</f>
        <v>1094.84737576458</v>
      </c>
      <c r="N297" s="206" t="n">
        <f aca="false">N295/(1+$C$291)^N296</f>
        <v>1040.89157197277</v>
      </c>
      <c r="O297" s="206" t="n">
        <f aca="false">O295/(1+$C$291)^O296</f>
        <v>982.575636999137</v>
      </c>
    </row>
    <row r="298" customFormat="false" ht="15" hidden="false" customHeight="true" outlineLevel="0" collapsed="false">
      <c r="B298" s="90" t="s">
        <v>95</v>
      </c>
      <c r="C298" s="95" t="n">
        <f aca="false">C297/(1+$C$291)^O296</f>
        <v>22345.4634687655</v>
      </c>
    </row>
    <row r="299" customFormat="false" ht="15" hidden="false" customHeight="true" outlineLevel="0" collapsed="false">
      <c r="B299" s="90" t="s">
        <v>97</v>
      </c>
      <c r="C299" s="95" t="n">
        <f aca="false">C296+C298</f>
        <v>34048.0841995386</v>
      </c>
    </row>
    <row r="300" customFormat="false" ht="15" hidden="false" customHeight="true" outlineLevel="0" collapsed="false">
      <c r="B300" s="90" t="s">
        <v>284</v>
      </c>
      <c r="C300" s="95" t="n">
        <f aca="false">C299+$C$9-$C$10</f>
        <v>34948.0841995386</v>
      </c>
    </row>
    <row r="301" customFormat="false" ht="15" hidden="false" customHeight="true" outlineLevel="0" collapsed="false">
      <c r="B301" s="202" t="s">
        <v>99</v>
      </c>
      <c r="C301" s="210" t="n">
        <f aca="false">C300/$C$11</f>
        <v>32.7597339703212</v>
      </c>
    </row>
    <row r="302" customFormat="false" ht="15" hidden="false" customHeight="true" outlineLevel="0" collapsed="false">
      <c r="B302" s="90" t="s">
        <v>93</v>
      </c>
      <c r="C302" s="96" t="n">
        <f aca="false">1-P295/P291</f>
        <v>0.291260470999238</v>
      </c>
    </row>
    <row r="303" customFormat="false" ht="15" hidden="false" customHeight="true" outlineLevel="0" collapsed="false">
      <c r="B303" s="90" t="s">
        <v>285</v>
      </c>
      <c r="C303" s="96" t="n">
        <f aca="false">C298/C299</f>
        <v>0.656291359531714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LibreOffice/26.2.6.3$MacOSX_X86_64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2026-03-08T16:56:37Z</dcterms:created>
  <dc:creator>openpyxl</dc:creator>
  <dc:description/>
  <dc:language>en-US</dc:language>
  <cp:lastModifiedBy/>
  <dcterms:modified xsi:type="dcterms:W3CDTF">2026-10-16T22:10:10Z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